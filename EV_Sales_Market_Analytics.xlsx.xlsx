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nmol Arora\Downloads\"/>
    </mc:Choice>
  </mc:AlternateContent>
  <xr:revisionPtr revIDLastSave="0" documentId="8_{8129B49F-5179-41CB-9980-A6482BD872AD}" xr6:coauthVersionLast="47" xr6:coauthVersionMax="47" xr10:uidLastSave="{00000000-0000-0000-0000-000000000000}"/>
  <bookViews>
    <workbookView xWindow="-108" yWindow="-108" windowWidth="23256" windowHeight="12456" activeTab="3" xr2:uid="{765A1CE0-3AFC-4A3E-82B8-E9E54EDEAB1E}"/>
  </bookViews>
  <sheets>
    <sheet name="Model Lookup" sheetId="3" r:id="rId1"/>
    <sheet name="EV Sales Data" sheetId="2" r:id="rId2"/>
    <sheet name="PIVOT DATA" sheetId="7" r:id="rId3"/>
    <sheet name="EV Dashboard" sheetId="6" r:id="rId4"/>
  </sheets>
  <definedNames>
    <definedName name="ExternalData_1" localSheetId="1" hidden="1">'EV Sales Data'!$A$1:$T$2001</definedName>
    <definedName name="ExternalData_2" localSheetId="0" hidden="1">'Model Lookup'!$A$1:$F$25</definedName>
    <definedName name="Slicer_Customer_Type">#N/A</definedName>
    <definedName name="Slicer_EV_Type">#N/A</definedName>
    <definedName name="Slicer_Manufacturer">#N/A</definedName>
    <definedName name="Slicer_Month">#N/A</definedName>
    <definedName name="Slicer_Quarter">#N/A</definedName>
    <definedName name="Slicer_State">#N/A</definedName>
    <definedName name="Slicer_Year">#N/A</definedName>
    <definedName name="Slicer_Year2">#N/A</definedName>
  </definedNames>
  <calcPr calcId="191029"/>
  <pivotCaches>
    <pivotCache cacheId="38"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6" l="1"/>
  <c r="F6" i="6"/>
  <c r="H6" i="6"/>
  <c r="J6" i="6"/>
  <c r="L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7E990F-70FA-47A7-9353-6FE8A8C5C210}" keepAlive="1" name="Query - EV Sales Data" description="Connection to the 'EV Sales Data' query in the workbook." type="5" refreshedVersion="8" background="1" saveData="1">
    <dbPr connection="Provider=Microsoft.Mashup.OleDb.1;Data Source=$Workbook$;Location=&quot;EV Sales Data&quot;;Extended Properties=&quot;&quot;" command="SELECT * FROM [EV Sales Data]"/>
  </connection>
  <connection id="2" xr16:uid="{7F05B3E0-A6AD-4015-9DD0-A8B60775DB77}" keepAlive="1" name="Query - Model Lookup" description="Connection to the 'Model Lookup' query in the workbook." type="5" refreshedVersion="8" background="1" saveData="1">
    <dbPr connection="Provider=Microsoft.Mashup.OleDb.1;Data Source=$Workbook$;Location=&quot;Model Lookup&quot;;Extended Properties=&quot;&quot;" command="SELECT * FROM [Model Lookup]"/>
  </connection>
</connections>
</file>

<file path=xl/sharedStrings.xml><?xml version="1.0" encoding="utf-8"?>
<sst xmlns="http://schemas.openxmlformats.org/spreadsheetml/2006/main" count="18214" uniqueCount="171">
  <si>
    <t>Date</t>
  </si>
  <si>
    <t>State</t>
  </si>
  <si>
    <t>City</t>
  </si>
  <si>
    <t>Manufacturer</t>
  </si>
  <si>
    <t>Model</t>
  </si>
  <si>
    <t>EV Type</t>
  </si>
  <si>
    <t>Battery Capacity (kWh)</t>
  </si>
  <si>
    <t>Range (km)</t>
  </si>
  <si>
    <t>Units Sold</t>
  </si>
  <si>
    <t>Unit Price (INR)</t>
  </si>
  <si>
    <t>Revenue (INR)</t>
  </si>
  <si>
    <t>Customer Type</t>
  </si>
  <si>
    <t>Payment Method</t>
  </si>
  <si>
    <t>Year</t>
  </si>
  <si>
    <t>Quarter</t>
  </si>
  <si>
    <t>Month</t>
  </si>
  <si>
    <t>Month Number</t>
  </si>
  <si>
    <t>Year-Month</t>
  </si>
  <si>
    <t>Average Revenue per EV</t>
  </si>
  <si>
    <t>Revenue (Cr)</t>
  </si>
  <si>
    <t>Telangana</t>
  </si>
  <si>
    <t>Warangal</t>
  </si>
  <si>
    <t>Audi</t>
  </si>
  <si>
    <t>Q4 e-tron</t>
  </si>
  <si>
    <t>Battery Electric (BEV)</t>
  </si>
  <si>
    <t>Corporate</t>
  </si>
  <si>
    <t>Loan/EMI</t>
  </si>
  <si>
    <t>Q1</t>
  </si>
  <si>
    <t>Jan</t>
  </si>
  <si>
    <t>Delhi</t>
  </si>
  <si>
    <t>New Delhi</t>
  </si>
  <si>
    <t>Ola</t>
  </si>
  <si>
    <t>S1 Pro</t>
  </si>
  <si>
    <t>Individual</t>
  </si>
  <si>
    <t>Lease</t>
  </si>
  <si>
    <t>Uttar Pradesh</t>
  </si>
  <si>
    <t>Ghaziabad</t>
  </si>
  <si>
    <t>Mercedes</t>
  </si>
  <si>
    <t>EQB</t>
  </si>
  <si>
    <t>Hybrid Electric (HEV)</t>
  </si>
  <si>
    <t>Maharashtra</t>
  </si>
  <si>
    <t>Nagpur</t>
  </si>
  <si>
    <t>Hero Electric</t>
  </si>
  <si>
    <t>Optima</t>
  </si>
  <si>
    <t>Punjab</t>
  </si>
  <si>
    <t>Jalandhar</t>
  </si>
  <si>
    <t>Karnataka</t>
  </si>
  <si>
    <t>Mysuru</t>
  </si>
  <si>
    <t>Gujarat</t>
  </si>
  <si>
    <t>Surat</t>
  </si>
  <si>
    <t>Kia</t>
  </si>
  <si>
    <t>EV6</t>
  </si>
  <si>
    <t>Andhra Pradesh</t>
  </si>
  <si>
    <t>Tirupati</t>
  </si>
  <si>
    <t>Citroen</t>
  </si>
  <si>
    <t>eC3</t>
  </si>
  <si>
    <t>Mangaluru</t>
  </si>
  <si>
    <t>Hyundai</t>
  </si>
  <si>
    <t>Ioniq 5</t>
  </si>
  <si>
    <t>West Bengal</t>
  </si>
  <si>
    <t>Kolkata</t>
  </si>
  <si>
    <t>Bihar</t>
  </si>
  <si>
    <t>Muzaffarpur</t>
  </si>
  <si>
    <t>Bajaj</t>
  </si>
  <si>
    <t>Chetak</t>
  </si>
  <si>
    <t>Dwarka</t>
  </si>
  <si>
    <t>Vijayawada</t>
  </si>
  <si>
    <t>BMW</t>
  </si>
  <si>
    <t>iX1</t>
  </si>
  <si>
    <t>Rajkot</t>
  </si>
  <si>
    <t>MG</t>
  </si>
  <si>
    <t>ZS EV</t>
  </si>
  <si>
    <t>Plug-in Hybrid (PHEV)</t>
  </si>
  <si>
    <t>Vadodara</t>
  </si>
  <si>
    <t>Comet EV</t>
  </si>
  <si>
    <t>Kerala</t>
  </si>
  <si>
    <t>Kochi</t>
  </si>
  <si>
    <t>Full Payment</t>
  </si>
  <si>
    <t>Pune</t>
  </si>
  <si>
    <t>Volvo</t>
  </si>
  <si>
    <t>XC40 Recharge</t>
  </si>
  <si>
    <t>Durgapur</t>
  </si>
  <si>
    <t>Mahindra</t>
  </si>
  <si>
    <t>XUV400</t>
  </si>
  <si>
    <t>Tamil Nadu</t>
  </si>
  <si>
    <t>Coimbatore</t>
  </si>
  <si>
    <t>Kona Electric</t>
  </si>
  <si>
    <t>Kanpur</t>
  </si>
  <si>
    <t>BYD</t>
  </si>
  <si>
    <t>Seal</t>
  </si>
  <si>
    <t>Haryana</t>
  </si>
  <si>
    <t>Faridabad</t>
  </si>
  <si>
    <t>Government</t>
  </si>
  <si>
    <t>Madurai</t>
  </si>
  <si>
    <t>Tata</t>
  </si>
  <si>
    <t>Nexon EV</t>
  </si>
  <si>
    <t>Saket</t>
  </si>
  <si>
    <t>Others</t>
  </si>
  <si>
    <t>Ahmedabad</t>
  </si>
  <si>
    <t>Panipat</t>
  </si>
  <si>
    <t>Ather</t>
  </si>
  <si>
    <t>450X</t>
  </si>
  <si>
    <t>TVS</t>
  </si>
  <si>
    <t>iQube</t>
  </si>
  <si>
    <t>Rohini</t>
  </si>
  <si>
    <t>Nashik</t>
  </si>
  <si>
    <t>Madhya Pradesh</t>
  </si>
  <si>
    <t>Bhopal</t>
  </si>
  <si>
    <t>Rajasthan</t>
  </si>
  <si>
    <t>Jodhpur</t>
  </si>
  <si>
    <t>Bengaluru</t>
  </si>
  <si>
    <t>Atto 3</t>
  </si>
  <si>
    <t>Hyderabad</t>
  </si>
  <si>
    <t>Salem</t>
  </si>
  <si>
    <t>Hisar</t>
  </si>
  <si>
    <t>Tiago EV</t>
  </si>
  <si>
    <t>Visakhapatnam</t>
  </si>
  <si>
    <t>Ludhiana</t>
  </si>
  <si>
    <t>i4</t>
  </si>
  <si>
    <t>Gwalior</t>
  </si>
  <si>
    <t>Indore</t>
  </si>
  <si>
    <t>Noida</t>
  </si>
  <si>
    <t>Thiruvananthapuram</t>
  </si>
  <si>
    <t>Kota</t>
  </si>
  <si>
    <t>S1 Air</t>
  </si>
  <si>
    <t>Nizamabad</t>
  </si>
  <si>
    <t>Chennai</t>
  </si>
  <si>
    <t>Gaya</t>
  </si>
  <si>
    <t>Gurugram</t>
  </si>
  <si>
    <t>Siliguri</t>
  </si>
  <si>
    <t>Feb</t>
  </si>
  <si>
    <t>Udaipur</t>
  </si>
  <si>
    <t>Lucknow</t>
  </si>
  <si>
    <t>Jaipur</t>
  </si>
  <si>
    <t>Kozhikode</t>
  </si>
  <si>
    <t>Asansol</t>
  </si>
  <si>
    <t>Mumbai</t>
  </si>
  <si>
    <t>Hubballi</t>
  </si>
  <si>
    <t>Fuel Cell Electric (FCEV)</t>
  </si>
  <si>
    <t>Mar</t>
  </si>
  <si>
    <t>Punch EV</t>
  </si>
  <si>
    <t>BE 6</t>
  </si>
  <si>
    <t>Amritsar</t>
  </si>
  <si>
    <t>Q2</t>
  </si>
  <si>
    <t>Apr</t>
  </si>
  <si>
    <t>May</t>
  </si>
  <si>
    <t>Jun</t>
  </si>
  <si>
    <t>Patna</t>
  </si>
  <si>
    <t>Q3</t>
  </si>
  <si>
    <t>Jul</t>
  </si>
  <si>
    <t>Aug</t>
  </si>
  <si>
    <t>Sep</t>
  </si>
  <si>
    <t>Q4</t>
  </si>
  <si>
    <t>Oct</t>
  </si>
  <si>
    <t>Nov</t>
  </si>
  <si>
    <t>Dec</t>
  </si>
  <si>
    <t>Typical Min Price</t>
  </si>
  <si>
    <t>Typical Max Price</t>
  </si>
  <si>
    <t>Grand Total</t>
  </si>
  <si>
    <t>Sum of Units Sold</t>
  </si>
  <si>
    <t>Total Units Sold</t>
  </si>
  <si>
    <t xml:space="preserve"> EV SALES &amp; MARKET ANALYTICS DASHBOARD</t>
  </si>
  <si>
    <t>🚗 TOTAL EVs SOLD</t>
  </si>
  <si>
    <t>💰 TOTAL REVENUE</t>
  </si>
  <si>
    <t>🏭 MANUFACTURERS</t>
  </si>
  <si>
    <t>🚘 EV MODELS</t>
  </si>
  <si>
    <t>📈 YOY GROWTH</t>
  </si>
  <si>
    <t>💵 AVG EV PRICE</t>
  </si>
  <si>
    <t>Sum of Revenue (Cr)</t>
  </si>
  <si>
    <t>Total Revenue (Cr)</t>
  </si>
  <si>
    <t>Toal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</si>
</sst>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_ [$₹-4009]\ * #,##0.00_ ;_ [$₹-4009]\ * \-#,##0.00_ ;_ [$₹-4009]\ * &quot;-&quot;??_ ;_ @_ "/>
    <numFmt numFmtId="167" formatCode="yyyy/mm"/>
  </numFmts>
  <fonts count="5" x14ac:knownFonts="1">
    <font>
      <sz val="11"/>
      <color theme="1"/>
      <name val="Calibri"/>
      <family val="2"/>
      <scheme val="minor"/>
    </font>
    <font>
      <sz val="16"/>
      <color theme="2"/>
      <name val="Gill Sans Ultra Bold"/>
      <family val="2"/>
    </font>
    <font>
      <sz val="16"/>
      <color theme="2"/>
      <name val="Mongolian Baiti"/>
      <family val="4"/>
    </font>
    <font>
      <b/>
      <sz val="16"/>
      <color theme="1" tint="0.14999847407452621"/>
      <name val="Maiandra GD"/>
      <family val="2"/>
    </font>
    <font>
      <sz val="14"/>
      <color theme="1" tint="4.9989318521683403E-2"/>
      <name val="Copperplate Gothic Bold"/>
      <family val="2"/>
    </font>
  </fonts>
  <fills count="5">
    <fill>
      <patternFill patternType="none"/>
    </fill>
    <fill>
      <patternFill patternType="gray125"/>
    </fill>
    <fill>
      <patternFill patternType="solid">
        <fgColor theme="9" tint="-0.499984740745262"/>
        <bgColor indexed="64"/>
      </patternFill>
    </fill>
    <fill>
      <patternFill patternType="solid">
        <fgColor theme="9"/>
        <bgColor indexed="64"/>
      </patternFill>
    </fill>
    <fill>
      <patternFill patternType="solid">
        <fgColor theme="9" tint="0.59999389629810485"/>
        <bgColor indexed="64"/>
      </patternFill>
    </fill>
  </fills>
  <borders count="4">
    <border>
      <left/>
      <right/>
      <top/>
      <bottom/>
      <diagonal/>
    </border>
    <border>
      <left/>
      <right/>
      <top style="thin">
        <color theme="9" tint="-0.499984740745262"/>
      </top>
      <bottom/>
      <diagonal/>
    </border>
    <border>
      <left style="thin">
        <color indexed="64"/>
      </left>
      <right style="thin">
        <color theme="9" tint="-0.499984740745262"/>
      </right>
      <top style="thin">
        <color theme="9" tint="-0.499984740745262"/>
      </top>
      <bottom style="thin">
        <color theme="9" tint="-0.499984740745262"/>
      </bottom>
      <diagonal/>
    </border>
    <border>
      <left style="thin">
        <color theme="9" tint="-0.499984740745262"/>
      </left>
      <right style="thin">
        <color theme="9" tint="-0.499984740745262"/>
      </right>
      <top style="thin">
        <color indexed="64"/>
      </top>
      <bottom/>
      <diagonal/>
    </border>
  </borders>
  <cellStyleXfs count="1">
    <xf numFmtId="0" fontId="0" fillId="0" borderId="0"/>
  </cellStyleXfs>
  <cellXfs count="17">
    <xf numFmtId="0" fontId="0" fillId="0" borderId="0" xfId="0"/>
    <xf numFmtId="14" fontId="0" fillId="0" borderId="0" xfId="0" applyNumberFormat="1"/>
    <xf numFmtId="0" fontId="0" fillId="0" borderId="0" xfId="0" applyNumberFormat="1"/>
    <xf numFmtId="165" fontId="0" fillId="0" borderId="0" xfId="0" applyNumberFormat="1"/>
    <xf numFmtId="167" fontId="0" fillId="0" borderId="0" xfId="0" applyNumberFormat="1"/>
    <xf numFmtId="0" fontId="0" fillId="0" borderId="0" xfId="0" pivotButton="1"/>
    <xf numFmtId="0" fontId="0" fillId="0" borderId="0" xfId="0" applyAlignment="1">
      <alignment horizontal="left"/>
    </xf>
    <xf numFmtId="167" fontId="0" fillId="0" borderId="0" xfId="0" applyNumberFormat="1" applyAlignment="1">
      <alignment horizontal="left"/>
    </xf>
    <xf numFmtId="0" fontId="0" fillId="0" borderId="0" xfId="0" applyAlignment="1">
      <alignment horizontal="center" vertical="center"/>
    </xf>
    <xf numFmtId="0" fontId="1" fillId="2" borderId="0" xfId="0" applyFont="1" applyFill="1" applyAlignment="1">
      <alignment horizontal="left" vertical="top" indent="10"/>
    </xf>
    <xf numFmtId="0" fontId="2" fillId="2" borderId="0" xfId="0" applyFont="1" applyFill="1" applyAlignment="1">
      <alignment horizontal="left" vertical="top" indent="10"/>
    </xf>
    <xf numFmtId="10" fontId="0" fillId="0" borderId="0" xfId="0" applyNumberFormat="1" applyAlignment="1">
      <alignment horizontal="center" vertical="center"/>
    </xf>
    <xf numFmtId="0" fontId="0" fillId="0" borderId="1" xfId="0" applyBorder="1"/>
    <xf numFmtId="0" fontId="3" fillId="3" borderId="3" xfId="0" applyFont="1" applyFill="1" applyBorder="1" applyAlignment="1">
      <alignment horizontal="center" vertical="center"/>
    </xf>
    <xf numFmtId="0" fontId="4" fillId="4" borderId="2" xfId="0" applyNumberFormat="1" applyFont="1" applyFill="1" applyBorder="1" applyAlignment="1">
      <alignment horizontal="center" vertical="center"/>
    </xf>
    <xf numFmtId="10" fontId="4" fillId="4" borderId="2" xfId="0" applyNumberFormat="1" applyFont="1" applyFill="1" applyBorder="1" applyAlignment="1">
      <alignment horizontal="center" vertical="center"/>
    </xf>
    <xf numFmtId="164" fontId="4" fillId="4" borderId="2" xfId="0" applyNumberFormat="1" applyFont="1" applyFill="1" applyBorder="1" applyAlignment="1">
      <alignment horizontal="center" vertical="center"/>
    </xf>
  </cellXfs>
  <cellStyles count="1">
    <cellStyle name="Normal" xfId="0" builtinId="0"/>
  </cellStyles>
  <dxfs count="17">
    <dxf>
      <numFmt numFmtId="167" formatCode="yyyy/mm"/>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Invisible" pivot="0" table="0" count="0" xr9:uid="{A95C0EC1-2CD4-43AA-8761-1B41D07FDB9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5.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EV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Lit>
              <c:ptCount val="4"/>
              <c:pt idx="0">
                <c:v>Battery Electric (BEV)</c:v>
              </c:pt>
              <c:pt idx="1">
                <c:v>Fuel Cell Electric (FCEV)</c:v>
              </c:pt>
              <c:pt idx="2">
                <c:v>Hybrid Electric (HEV)</c:v>
              </c:pt>
              <c:pt idx="3">
                <c:v>Plug-in Hybrid (PHEV)</c:v>
              </c:pt>
            </c:strLit>
          </c:cat>
          <c:val>
            <c:numLit>
              <c:formatCode>General</c:formatCode>
              <c:ptCount val="4"/>
              <c:pt idx="0">
                <c:v>21884.599999999951</c:v>
              </c:pt>
              <c:pt idx="1">
                <c:v>1308.5200000000004</c:v>
              </c:pt>
              <c:pt idx="2">
                <c:v>5395.15</c:v>
              </c:pt>
              <c:pt idx="3">
                <c:v>4065.6500000000019</c:v>
              </c:pt>
            </c:numLit>
          </c:val>
          <c:extLst>
            <c:ext xmlns:c16="http://schemas.microsoft.com/office/drawing/2014/chart" uri="{C3380CC4-5D6E-409C-BE32-E72D297353CC}">
              <c16:uniqueId val="{00000000-38D1-4400-B34E-0DD61C6EBEF3}"/>
            </c:ext>
          </c:extLst>
        </c:ser>
        <c:dLbls>
          <c:showLegendKey val="0"/>
          <c:showVal val="0"/>
          <c:showCatName val="0"/>
          <c:showSerName val="0"/>
          <c:showPercent val="0"/>
          <c:showBubbleSize val="0"/>
        </c:dLbls>
        <c:gapWidth val="100"/>
        <c:overlap val="-24"/>
        <c:axId val="1315537215"/>
        <c:axId val="1982102095"/>
      </c:barChart>
      <c:catAx>
        <c:axId val="1315537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02095"/>
        <c:crosses val="autoZero"/>
        <c:auto val="1"/>
        <c:lblAlgn val="ctr"/>
        <c:lblOffset val="100"/>
        <c:noMultiLvlLbl val="0"/>
      </c:catAx>
      <c:valAx>
        <c:axId val="198210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53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Quarterly EV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Lit>
              <c:ptCount val="4"/>
              <c:pt idx="0">
                <c:v>Q1</c:v>
              </c:pt>
              <c:pt idx="1">
                <c:v>Q2</c:v>
              </c:pt>
              <c:pt idx="2">
                <c:v>Q3</c:v>
              </c:pt>
              <c:pt idx="3">
                <c:v>Q4</c:v>
              </c:pt>
            </c:strLit>
          </c:cat>
          <c:val>
            <c:numLit>
              <c:formatCode>General</c:formatCode>
              <c:ptCount val="4"/>
              <c:pt idx="0">
                <c:v>33532</c:v>
              </c:pt>
              <c:pt idx="1">
                <c:v>35754</c:v>
              </c:pt>
              <c:pt idx="2">
                <c:v>36062</c:v>
              </c:pt>
              <c:pt idx="3">
                <c:v>34024</c:v>
              </c:pt>
            </c:numLit>
          </c:val>
          <c:extLst>
            <c:ext xmlns:c16="http://schemas.microsoft.com/office/drawing/2014/chart" uri="{C3380CC4-5D6E-409C-BE32-E72D297353CC}">
              <c16:uniqueId val="{00000000-88B8-47D6-BC8C-9724D00029D2}"/>
            </c:ext>
          </c:extLst>
        </c:ser>
        <c:dLbls>
          <c:showLegendKey val="0"/>
          <c:showVal val="0"/>
          <c:showCatName val="0"/>
          <c:showSerName val="0"/>
          <c:showPercent val="0"/>
          <c:showBubbleSize val="0"/>
        </c:dLbls>
        <c:gapWidth val="100"/>
        <c:overlap val="-24"/>
        <c:axId val="1315433279"/>
        <c:axId val="1982106415"/>
      </c:barChart>
      <c:catAx>
        <c:axId val="1315433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06415"/>
        <c:crosses val="autoZero"/>
        <c:auto val="1"/>
        <c:lblAlgn val="ctr"/>
        <c:lblOffset val="100"/>
        <c:noMultiLvlLbl val="0"/>
      </c:catAx>
      <c:valAx>
        <c:axId val="198210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3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DATA!PivotTable19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EV Sales Trend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DATA'!$B$1</c:f>
              <c:strCache>
                <c:ptCount val="1"/>
                <c:pt idx="0">
                  <c:v>Total</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cat>
            <c:strRef>
              <c:f>'PIVOT DATA'!$A$2:$A$26</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'PIVOT DATA'!$B$2:$B$26</c:f>
              <c:numCache>
                <c:formatCode>General</c:formatCode>
                <c:ptCount val="24"/>
                <c:pt idx="0">
                  <c:v>5516</c:v>
                </c:pt>
                <c:pt idx="1">
                  <c:v>4547</c:v>
                </c:pt>
                <c:pt idx="2">
                  <c:v>6462</c:v>
                </c:pt>
                <c:pt idx="3">
                  <c:v>6299</c:v>
                </c:pt>
                <c:pt idx="4">
                  <c:v>4768</c:v>
                </c:pt>
                <c:pt idx="5">
                  <c:v>6075</c:v>
                </c:pt>
                <c:pt idx="6">
                  <c:v>6384</c:v>
                </c:pt>
                <c:pt idx="7">
                  <c:v>6222</c:v>
                </c:pt>
                <c:pt idx="8">
                  <c:v>5407</c:v>
                </c:pt>
                <c:pt idx="9">
                  <c:v>6406</c:v>
                </c:pt>
                <c:pt idx="10">
                  <c:v>5763</c:v>
                </c:pt>
                <c:pt idx="11">
                  <c:v>3944</c:v>
                </c:pt>
                <c:pt idx="12">
                  <c:v>5798</c:v>
                </c:pt>
                <c:pt idx="13">
                  <c:v>5528</c:v>
                </c:pt>
                <c:pt idx="14">
                  <c:v>5681</c:v>
                </c:pt>
                <c:pt idx="15">
                  <c:v>6795</c:v>
                </c:pt>
                <c:pt idx="16">
                  <c:v>5591</c:v>
                </c:pt>
                <c:pt idx="17">
                  <c:v>6226</c:v>
                </c:pt>
                <c:pt idx="18">
                  <c:v>5061</c:v>
                </c:pt>
                <c:pt idx="19">
                  <c:v>6473</c:v>
                </c:pt>
                <c:pt idx="20">
                  <c:v>6515</c:v>
                </c:pt>
                <c:pt idx="21">
                  <c:v>6441</c:v>
                </c:pt>
                <c:pt idx="22">
                  <c:v>6084</c:v>
                </c:pt>
                <c:pt idx="23">
                  <c:v>5386</c:v>
                </c:pt>
              </c:numCache>
            </c:numRef>
          </c:val>
          <c:smooth val="0"/>
          <c:extLst>
            <c:ext xmlns:c16="http://schemas.microsoft.com/office/drawing/2014/chart" uri="{C3380CC4-5D6E-409C-BE32-E72D297353CC}">
              <c16:uniqueId val="{00000000-C71A-4652-82E0-39A2241506A0}"/>
            </c:ext>
          </c:extLst>
        </c:ser>
        <c:dLbls>
          <c:showLegendKey val="0"/>
          <c:showVal val="0"/>
          <c:showCatName val="0"/>
          <c:showSerName val="0"/>
          <c:showPercent val="0"/>
          <c:showBubbleSize val="0"/>
        </c:dLbls>
        <c:marker val="1"/>
        <c:smooth val="0"/>
        <c:axId val="1358385231"/>
        <c:axId val="1907593871"/>
      </c:lineChart>
      <c:catAx>
        <c:axId val="1358385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93871"/>
        <c:crosses val="autoZero"/>
        <c:auto val="1"/>
        <c:lblAlgn val="ctr"/>
        <c:lblOffset val="100"/>
        <c:noMultiLvlLbl val="0"/>
      </c:catAx>
      <c:valAx>
        <c:axId val="190759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38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EV Sales by Manufacturer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DATA'!$E$1</c:f>
              <c:strCache>
                <c:ptCount val="1"/>
                <c:pt idx="0">
                  <c:v>Total</c:v>
                </c:pt>
              </c:strCache>
            </c:strRef>
          </c:tx>
          <c:spPr>
            <a:solidFill>
              <a:schemeClr val="accent6">
                <a:lumMod val="75000"/>
              </a:schemeClr>
            </a:solidFill>
            <a:ln>
              <a:solidFill>
                <a:schemeClr val="accent6">
                  <a:lumMod val="75000"/>
                </a:schemeClr>
              </a:solidFill>
            </a:ln>
            <a:effectLst>
              <a:outerShdw blurRad="57150" dist="19050" dir="5400000" algn="ctr" rotWithShape="0">
                <a:srgbClr val="000000">
                  <a:alpha val="63000"/>
                </a:srgbClr>
              </a:outerShdw>
            </a:effectLst>
          </c:spPr>
          <c:invertIfNegative val="0"/>
          <c:cat>
            <c:strRef>
              <c:f>'PIVOT DATA'!$D$2:$D$18</c:f>
              <c:strCache>
                <c:ptCount val="16"/>
                <c:pt idx="0">
                  <c:v>Hero Electric</c:v>
                </c:pt>
                <c:pt idx="1">
                  <c:v>Tata</c:v>
                </c:pt>
                <c:pt idx="2">
                  <c:v>Hyundai</c:v>
                </c:pt>
                <c:pt idx="3">
                  <c:v>MG</c:v>
                </c:pt>
                <c:pt idx="4">
                  <c:v>Bajaj</c:v>
                </c:pt>
                <c:pt idx="5">
                  <c:v>Mahindra</c:v>
                </c:pt>
                <c:pt idx="6">
                  <c:v>Ola</c:v>
                </c:pt>
                <c:pt idx="7">
                  <c:v>TVS</c:v>
                </c:pt>
                <c:pt idx="8">
                  <c:v>Ather</c:v>
                </c:pt>
                <c:pt idx="9">
                  <c:v>Audi</c:v>
                </c:pt>
                <c:pt idx="10">
                  <c:v>BMW</c:v>
                </c:pt>
                <c:pt idx="11">
                  <c:v>Citroen</c:v>
                </c:pt>
                <c:pt idx="12">
                  <c:v>Kia</c:v>
                </c:pt>
                <c:pt idx="13">
                  <c:v>BYD</c:v>
                </c:pt>
                <c:pt idx="14">
                  <c:v>Mercedes</c:v>
                </c:pt>
                <c:pt idx="15">
                  <c:v>Volvo</c:v>
                </c:pt>
              </c:strCache>
            </c:strRef>
          </c:cat>
          <c:val>
            <c:numRef>
              <c:f>'PIVOT DATA'!$E$2:$E$18</c:f>
              <c:numCache>
                <c:formatCode>General</c:formatCode>
                <c:ptCount val="16"/>
                <c:pt idx="0">
                  <c:v>11955</c:v>
                </c:pt>
                <c:pt idx="1">
                  <c:v>11950</c:v>
                </c:pt>
                <c:pt idx="2">
                  <c:v>11903</c:v>
                </c:pt>
                <c:pt idx="3">
                  <c:v>11702</c:v>
                </c:pt>
                <c:pt idx="4">
                  <c:v>11578</c:v>
                </c:pt>
                <c:pt idx="5">
                  <c:v>11460</c:v>
                </c:pt>
                <c:pt idx="6">
                  <c:v>10680</c:v>
                </c:pt>
                <c:pt idx="7">
                  <c:v>10587</c:v>
                </c:pt>
                <c:pt idx="8">
                  <c:v>10440</c:v>
                </c:pt>
                <c:pt idx="9">
                  <c:v>6518</c:v>
                </c:pt>
                <c:pt idx="10">
                  <c:v>5822</c:v>
                </c:pt>
                <c:pt idx="11">
                  <c:v>5217</c:v>
                </c:pt>
                <c:pt idx="12">
                  <c:v>5189</c:v>
                </c:pt>
                <c:pt idx="13">
                  <c:v>5170</c:v>
                </c:pt>
                <c:pt idx="14">
                  <c:v>4637</c:v>
                </c:pt>
                <c:pt idx="15">
                  <c:v>4564</c:v>
                </c:pt>
              </c:numCache>
            </c:numRef>
          </c:val>
          <c:extLst>
            <c:ext xmlns:c16="http://schemas.microsoft.com/office/drawing/2014/chart" uri="{C3380CC4-5D6E-409C-BE32-E72D297353CC}">
              <c16:uniqueId val="{00000000-D313-4C57-BD50-B668862465BF}"/>
            </c:ext>
          </c:extLst>
        </c:ser>
        <c:dLbls>
          <c:showLegendKey val="0"/>
          <c:showVal val="0"/>
          <c:showCatName val="0"/>
          <c:showSerName val="0"/>
          <c:showPercent val="0"/>
          <c:showBubbleSize val="0"/>
        </c:dLbls>
        <c:gapWidth val="115"/>
        <c:overlap val="-20"/>
        <c:axId val="1315514479"/>
        <c:axId val="1907430191"/>
      </c:barChart>
      <c:catAx>
        <c:axId val="13155144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430191"/>
        <c:crosses val="autoZero"/>
        <c:auto val="1"/>
        <c:lblAlgn val="ctr"/>
        <c:lblOffset val="100"/>
        <c:noMultiLvlLbl val="0"/>
      </c:catAx>
      <c:valAx>
        <c:axId val="190743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51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DATA!PivotTable21</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EV Type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doughnutChart>
        <c:varyColors val="1"/>
        <c:ser>
          <c:idx val="0"/>
          <c:order val="0"/>
          <c:tx>
            <c:strRef>
              <c:f>'PIVOT DATA'!$H$1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798-4E64-AA45-B3685497E8D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798-4E64-AA45-B3685497E8D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798-4E64-AA45-B3685497E8D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798-4E64-AA45-B3685497E8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DATA'!$G$2:$G$6</c:f>
              <c:strCache>
                <c:ptCount val="4"/>
                <c:pt idx="0">
                  <c:v>Battery Electric (BEV)</c:v>
                </c:pt>
                <c:pt idx="1">
                  <c:v>Fuel Cell Electric (FCEV)</c:v>
                </c:pt>
                <c:pt idx="2">
                  <c:v>Hybrid Electric (HEV)</c:v>
                </c:pt>
                <c:pt idx="3">
                  <c:v>Plug-in Hybrid (PHEV)</c:v>
                </c:pt>
              </c:strCache>
            </c:strRef>
          </c:cat>
          <c:val>
            <c:numRef>
              <c:f>'PIVOT DATA'!$H$2:$H$6</c:f>
              <c:numCache>
                <c:formatCode>General</c:formatCode>
                <c:ptCount val="4"/>
                <c:pt idx="0">
                  <c:v>111834</c:v>
                </c:pt>
                <c:pt idx="1">
                  <c:v>3299</c:v>
                </c:pt>
                <c:pt idx="2">
                  <c:v>13666</c:v>
                </c:pt>
                <c:pt idx="3">
                  <c:v>10573</c:v>
                </c:pt>
              </c:numCache>
            </c:numRef>
          </c:val>
          <c:extLst>
            <c:ext xmlns:c16="http://schemas.microsoft.com/office/drawing/2014/chart" uri="{C3380CC4-5D6E-409C-BE32-E72D297353CC}">
              <c16:uniqueId val="{00000008-3798-4E64-AA45-B3685497E8D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EV Sales by State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DATA'!$K$1</c:f>
              <c:strCache>
                <c:ptCount val="1"/>
                <c:pt idx="0">
                  <c:v>Total</c:v>
                </c:pt>
              </c:strCache>
            </c:strRef>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Ref>
              <c:f>'PIVOT DATA'!$J$2:$J$17</c:f>
              <c:strCache>
                <c:ptCount val="15"/>
                <c:pt idx="0">
                  <c:v>Maharashtra</c:v>
                </c:pt>
                <c:pt idx="1">
                  <c:v>Karnataka</c:v>
                </c:pt>
                <c:pt idx="2">
                  <c:v>Tamil Nadu</c:v>
                </c:pt>
                <c:pt idx="3">
                  <c:v>Uttar Pradesh</c:v>
                </c:pt>
                <c:pt idx="4">
                  <c:v>Gujarat</c:v>
                </c:pt>
                <c:pt idx="5">
                  <c:v>Delhi</c:v>
                </c:pt>
                <c:pt idx="6">
                  <c:v>Telangana</c:v>
                </c:pt>
                <c:pt idx="7">
                  <c:v>Haryana</c:v>
                </c:pt>
                <c:pt idx="8">
                  <c:v>Rajasthan</c:v>
                </c:pt>
                <c:pt idx="9">
                  <c:v>Kerala</c:v>
                </c:pt>
                <c:pt idx="10">
                  <c:v>Madhya Pradesh</c:v>
                </c:pt>
                <c:pt idx="11">
                  <c:v>West Bengal</c:v>
                </c:pt>
                <c:pt idx="12">
                  <c:v>Punjab</c:v>
                </c:pt>
                <c:pt idx="13">
                  <c:v>Andhra Pradesh</c:v>
                </c:pt>
                <c:pt idx="14">
                  <c:v>Bihar</c:v>
                </c:pt>
              </c:strCache>
            </c:strRef>
          </c:cat>
          <c:val>
            <c:numRef>
              <c:f>'PIVOT DATA'!$K$2:$K$17</c:f>
              <c:numCache>
                <c:formatCode>General</c:formatCode>
                <c:ptCount val="15"/>
                <c:pt idx="0">
                  <c:v>17141</c:v>
                </c:pt>
                <c:pt idx="1">
                  <c:v>15036</c:v>
                </c:pt>
                <c:pt idx="2">
                  <c:v>12502</c:v>
                </c:pt>
                <c:pt idx="3">
                  <c:v>12219</c:v>
                </c:pt>
                <c:pt idx="4">
                  <c:v>11906</c:v>
                </c:pt>
                <c:pt idx="5">
                  <c:v>10594</c:v>
                </c:pt>
                <c:pt idx="6">
                  <c:v>9261</c:v>
                </c:pt>
                <c:pt idx="7">
                  <c:v>9121</c:v>
                </c:pt>
                <c:pt idx="8">
                  <c:v>8254</c:v>
                </c:pt>
                <c:pt idx="9">
                  <c:v>8011</c:v>
                </c:pt>
                <c:pt idx="10">
                  <c:v>7068</c:v>
                </c:pt>
                <c:pt idx="11">
                  <c:v>6779</c:v>
                </c:pt>
                <c:pt idx="12">
                  <c:v>5130</c:v>
                </c:pt>
                <c:pt idx="13">
                  <c:v>4048</c:v>
                </c:pt>
                <c:pt idx="14">
                  <c:v>2302</c:v>
                </c:pt>
              </c:numCache>
            </c:numRef>
          </c:val>
          <c:extLst>
            <c:ext xmlns:c16="http://schemas.microsoft.com/office/drawing/2014/chart" uri="{C3380CC4-5D6E-409C-BE32-E72D297353CC}">
              <c16:uniqueId val="{00000000-10C2-4113-B2D6-EEA1F053C8D4}"/>
            </c:ext>
          </c:extLst>
        </c:ser>
        <c:dLbls>
          <c:showLegendKey val="0"/>
          <c:showVal val="0"/>
          <c:showCatName val="0"/>
          <c:showSerName val="0"/>
          <c:showPercent val="0"/>
          <c:showBubbleSize val="0"/>
        </c:dLbls>
        <c:gapWidth val="115"/>
        <c:overlap val="-20"/>
        <c:axId val="1315516799"/>
        <c:axId val="1907556911"/>
      </c:barChart>
      <c:catAx>
        <c:axId val="13155167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56911"/>
        <c:crosses val="autoZero"/>
        <c:auto val="1"/>
        <c:lblAlgn val="ctr"/>
        <c:lblOffset val="100"/>
        <c:noMultiLvlLbl val="0"/>
      </c:catAx>
      <c:valAx>
        <c:axId val="190755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5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EV Models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DATA'!$N$1</c:f>
              <c:strCache>
                <c:ptCount val="1"/>
                <c:pt idx="0">
                  <c:v>Total</c:v>
                </c:pt>
              </c:strCache>
            </c:strRef>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Ref>
              <c:f>'PIVOT DATA'!$M$2:$M$26</c:f>
              <c:strCache>
                <c:ptCount val="24"/>
                <c:pt idx="0">
                  <c:v>Optima</c:v>
                </c:pt>
                <c:pt idx="1">
                  <c:v>Chetak</c:v>
                </c:pt>
                <c:pt idx="2">
                  <c:v>iQube</c:v>
                </c:pt>
                <c:pt idx="3">
                  <c:v>450X</c:v>
                </c:pt>
                <c:pt idx="4">
                  <c:v>Q4 e-tron</c:v>
                </c:pt>
                <c:pt idx="5">
                  <c:v>Comet EV</c:v>
                </c:pt>
                <c:pt idx="6">
                  <c:v>BE 6</c:v>
                </c:pt>
                <c:pt idx="7">
                  <c:v>Kona Electric</c:v>
                </c:pt>
                <c:pt idx="8">
                  <c:v>Ioniq 5</c:v>
                </c:pt>
                <c:pt idx="9">
                  <c:v>S1 Air</c:v>
                </c:pt>
                <c:pt idx="10">
                  <c:v>ZS EV</c:v>
                </c:pt>
                <c:pt idx="11">
                  <c:v>eC3</c:v>
                </c:pt>
                <c:pt idx="12">
                  <c:v>XUV400</c:v>
                </c:pt>
                <c:pt idx="13">
                  <c:v>EV6</c:v>
                </c:pt>
                <c:pt idx="14">
                  <c:v>S1 Pro</c:v>
                </c:pt>
                <c:pt idx="15">
                  <c:v>Nexon EV</c:v>
                </c:pt>
                <c:pt idx="16">
                  <c:v>EQB</c:v>
                </c:pt>
                <c:pt idx="17">
                  <c:v>XC40 Recharge</c:v>
                </c:pt>
                <c:pt idx="18">
                  <c:v>Punch EV</c:v>
                </c:pt>
                <c:pt idx="19">
                  <c:v>Tiago EV</c:v>
                </c:pt>
                <c:pt idx="20">
                  <c:v>iX1</c:v>
                </c:pt>
                <c:pt idx="21">
                  <c:v>Atto 3</c:v>
                </c:pt>
                <c:pt idx="22">
                  <c:v>i4</c:v>
                </c:pt>
                <c:pt idx="23">
                  <c:v>Seal</c:v>
                </c:pt>
              </c:strCache>
            </c:strRef>
          </c:cat>
          <c:val>
            <c:numRef>
              <c:f>'PIVOT DATA'!$N$2:$N$26</c:f>
              <c:numCache>
                <c:formatCode>General</c:formatCode>
                <c:ptCount val="24"/>
                <c:pt idx="0">
                  <c:v>11955</c:v>
                </c:pt>
                <c:pt idx="1">
                  <c:v>11578</c:v>
                </c:pt>
                <c:pt idx="2">
                  <c:v>10587</c:v>
                </c:pt>
                <c:pt idx="3">
                  <c:v>10440</c:v>
                </c:pt>
                <c:pt idx="4">
                  <c:v>6518</c:v>
                </c:pt>
                <c:pt idx="5">
                  <c:v>6249</c:v>
                </c:pt>
                <c:pt idx="6">
                  <c:v>6245</c:v>
                </c:pt>
                <c:pt idx="7">
                  <c:v>6241</c:v>
                </c:pt>
                <c:pt idx="8">
                  <c:v>5662</c:v>
                </c:pt>
                <c:pt idx="9">
                  <c:v>5527</c:v>
                </c:pt>
                <c:pt idx="10">
                  <c:v>5453</c:v>
                </c:pt>
                <c:pt idx="11">
                  <c:v>5217</c:v>
                </c:pt>
                <c:pt idx="12">
                  <c:v>5215</c:v>
                </c:pt>
                <c:pt idx="13">
                  <c:v>5189</c:v>
                </c:pt>
                <c:pt idx="14">
                  <c:v>5153</c:v>
                </c:pt>
                <c:pt idx="15">
                  <c:v>4665</c:v>
                </c:pt>
                <c:pt idx="16">
                  <c:v>4637</c:v>
                </c:pt>
                <c:pt idx="17">
                  <c:v>4564</c:v>
                </c:pt>
                <c:pt idx="18">
                  <c:v>3713</c:v>
                </c:pt>
                <c:pt idx="19">
                  <c:v>3572</c:v>
                </c:pt>
                <c:pt idx="20">
                  <c:v>3235</c:v>
                </c:pt>
                <c:pt idx="21">
                  <c:v>2603</c:v>
                </c:pt>
                <c:pt idx="22">
                  <c:v>2587</c:v>
                </c:pt>
                <c:pt idx="23">
                  <c:v>2567</c:v>
                </c:pt>
              </c:numCache>
            </c:numRef>
          </c:val>
          <c:extLst>
            <c:ext xmlns:c16="http://schemas.microsoft.com/office/drawing/2014/chart" uri="{C3380CC4-5D6E-409C-BE32-E72D297353CC}">
              <c16:uniqueId val="{00000000-64FF-419A-A543-2065EE07313C}"/>
            </c:ext>
          </c:extLst>
        </c:ser>
        <c:dLbls>
          <c:showLegendKey val="0"/>
          <c:showVal val="0"/>
          <c:showCatName val="0"/>
          <c:showSerName val="0"/>
          <c:showPercent val="0"/>
          <c:showBubbleSize val="0"/>
        </c:dLbls>
        <c:gapWidth val="115"/>
        <c:overlap val="-20"/>
        <c:axId val="1315479215"/>
        <c:axId val="1907628431"/>
      </c:barChart>
      <c:catAx>
        <c:axId val="13154792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628431"/>
        <c:crosses val="autoZero"/>
        <c:auto val="1"/>
        <c:lblAlgn val="ctr"/>
        <c:lblOffset val="100"/>
        <c:noMultiLvlLbl val="0"/>
      </c:catAx>
      <c:valAx>
        <c:axId val="190762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7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Quarter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DATA'!$Q$1</c:f>
              <c:strCache>
                <c:ptCount val="1"/>
                <c:pt idx="0">
                  <c:v>Total</c:v>
                </c:pt>
              </c:strCache>
            </c:strRef>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Ref>
              <c:f>'PIVOT DATA'!$P$2:$P$6</c:f>
              <c:strCache>
                <c:ptCount val="4"/>
                <c:pt idx="0">
                  <c:v>Q1</c:v>
                </c:pt>
                <c:pt idx="1">
                  <c:v>Q2</c:v>
                </c:pt>
                <c:pt idx="2">
                  <c:v>Q3</c:v>
                </c:pt>
                <c:pt idx="3">
                  <c:v>Q4</c:v>
                </c:pt>
              </c:strCache>
            </c:strRef>
          </c:cat>
          <c:val>
            <c:numRef>
              <c:f>'PIVOT DATA'!$Q$2:$Q$6</c:f>
              <c:numCache>
                <c:formatCode>_ [$₹-4009]\ * #,##0.00_ ;_ [$₹-4009]\ * \-#,##0.00_ ;_ [$₹-4009]\ * "-"??_ ;_ @_ </c:formatCode>
                <c:ptCount val="4"/>
                <c:pt idx="0">
                  <c:v>7605.6100000000033</c:v>
                </c:pt>
                <c:pt idx="1">
                  <c:v>8174.860000000006</c:v>
                </c:pt>
                <c:pt idx="2">
                  <c:v>8976.9599999999919</c:v>
                </c:pt>
                <c:pt idx="3">
                  <c:v>7896.4900000000025</c:v>
                </c:pt>
              </c:numCache>
            </c:numRef>
          </c:val>
          <c:extLst>
            <c:ext xmlns:c16="http://schemas.microsoft.com/office/drawing/2014/chart" uri="{C3380CC4-5D6E-409C-BE32-E72D297353CC}">
              <c16:uniqueId val="{00000000-0337-4773-A1FE-E8142ABA316D}"/>
            </c:ext>
          </c:extLst>
        </c:ser>
        <c:dLbls>
          <c:showLegendKey val="0"/>
          <c:showVal val="0"/>
          <c:showCatName val="0"/>
          <c:showSerName val="0"/>
          <c:showPercent val="0"/>
          <c:showBubbleSize val="0"/>
        </c:dLbls>
        <c:gapWidth val="100"/>
        <c:overlap val="-24"/>
        <c:axId val="1315384095"/>
        <c:axId val="1907505551"/>
      </c:barChart>
      <c:catAx>
        <c:axId val="1315384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05551"/>
        <c:crosses val="autoZero"/>
        <c:auto val="1"/>
        <c:lblAlgn val="ctr"/>
        <c:lblOffset val="100"/>
        <c:noMultiLvlLbl val="0"/>
      </c:catAx>
      <c:valAx>
        <c:axId val="190750555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8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DATA'!$T$1</c:f>
              <c:strCache>
                <c:ptCount val="1"/>
                <c:pt idx="0">
                  <c:v>Total</c:v>
                </c:pt>
              </c:strCache>
            </c:strRef>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Ref>
              <c:f>'PIVOT DATA'!$S$2:$S$5</c:f>
              <c:strCache>
                <c:ptCount val="3"/>
                <c:pt idx="0">
                  <c:v>Corporate</c:v>
                </c:pt>
                <c:pt idx="1">
                  <c:v>Government</c:v>
                </c:pt>
                <c:pt idx="2">
                  <c:v>Individual</c:v>
                </c:pt>
              </c:strCache>
            </c:strRef>
          </c:cat>
          <c:val>
            <c:numRef>
              <c:f>'PIVOT DATA'!$T$2:$T$5</c:f>
              <c:numCache>
                <c:formatCode>General</c:formatCode>
                <c:ptCount val="3"/>
                <c:pt idx="0">
                  <c:v>32146</c:v>
                </c:pt>
                <c:pt idx="1">
                  <c:v>9485</c:v>
                </c:pt>
                <c:pt idx="2">
                  <c:v>97741</c:v>
                </c:pt>
              </c:numCache>
            </c:numRef>
          </c:val>
          <c:extLst>
            <c:ext xmlns:c16="http://schemas.microsoft.com/office/drawing/2014/chart" uri="{C3380CC4-5D6E-409C-BE32-E72D297353CC}">
              <c16:uniqueId val="{00000000-3CB5-4931-9EE7-DDB987A66026}"/>
            </c:ext>
          </c:extLst>
        </c:ser>
        <c:dLbls>
          <c:showLegendKey val="0"/>
          <c:showVal val="0"/>
          <c:showCatName val="0"/>
          <c:showSerName val="0"/>
          <c:showPercent val="0"/>
          <c:showBubbleSize val="0"/>
        </c:dLbls>
        <c:gapWidth val="100"/>
        <c:overlap val="-24"/>
        <c:axId val="1315411007"/>
        <c:axId val="1907592431"/>
      </c:barChart>
      <c:catAx>
        <c:axId val="1315411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92431"/>
        <c:crosses val="autoZero"/>
        <c:auto val="1"/>
        <c:lblAlgn val="ctr"/>
        <c:lblOffset val="100"/>
        <c:noMultiLvlLbl val="0"/>
      </c:catAx>
      <c:valAx>
        <c:axId val="190759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DATA!PivotTable26</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doughnutChart>
        <c:varyColors val="1"/>
        <c:ser>
          <c:idx val="0"/>
          <c:order val="0"/>
          <c:tx>
            <c:strRef>
              <c:f>'PIVOT DATA'!$W$1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297-4BE8-9FC5-B1374E037E8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297-4BE8-9FC5-B1374E037E8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297-4BE8-9FC5-B1374E037E8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297-4BE8-9FC5-B1374E037E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DATA'!$V$2:$V$6</c:f>
              <c:strCache>
                <c:ptCount val="4"/>
                <c:pt idx="0">
                  <c:v>Full Payment</c:v>
                </c:pt>
                <c:pt idx="1">
                  <c:v>Lease</c:v>
                </c:pt>
                <c:pt idx="2">
                  <c:v>Loan/EMI</c:v>
                </c:pt>
                <c:pt idx="3">
                  <c:v>Others</c:v>
                </c:pt>
              </c:strCache>
            </c:strRef>
          </c:cat>
          <c:val>
            <c:numRef>
              <c:f>'PIVOT DATA'!$W$2:$W$6</c:f>
              <c:numCache>
                <c:formatCode>General</c:formatCode>
                <c:ptCount val="4"/>
                <c:pt idx="0">
                  <c:v>35905</c:v>
                </c:pt>
                <c:pt idx="1">
                  <c:v>19688</c:v>
                </c:pt>
                <c:pt idx="2">
                  <c:v>76736</c:v>
                </c:pt>
                <c:pt idx="3">
                  <c:v>7043</c:v>
                </c:pt>
              </c:numCache>
            </c:numRef>
          </c:val>
          <c:extLst>
            <c:ext xmlns:c16="http://schemas.microsoft.com/office/drawing/2014/chart" uri="{C3380CC4-5D6E-409C-BE32-E72D297353CC}">
              <c16:uniqueId val="{00000008-1297-4BE8-9FC5-B1374E037E8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EV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DATA'!$Z$1</c:f>
              <c:strCache>
                <c:ptCount val="1"/>
                <c:pt idx="0">
                  <c:v>Total</c:v>
                </c:pt>
              </c:strCache>
            </c:strRef>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Ref>
              <c:f>'PIVOT DATA'!$Y$2:$Y$6</c:f>
              <c:strCache>
                <c:ptCount val="4"/>
                <c:pt idx="0">
                  <c:v>Battery Electric (BEV)</c:v>
                </c:pt>
                <c:pt idx="1">
                  <c:v>Fuel Cell Electric (FCEV)</c:v>
                </c:pt>
                <c:pt idx="2">
                  <c:v>Hybrid Electric (HEV)</c:v>
                </c:pt>
                <c:pt idx="3">
                  <c:v>Plug-in Hybrid (PHEV)</c:v>
                </c:pt>
              </c:strCache>
            </c:strRef>
          </c:cat>
          <c:val>
            <c:numRef>
              <c:f>'PIVOT DATA'!$Z$2:$Z$6</c:f>
              <c:numCache>
                <c:formatCode>_ [$₹-4009]\ * #,##0.00_ ;_ [$₹-4009]\ * \-#,##0.00_ ;_ [$₹-4009]\ * "-"??_ ;_ @_ </c:formatCode>
                <c:ptCount val="4"/>
                <c:pt idx="0">
                  <c:v>21884.599999999951</c:v>
                </c:pt>
                <c:pt idx="1">
                  <c:v>1308.5200000000004</c:v>
                </c:pt>
                <c:pt idx="2">
                  <c:v>5395.15</c:v>
                </c:pt>
                <c:pt idx="3">
                  <c:v>4065.6500000000019</c:v>
                </c:pt>
              </c:numCache>
            </c:numRef>
          </c:val>
          <c:extLst>
            <c:ext xmlns:c16="http://schemas.microsoft.com/office/drawing/2014/chart" uri="{C3380CC4-5D6E-409C-BE32-E72D297353CC}">
              <c16:uniqueId val="{00000000-EF9F-4EA2-B585-948867998A15}"/>
            </c:ext>
          </c:extLst>
        </c:ser>
        <c:dLbls>
          <c:showLegendKey val="0"/>
          <c:showVal val="0"/>
          <c:showCatName val="0"/>
          <c:showSerName val="0"/>
          <c:showPercent val="0"/>
          <c:showBubbleSize val="0"/>
        </c:dLbls>
        <c:gapWidth val="100"/>
        <c:overlap val="-24"/>
        <c:axId val="1315479679"/>
        <c:axId val="1907368271"/>
      </c:barChart>
      <c:catAx>
        <c:axId val="1315479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68271"/>
        <c:crosses val="autoZero"/>
        <c:auto val="1"/>
        <c:lblAlgn val="ctr"/>
        <c:lblOffset val="100"/>
        <c:noMultiLvlLbl val="0"/>
      </c:catAx>
      <c:valAx>
        <c:axId val="190736827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7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Manufacturer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DATA'!$AC$1</c:f>
              <c:strCache>
                <c:ptCount val="1"/>
                <c:pt idx="0">
                  <c:v>Total</c:v>
                </c:pt>
              </c:strCache>
            </c:strRef>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Ref>
              <c:f>'PIVOT DATA'!$AB$2:$AB$18</c:f>
              <c:strCache>
                <c:ptCount val="16"/>
                <c:pt idx="0">
                  <c:v>Ather</c:v>
                </c:pt>
                <c:pt idx="1">
                  <c:v>Audi</c:v>
                </c:pt>
                <c:pt idx="2">
                  <c:v>Bajaj</c:v>
                </c:pt>
                <c:pt idx="3">
                  <c:v>BMW</c:v>
                </c:pt>
                <c:pt idx="4">
                  <c:v>BYD</c:v>
                </c:pt>
                <c:pt idx="5">
                  <c:v>Citroen</c:v>
                </c:pt>
                <c:pt idx="6">
                  <c:v>Hero Electric</c:v>
                </c:pt>
                <c:pt idx="7">
                  <c:v>Hyundai</c:v>
                </c:pt>
                <c:pt idx="8">
                  <c:v>Kia</c:v>
                </c:pt>
                <c:pt idx="9">
                  <c:v>Mahindra</c:v>
                </c:pt>
                <c:pt idx="10">
                  <c:v>Mercedes</c:v>
                </c:pt>
                <c:pt idx="11">
                  <c:v>MG</c:v>
                </c:pt>
                <c:pt idx="12">
                  <c:v>Ola</c:v>
                </c:pt>
                <c:pt idx="13">
                  <c:v>Tata</c:v>
                </c:pt>
                <c:pt idx="14">
                  <c:v>TVS</c:v>
                </c:pt>
                <c:pt idx="15">
                  <c:v>Volvo</c:v>
                </c:pt>
              </c:strCache>
            </c:strRef>
          </c:cat>
          <c:val>
            <c:numRef>
              <c:f>'PIVOT DATA'!$AC$2:$AC$18</c:f>
              <c:numCache>
                <c:formatCode>_ [$₹-4009]\ * #,##0.00_ ;_ [$₹-4009]\ * \-#,##0.00_ ;_ [$₹-4009]\ * "-"??_ ;_ @_ </c:formatCode>
                <c:ptCount val="16"/>
                <c:pt idx="0">
                  <c:v>163.04999999999998</c:v>
                </c:pt>
                <c:pt idx="1">
                  <c:v>4457.8300000000008</c:v>
                </c:pt>
                <c:pt idx="2">
                  <c:v>188.49999999999997</c:v>
                </c:pt>
                <c:pt idx="3">
                  <c:v>3945.93</c:v>
                </c:pt>
                <c:pt idx="4">
                  <c:v>2221.27</c:v>
                </c:pt>
                <c:pt idx="5">
                  <c:v>753.15</c:v>
                </c:pt>
                <c:pt idx="6">
                  <c:v>142.56000000000003</c:v>
                </c:pt>
                <c:pt idx="7">
                  <c:v>4260.55</c:v>
                </c:pt>
                <c:pt idx="8">
                  <c:v>2623.1099999999992</c:v>
                </c:pt>
                <c:pt idx="9">
                  <c:v>2855.2000000000003</c:v>
                </c:pt>
                <c:pt idx="10">
                  <c:v>3775.3199999999993</c:v>
                </c:pt>
                <c:pt idx="11">
                  <c:v>2003.1600000000003</c:v>
                </c:pt>
                <c:pt idx="12">
                  <c:v>134.78999999999996</c:v>
                </c:pt>
                <c:pt idx="13">
                  <c:v>2364.5199999999995</c:v>
                </c:pt>
                <c:pt idx="14">
                  <c:v>175.41000000000005</c:v>
                </c:pt>
                <c:pt idx="15">
                  <c:v>2589.5700000000006</c:v>
                </c:pt>
              </c:numCache>
            </c:numRef>
          </c:val>
          <c:extLst>
            <c:ext xmlns:c16="http://schemas.microsoft.com/office/drawing/2014/chart" uri="{C3380CC4-5D6E-409C-BE32-E72D297353CC}">
              <c16:uniqueId val="{00000000-D81E-4137-B3B2-340278922AE3}"/>
            </c:ext>
          </c:extLst>
        </c:ser>
        <c:dLbls>
          <c:showLegendKey val="0"/>
          <c:showVal val="0"/>
          <c:showCatName val="0"/>
          <c:showSerName val="0"/>
          <c:showPercent val="0"/>
          <c:showBubbleSize val="0"/>
        </c:dLbls>
        <c:gapWidth val="115"/>
        <c:overlap val="-20"/>
        <c:axId val="1315430495"/>
        <c:axId val="1907466191"/>
      </c:barChart>
      <c:catAx>
        <c:axId val="13154304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466191"/>
        <c:crosses val="autoZero"/>
        <c:auto val="1"/>
        <c:lblAlgn val="ctr"/>
        <c:lblOffset val="100"/>
        <c:noMultiLvlLbl val="0"/>
      </c:catAx>
      <c:valAx>
        <c:axId val="1907466191"/>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3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DATA!PivotTable29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Quarterly EV Sales</a:t>
            </a:r>
          </a:p>
        </c:rich>
      </c:tx>
      <c:layout>
        <c:manualLayout>
          <c:xMode val="edge"/>
          <c:yMode val="edge"/>
          <c:x val="0.25775978407557354"/>
          <c:y val="5.656801619137221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DATA'!$AF$1</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'PIVOT DATA'!$AE$2:$AE$6</c:f>
              <c:strCache>
                <c:ptCount val="4"/>
                <c:pt idx="0">
                  <c:v>Q1</c:v>
                </c:pt>
                <c:pt idx="1">
                  <c:v>Q2</c:v>
                </c:pt>
                <c:pt idx="2">
                  <c:v>Q3</c:v>
                </c:pt>
                <c:pt idx="3">
                  <c:v>Q4</c:v>
                </c:pt>
              </c:strCache>
            </c:strRef>
          </c:cat>
          <c:val>
            <c:numRef>
              <c:f>'PIVOT DATA'!$AF$2:$AF$6</c:f>
              <c:numCache>
                <c:formatCode>General</c:formatCode>
                <c:ptCount val="4"/>
                <c:pt idx="0">
                  <c:v>33532</c:v>
                </c:pt>
                <c:pt idx="1">
                  <c:v>35754</c:v>
                </c:pt>
                <c:pt idx="2">
                  <c:v>36062</c:v>
                </c:pt>
                <c:pt idx="3">
                  <c:v>34024</c:v>
                </c:pt>
              </c:numCache>
            </c:numRef>
          </c:val>
          <c:extLst>
            <c:ext xmlns:c16="http://schemas.microsoft.com/office/drawing/2014/chart" uri="{C3380CC4-5D6E-409C-BE32-E72D297353CC}">
              <c16:uniqueId val="{00000000-EFE6-479A-9857-B6301167711D}"/>
            </c:ext>
          </c:extLst>
        </c:ser>
        <c:dLbls>
          <c:showLegendKey val="0"/>
          <c:showVal val="0"/>
          <c:showCatName val="0"/>
          <c:showSerName val="0"/>
          <c:showPercent val="0"/>
          <c:showBubbleSize val="0"/>
        </c:dLbls>
        <c:gapWidth val="100"/>
        <c:overlap val="-24"/>
        <c:axId val="1315463903"/>
        <c:axId val="1907537711"/>
      </c:barChart>
      <c:catAx>
        <c:axId val="1315463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37711"/>
        <c:crosses val="autoZero"/>
        <c:auto val="1"/>
        <c:lblAlgn val="ctr"/>
        <c:lblOffset val="100"/>
        <c:noMultiLvlLbl val="0"/>
      </c:catAx>
      <c:valAx>
        <c:axId val="190753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6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DATA!PivotTable30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EV 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DATA'!$AI$1</c:f>
              <c:strCache>
                <c:ptCount val="1"/>
                <c:pt idx="0">
                  <c:v>Total</c:v>
                </c:pt>
              </c:strCache>
            </c:strRef>
          </c:tx>
          <c:spPr>
            <a:solidFill>
              <a:schemeClr val="accent6">
                <a:lumMod val="50000"/>
              </a:schemeClr>
            </a:solidFill>
            <a:ln>
              <a:solidFill>
                <a:schemeClr val="accent6">
                  <a:lumMod val="50000"/>
                </a:schemeClr>
              </a:solidFill>
            </a:ln>
            <a:effectLst>
              <a:outerShdw blurRad="57150" dist="19050" dir="5400000" algn="ctr" rotWithShape="0">
                <a:srgbClr val="000000">
                  <a:alpha val="63000"/>
                </a:srgbClr>
              </a:outerShdw>
            </a:effectLst>
          </c:spPr>
          <c:invertIfNegative val="0"/>
          <c:cat>
            <c:strRef>
              <c:f>'PIVOT DATA'!$AH$2:$AH$4</c:f>
              <c:strCache>
                <c:ptCount val="2"/>
                <c:pt idx="0">
                  <c:v>2023</c:v>
                </c:pt>
                <c:pt idx="1">
                  <c:v>2024</c:v>
                </c:pt>
              </c:strCache>
            </c:strRef>
          </c:cat>
          <c:val>
            <c:numRef>
              <c:f>'PIVOT DATA'!$AI$2:$AI$4</c:f>
              <c:numCache>
                <c:formatCode>General</c:formatCode>
                <c:ptCount val="2"/>
                <c:pt idx="0">
                  <c:v>67793</c:v>
                </c:pt>
                <c:pt idx="1">
                  <c:v>71579</c:v>
                </c:pt>
              </c:numCache>
            </c:numRef>
          </c:val>
          <c:extLst>
            <c:ext xmlns:c16="http://schemas.microsoft.com/office/drawing/2014/chart" uri="{C3380CC4-5D6E-409C-BE32-E72D297353CC}">
              <c16:uniqueId val="{00000000-35D6-495C-A226-113CF3440B12}"/>
            </c:ext>
          </c:extLst>
        </c:ser>
        <c:dLbls>
          <c:showLegendKey val="0"/>
          <c:showVal val="0"/>
          <c:showCatName val="0"/>
          <c:showSerName val="0"/>
          <c:showPercent val="0"/>
          <c:showBubbleSize val="0"/>
        </c:dLbls>
        <c:gapWidth val="100"/>
        <c:overlap val="-24"/>
        <c:axId val="1315392911"/>
        <c:axId val="1907391311"/>
      </c:barChart>
      <c:catAx>
        <c:axId val="1315392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91311"/>
        <c:crosses val="autoZero"/>
        <c:auto val="1"/>
        <c:lblAlgn val="ctr"/>
        <c:lblOffset val="100"/>
        <c:noMultiLvlLbl val="0"/>
      </c:catAx>
      <c:valAx>
        <c:axId val="190739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9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absolute">
    <xdr:from>
      <xdr:col>7</xdr:col>
      <xdr:colOff>182880</xdr:colOff>
      <xdr:row>2975</xdr:row>
      <xdr:rowOff>0</xdr:rowOff>
    </xdr:from>
    <xdr:to>
      <xdr:col>9</xdr:col>
      <xdr:colOff>327660</xdr:colOff>
      <xdr:row>2988</xdr:row>
      <xdr:rowOff>89535</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F37AE846-4FCD-77B0-771B-2B36F6F0A8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008620" y="361370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1915390</xdr:colOff>
      <xdr:row>39</xdr:row>
      <xdr:rowOff>74469</xdr:rowOff>
    </xdr:from>
    <xdr:to>
      <xdr:col>15</xdr:col>
      <xdr:colOff>741218</xdr:colOff>
      <xdr:row>49</xdr:row>
      <xdr:rowOff>63039</xdr:rowOff>
    </xdr:to>
    <xdr:graphicFrame macro="">
      <xdr:nvGraphicFramePr>
        <xdr:cNvPr id="13" name="Chart 12">
          <a:extLst>
            <a:ext uri="{FF2B5EF4-FFF2-40B4-BE49-F238E27FC236}">
              <a16:creationId xmlns:a16="http://schemas.microsoft.com/office/drawing/2014/main" id="{BE1A382C-D373-BF6D-E9BE-690C7AD59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1233055</xdr:colOff>
      <xdr:row>38</xdr:row>
      <xdr:rowOff>95944</xdr:rowOff>
    </xdr:from>
    <xdr:to>
      <xdr:col>11</xdr:col>
      <xdr:colOff>1370908</xdr:colOff>
      <xdr:row>47</xdr:row>
      <xdr:rowOff>160714</xdr:rowOff>
    </xdr:to>
    <xdr:graphicFrame macro="">
      <xdr:nvGraphicFramePr>
        <xdr:cNvPr id="14" name="Chart 13">
          <a:extLst>
            <a:ext uri="{FF2B5EF4-FFF2-40B4-BE49-F238E27FC236}">
              <a16:creationId xmlns:a16="http://schemas.microsoft.com/office/drawing/2014/main" id="{F4F61A92-AA54-1A61-04FE-B39E304DD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304800</xdr:colOff>
      <xdr:row>1</xdr:row>
      <xdr:rowOff>60960</xdr:rowOff>
    </xdr:from>
    <xdr:ext cx="3314700" cy="298928"/>
    <xdr:sp macro="" textlink="">
      <xdr:nvSpPr>
        <xdr:cNvPr id="15" name="TextBox 14">
          <a:extLst>
            <a:ext uri="{FF2B5EF4-FFF2-40B4-BE49-F238E27FC236}">
              <a16:creationId xmlns:a16="http://schemas.microsoft.com/office/drawing/2014/main" id="{7CB3D5BF-71B5-59DF-8A38-5D0D0AF64681}"/>
            </a:ext>
          </a:extLst>
        </xdr:cNvPr>
        <xdr:cNvSpPr txBox="1"/>
      </xdr:nvSpPr>
      <xdr:spPr>
        <a:xfrm>
          <a:off x="914400" y="243840"/>
          <a:ext cx="3314700" cy="298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solidFill>
                <a:schemeClr val="bg2"/>
              </a:solidFill>
              <a:latin typeface="MV Boli" panose="02000500030200090000" pitchFamily="2" charset="0"/>
              <a:cs typeface="MV Boli" panose="02000500030200090000" pitchFamily="2" charset="0"/>
            </a:rPr>
            <a:t>Driving a Cleaner, Greener Tomorrow</a:t>
          </a:r>
        </a:p>
      </xdr:txBody>
    </xdr:sp>
    <xdr:clientData/>
  </xdr:oneCellAnchor>
  <xdr:twoCellAnchor editAs="oneCell">
    <xdr:from>
      <xdr:col>0</xdr:col>
      <xdr:colOff>0</xdr:colOff>
      <xdr:row>7</xdr:row>
      <xdr:rowOff>0</xdr:rowOff>
    </xdr:from>
    <xdr:to>
      <xdr:col>1</xdr:col>
      <xdr:colOff>402640</xdr:colOff>
      <xdr:row>12</xdr:row>
      <xdr:rowOff>68580</xdr:rowOff>
    </xdr:to>
    <mc:AlternateContent xmlns:mc="http://schemas.openxmlformats.org/markup-compatibility/2006">
      <mc:Choice xmlns:a14="http://schemas.microsoft.com/office/drawing/2010/main" Requires="a14">
        <xdr:graphicFrame macro="">
          <xdr:nvGraphicFramePr>
            <xdr:cNvPr id="19" name="Year 2">
              <a:extLst>
                <a:ext uri="{FF2B5EF4-FFF2-40B4-BE49-F238E27FC236}">
                  <a16:creationId xmlns:a16="http://schemas.microsoft.com/office/drawing/2014/main" id="{86781E99-7171-48BD-9EF3-0DD2A1B9247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0" y="1385455"/>
              <a:ext cx="1829658" cy="96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838200</xdr:colOff>
      <xdr:row>7</xdr:row>
      <xdr:rowOff>15240</xdr:rowOff>
    </xdr:from>
    <xdr:to>
      <xdr:col>4</xdr:col>
      <xdr:colOff>281940</xdr:colOff>
      <xdr:row>20</xdr:row>
      <xdr:rowOff>104775</xdr:rowOff>
    </xdr:to>
    <mc:AlternateContent xmlns:mc="http://schemas.openxmlformats.org/markup-compatibility/2006">
      <mc:Choice xmlns:a14="http://schemas.microsoft.com/office/drawing/2010/main" Requires="a14">
        <xdr:graphicFrame macro="">
          <xdr:nvGraphicFramePr>
            <xdr:cNvPr id="20" name="Month">
              <a:extLst>
                <a:ext uri="{FF2B5EF4-FFF2-40B4-BE49-F238E27FC236}">
                  <a16:creationId xmlns:a16="http://schemas.microsoft.com/office/drawing/2014/main" id="{BB289906-0755-432B-92AD-81881478D18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075218" y="1400695"/>
              <a:ext cx="1826722" cy="2430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586740</xdr:colOff>
      <xdr:row>7</xdr:row>
      <xdr:rowOff>7620</xdr:rowOff>
    </xdr:from>
    <xdr:to>
      <xdr:col>6</xdr:col>
      <xdr:colOff>39050</xdr:colOff>
      <xdr:row>20</xdr:row>
      <xdr:rowOff>97155</xdr:rowOff>
    </xdr:to>
    <mc:AlternateContent xmlns:mc="http://schemas.openxmlformats.org/markup-compatibility/2006">
      <mc:Choice xmlns:a14="http://schemas.microsoft.com/office/drawing/2010/main" Requires="a14">
        <xdr:graphicFrame macro="">
          <xdr:nvGraphicFramePr>
            <xdr:cNvPr id="21" name="State">
              <a:extLst>
                <a:ext uri="{FF2B5EF4-FFF2-40B4-BE49-F238E27FC236}">
                  <a16:creationId xmlns:a16="http://schemas.microsoft.com/office/drawing/2014/main" id="{21349A2E-16F2-4356-8B4F-35D69D5D045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633758" y="1393075"/>
              <a:ext cx="1835292" cy="2430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7</xdr:row>
      <xdr:rowOff>0</xdr:rowOff>
    </xdr:from>
    <xdr:to>
      <xdr:col>7</xdr:col>
      <xdr:colOff>1986439</xdr:colOff>
      <xdr:row>20</xdr:row>
      <xdr:rowOff>89535</xdr:rowOff>
    </xdr:to>
    <mc:AlternateContent xmlns:mc="http://schemas.openxmlformats.org/markup-compatibility/2006">
      <mc:Choice xmlns:a14="http://schemas.microsoft.com/office/drawing/2010/main" Requires="a14">
        <xdr:graphicFrame macro="">
          <xdr:nvGraphicFramePr>
            <xdr:cNvPr id="22" name="Manufacturer">
              <a:extLst>
                <a:ext uri="{FF2B5EF4-FFF2-40B4-BE49-F238E27FC236}">
                  <a16:creationId xmlns:a16="http://schemas.microsoft.com/office/drawing/2014/main" id="{3BA87245-4F32-4C08-90B8-0729D7096411}"/>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13017038" y="1385455"/>
              <a:ext cx="1826419" cy="2430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xdr:colOff>
      <xdr:row>7</xdr:row>
      <xdr:rowOff>7620</xdr:rowOff>
    </xdr:from>
    <xdr:to>
      <xdr:col>3</xdr:col>
      <xdr:colOff>433596</xdr:colOff>
      <xdr:row>15</xdr:row>
      <xdr:rowOff>76200</xdr:rowOff>
    </xdr:to>
    <mc:AlternateContent xmlns:mc="http://schemas.openxmlformats.org/markup-compatibility/2006">
      <mc:Choice xmlns:a14="http://schemas.microsoft.com/office/drawing/2010/main" Requires="a14">
        <xdr:graphicFrame macro="">
          <xdr:nvGraphicFramePr>
            <xdr:cNvPr id="23" name="Quarter">
              <a:extLst>
                <a:ext uri="{FF2B5EF4-FFF2-40B4-BE49-F238E27FC236}">
                  <a16:creationId xmlns:a16="http://schemas.microsoft.com/office/drawing/2014/main" id="{5B5D3851-B3A2-47BE-9018-63FF93AF8E8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3840480" y="1393075"/>
              <a:ext cx="1830134" cy="1509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586740</xdr:colOff>
      <xdr:row>7</xdr:row>
      <xdr:rowOff>7620</xdr:rowOff>
    </xdr:from>
    <xdr:to>
      <xdr:col>12</xdr:col>
      <xdr:colOff>33338</xdr:colOff>
      <xdr:row>13</xdr:row>
      <xdr:rowOff>99059</xdr:rowOff>
    </xdr:to>
    <mc:AlternateContent xmlns:mc="http://schemas.openxmlformats.org/markup-compatibility/2006">
      <mc:Choice xmlns:a14="http://schemas.microsoft.com/office/drawing/2010/main" Requires="a14">
        <xdr:graphicFrame macro="">
          <xdr:nvGraphicFramePr>
            <xdr:cNvPr id="24" name="Customer Type">
              <a:extLst>
                <a:ext uri="{FF2B5EF4-FFF2-40B4-BE49-F238E27FC236}">
                  <a16:creationId xmlns:a16="http://schemas.microsoft.com/office/drawing/2014/main" id="{0E56B9A6-C3AA-4EC7-B658-F66065DAD6D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1063758" y="1393075"/>
              <a:ext cx="1829580" cy="1172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525780</xdr:colOff>
      <xdr:row>7</xdr:row>
      <xdr:rowOff>0</xdr:rowOff>
    </xdr:from>
    <xdr:to>
      <xdr:col>9</xdr:col>
      <xdr:colOff>2353627</xdr:colOff>
      <xdr:row>14</xdr:row>
      <xdr:rowOff>160021</xdr:rowOff>
    </xdr:to>
    <mc:AlternateContent xmlns:mc="http://schemas.openxmlformats.org/markup-compatibility/2006">
      <mc:Choice xmlns:a14="http://schemas.microsoft.com/office/drawing/2010/main" Requires="a14">
        <xdr:graphicFrame macro="">
          <xdr:nvGraphicFramePr>
            <xdr:cNvPr id="25" name="EV Type">
              <a:extLst>
                <a:ext uri="{FF2B5EF4-FFF2-40B4-BE49-F238E27FC236}">
                  <a16:creationId xmlns:a16="http://schemas.microsoft.com/office/drawing/2014/main" id="{38941C49-4D73-48DF-9156-D6A0D9E85061}"/>
                </a:ext>
              </a:extLst>
            </xdr:cNvPr>
            <xdr:cNvGraphicFramePr/>
          </xdr:nvGraphicFramePr>
          <xdr:xfrm>
            <a:off x="0" y="0"/>
            <a:ext cx="0" cy="0"/>
          </xdr:xfrm>
          <a:graphic>
            <a:graphicData uri="http://schemas.microsoft.com/office/drawing/2010/slicer">
              <sle:slicer xmlns:sle="http://schemas.microsoft.com/office/drawing/2010/slicer" name="EV Type"/>
            </a:graphicData>
          </a:graphic>
        </xdr:graphicFrame>
      </mc:Choice>
      <mc:Fallback>
        <xdr:sp macro="" textlink="">
          <xdr:nvSpPr>
            <xdr:cNvPr id="0" name=""/>
            <xdr:cNvSpPr>
              <a:spLocks noTextEdit="1"/>
            </xdr:cNvSpPr>
          </xdr:nvSpPr>
          <xdr:spPr>
            <a:xfrm>
              <a:off x="17192798" y="1385455"/>
              <a:ext cx="1827847" cy="1420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1246908</xdr:colOff>
      <xdr:row>16</xdr:row>
      <xdr:rowOff>1384</xdr:rowOff>
    </xdr:from>
    <xdr:to>
      <xdr:col>3</xdr:col>
      <xdr:colOff>1233053</xdr:colOff>
      <xdr:row>32</xdr:row>
      <xdr:rowOff>180107</xdr:rowOff>
    </xdr:to>
    <xdr:graphicFrame macro="">
      <xdr:nvGraphicFramePr>
        <xdr:cNvPr id="26" name="Chart 25">
          <a:extLst>
            <a:ext uri="{FF2B5EF4-FFF2-40B4-BE49-F238E27FC236}">
              <a16:creationId xmlns:a16="http://schemas.microsoft.com/office/drawing/2014/main" id="{8F943A3E-FB04-477D-9583-C87110A68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xdr:colOff>
      <xdr:row>16</xdr:row>
      <xdr:rowOff>13855</xdr:rowOff>
    </xdr:from>
    <xdr:to>
      <xdr:col>1</xdr:col>
      <xdr:colOff>1080656</xdr:colOff>
      <xdr:row>49</xdr:row>
      <xdr:rowOff>166255</xdr:rowOff>
    </xdr:to>
    <xdr:graphicFrame macro="">
      <xdr:nvGraphicFramePr>
        <xdr:cNvPr id="27" name="Chart 26">
          <a:extLst>
            <a:ext uri="{FF2B5EF4-FFF2-40B4-BE49-F238E27FC236}">
              <a16:creationId xmlns:a16="http://schemas.microsoft.com/office/drawing/2014/main" id="{FA0DBDF8-6217-43B7-AEFC-C98A9CA8B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1427018</xdr:colOff>
      <xdr:row>32</xdr:row>
      <xdr:rowOff>160712</xdr:rowOff>
    </xdr:from>
    <xdr:to>
      <xdr:col>5</xdr:col>
      <xdr:colOff>1487978</xdr:colOff>
      <xdr:row>47</xdr:row>
      <xdr:rowOff>160713</xdr:rowOff>
    </xdr:to>
    <xdr:graphicFrame macro="">
      <xdr:nvGraphicFramePr>
        <xdr:cNvPr id="28" name="Chart 27">
          <a:extLst>
            <a:ext uri="{FF2B5EF4-FFF2-40B4-BE49-F238E27FC236}">
              <a16:creationId xmlns:a16="http://schemas.microsoft.com/office/drawing/2014/main" id="{36F6D084-1DAD-4E90-B135-0E405E013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590896</xdr:colOff>
      <xdr:row>37</xdr:row>
      <xdr:rowOff>154478</xdr:rowOff>
    </xdr:from>
    <xdr:to>
      <xdr:col>8</xdr:col>
      <xdr:colOff>480752</xdr:colOff>
      <xdr:row>51</xdr:row>
      <xdr:rowOff>116378</xdr:rowOff>
    </xdr:to>
    <xdr:graphicFrame macro="">
      <xdr:nvGraphicFramePr>
        <xdr:cNvPr id="29" name="Chart 28">
          <a:extLst>
            <a:ext uri="{FF2B5EF4-FFF2-40B4-BE49-F238E27FC236}">
              <a16:creationId xmlns:a16="http://schemas.microsoft.com/office/drawing/2014/main" id="{06E87478-3268-4E17-88EF-B2F21837C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1412471</xdr:colOff>
      <xdr:row>34</xdr:row>
      <xdr:rowOff>52646</xdr:rowOff>
    </xdr:from>
    <xdr:to>
      <xdr:col>3</xdr:col>
      <xdr:colOff>1260071</xdr:colOff>
      <xdr:row>47</xdr:row>
      <xdr:rowOff>171796</xdr:rowOff>
    </xdr:to>
    <xdr:graphicFrame macro="">
      <xdr:nvGraphicFramePr>
        <xdr:cNvPr id="30" name="Chart 29">
          <a:extLst>
            <a:ext uri="{FF2B5EF4-FFF2-40B4-BE49-F238E27FC236}">
              <a16:creationId xmlns:a16="http://schemas.microsoft.com/office/drawing/2014/main" id="{4C6680DA-686E-44A4-8818-FEF65404F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914400</xdr:colOff>
      <xdr:row>16</xdr:row>
      <xdr:rowOff>22860</xdr:rowOff>
    </xdr:from>
    <xdr:to>
      <xdr:col>13</xdr:col>
      <xdr:colOff>0</xdr:colOff>
      <xdr:row>26</xdr:row>
      <xdr:rowOff>76200</xdr:rowOff>
    </xdr:to>
    <xdr:graphicFrame macro="">
      <xdr:nvGraphicFramePr>
        <xdr:cNvPr id="31" name="Chart 30">
          <a:extLst>
            <a:ext uri="{FF2B5EF4-FFF2-40B4-BE49-F238E27FC236}">
              <a16:creationId xmlns:a16="http://schemas.microsoft.com/office/drawing/2014/main" id="{ACF5B5B9-D5FD-49CA-82EA-7A9259145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1082040</xdr:colOff>
      <xdr:row>26</xdr:row>
      <xdr:rowOff>180108</xdr:rowOff>
    </xdr:from>
    <xdr:to>
      <xdr:col>7</xdr:col>
      <xdr:colOff>625740</xdr:colOff>
      <xdr:row>40</xdr:row>
      <xdr:rowOff>110835</xdr:rowOff>
    </xdr:to>
    <xdr:graphicFrame macro="">
      <xdr:nvGraphicFramePr>
        <xdr:cNvPr id="32" name="Chart 31">
          <a:extLst>
            <a:ext uri="{FF2B5EF4-FFF2-40B4-BE49-F238E27FC236}">
              <a16:creationId xmlns:a16="http://schemas.microsoft.com/office/drawing/2014/main" id="{EE9459A0-3DCD-4C1E-8CAC-1A6B4FA22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1790007</xdr:colOff>
      <xdr:row>40</xdr:row>
      <xdr:rowOff>92132</xdr:rowOff>
    </xdr:from>
    <xdr:to>
      <xdr:col>7</xdr:col>
      <xdr:colOff>1704109</xdr:colOff>
      <xdr:row>50</xdr:row>
      <xdr:rowOff>64424</xdr:rowOff>
    </xdr:to>
    <xdr:graphicFrame macro="">
      <xdr:nvGraphicFramePr>
        <xdr:cNvPr id="33" name="Chart 32">
          <a:extLst>
            <a:ext uri="{FF2B5EF4-FFF2-40B4-BE49-F238E27FC236}">
              <a16:creationId xmlns:a16="http://schemas.microsoft.com/office/drawing/2014/main" id="{32A05429-50CD-4D84-AF5A-3C93A3F4A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1442258</xdr:colOff>
      <xdr:row>15</xdr:row>
      <xdr:rowOff>161405</xdr:rowOff>
    </xdr:from>
    <xdr:to>
      <xdr:col>8</xdr:col>
      <xdr:colOff>512618</xdr:colOff>
      <xdr:row>26</xdr:row>
      <xdr:rowOff>19396</xdr:rowOff>
    </xdr:to>
    <xdr:graphicFrame macro="">
      <xdr:nvGraphicFramePr>
        <xdr:cNvPr id="34" name="Chart 33">
          <a:extLst>
            <a:ext uri="{FF2B5EF4-FFF2-40B4-BE49-F238E27FC236}">
              <a16:creationId xmlns:a16="http://schemas.microsoft.com/office/drawing/2014/main" id="{D25DF03C-C29F-467A-9779-54146BBBB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205740</xdr:colOff>
      <xdr:row>16</xdr:row>
      <xdr:rowOff>30480</xdr:rowOff>
    </xdr:from>
    <xdr:to>
      <xdr:col>10</xdr:col>
      <xdr:colOff>746760</xdr:colOff>
      <xdr:row>34</xdr:row>
      <xdr:rowOff>138545</xdr:rowOff>
    </xdr:to>
    <xdr:graphicFrame macro="">
      <xdr:nvGraphicFramePr>
        <xdr:cNvPr id="35" name="Chart 34">
          <a:extLst>
            <a:ext uri="{FF2B5EF4-FFF2-40B4-BE49-F238E27FC236}">
              <a16:creationId xmlns:a16="http://schemas.microsoft.com/office/drawing/2014/main" id="{91C27CAA-462F-42BC-9A94-091F32360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1351511</xdr:colOff>
      <xdr:row>16</xdr:row>
      <xdr:rowOff>2771</xdr:rowOff>
    </xdr:from>
    <xdr:to>
      <xdr:col>5</xdr:col>
      <xdr:colOff>1305791</xdr:colOff>
      <xdr:row>25</xdr:row>
      <xdr:rowOff>160020</xdr:rowOff>
    </xdr:to>
    <xdr:graphicFrame macro="">
      <xdr:nvGraphicFramePr>
        <xdr:cNvPr id="36" name="Chart 35">
          <a:extLst>
            <a:ext uri="{FF2B5EF4-FFF2-40B4-BE49-F238E27FC236}">
              <a16:creationId xmlns:a16="http://schemas.microsoft.com/office/drawing/2014/main" id="{DC4474B6-A3F3-475A-9602-C27E26C73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697230</xdr:colOff>
      <xdr:row>27</xdr:row>
      <xdr:rowOff>7620</xdr:rowOff>
    </xdr:from>
    <xdr:to>
      <xdr:col>13</xdr:col>
      <xdr:colOff>0</xdr:colOff>
      <xdr:row>39</xdr:row>
      <xdr:rowOff>22860</xdr:rowOff>
    </xdr:to>
    <xdr:graphicFrame macro="">
      <xdr:nvGraphicFramePr>
        <xdr:cNvPr id="37" name="Chart 36">
          <a:extLst>
            <a:ext uri="{FF2B5EF4-FFF2-40B4-BE49-F238E27FC236}">
              <a16:creationId xmlns:a16="http://schemas.microsoft.com/office/drawing/2014/main" id="{9151954A-80DF-412B-B046-C116A7553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mol arora" refreshedDate="46286.648266898148" createdVersion="8" refreshedVersion="8" minRefreshableVersion="3" recordCount="2000" xr:uid="{31AEB7B6-044A-4AF4-9F6D-93CE53D917E9}">
  <cacheSource type="worksheet">
    <worksheetSource ref="A1:T2001" sheet="EV Sales Data"/>
  </cacheSource>
  <cacheFields count="23">
    <cacheField name="Date" numFmtId="14">
      <sharedItems containsSemiMixedTypes="0" containsNonDate="0" containsDate="1" containsString="0" minDate="2023-01-01T00:00:00" maxDate="2025-01-01T00:00:00"/>
    </cacheField>
    <cacheField name="State" numFmtId="0">
      <sharedItems count="15">
        <s v="Telangana"/>
        <s v="Delhi"/>
        <s v="Uttar Pradesh"/>
        <s v="Maharashtra"/>
        <s v="Punjab"/>
        <s v="Karnataka"/>
        <s v="Gujarat"/>
        <s v="Andhra Pradesh"/>
        <s v="West Bengal"/>
        <s v="Bihar"/>
        <s v="Kerala"/>
        <s v="Tamil Nadu"/>
        <s v="Haryana"/>
        <s v="Madhya Pradesh"/>
        <s v="Rajasthan"/>
      </sharedItems>
    </cacheField>
    <cacheField name="City" numFmtId="0">
      <sharedItems/>
    </cacheField>
    <cacheField name="Manufacturer" numFmtId="0">
      <sharedItems count="16">
        <s v="Audi"/>
        <s v="Ola"/>
        <s v="Mercedes"/>
        <s v="Hero Electric"/>
        <s v="Kia"/>
        <s v="Citroen"/>
        <s v="Hyundai"/>
        <s v="Bajaj"/>
        <s v="BMW"/>
        <s v="MG"/>
        <s v="Volvo"/>
        <s v="Mahindra"/>
        <s v="BYD"/>
        <s v="Tata"/>
        <s v="Ather"/>
        <s v="TVS"/>
      </sharedItems>
    </cacheField>
    <cacheField name="Model" numFmtId="0">
      <sharedItems count="24">
        <s v="Q4 e-tron"/>
        <s v="S1 Pro"/>
        <s v="EQB"/>
        <s v="Optima"/>
        <s v="EV6"/>
        <s v="eC3"/>
        <s v="Ioniq 5"/>
        <s v="Chetak"/>
        <s v="iX1"/>
        <s v="ZS EV"/>
        <s v="Comet EV"/>
        <s v="XC40 Recharge"/>
        <s v="XUV400"/>
        <s v="Kona Electric"/>
        <s v="Seal"/>
        <s v="Nexon EV"/>
        <s v="450X"/>
        <s v="iQube"/>
        <s v="Atto 3"/>
        <s v="Tiago EV"/>
        <s v="i4"/>
        <s v="S1 Air"/>
        <s v="Punch EV"/>
        <s v="BE 6"/>
      </sharedItems>
    </cacheField>
    <cacheField name="EV Type" numFmtId="0">
      <sharedItems count="4">
        <s v="Battery Electric (BEV)"/>
        <s v="Hybrid Electric (HEV)"/>
        <s v="Plug-in Hybrid (PHEV)"/>
        <s v="Fuel Cell Electric (FCEV)"/>
      </sharedItems>
    </cacheField>
    <cacheField name="Battery Capacity (kWh)" numFmtId="0">
      <sharedItems containsSemiMixedTypes="0" containsString="0" containsNumber="1" containsInteger="1" minValue="3" maxValue="84"/>
    </cacheField>
    <cacheField name="Range (km)" numFmtId="0">
      <sharedItems containsSemiMixedTypes="0" containsString="0" containsNumber="1" containsInteger="1" minValue="24" maxValue="590" count="21">
        <n v="520"/>
        <n v="195"/>
        <n v="423"/>
        <n v="135"/>
        <n v="528"/>
        <n v="320"/>
        <n v="488"/>
        <n v="127"/>
        <n v="440"/>
        <n v="46"/>
        <n v="32"/>
        <n v="418"/>
        <n v="39"/>
        <n v="580"/>
        <n v="30"/>
        <n v="150"/>
        <n v="480"/>
        <n v="24"/>
        <n v="590"/>
        <n v="151"/>
        <n v="55"/>
      </sharedItems>
    </cacheField>
    <cacheField name="Units Sold" numFmtId="0">
      <sharedItems containsSemiMixedTypes="0" containsString="0" containsNumber="1" containsInteger="1" minValue="3" maxValue="179"/>
    </cacheField>
    <cacheField name="Unit Price (INR)" numFmtId="165">
      <sharedItems containsSemiMixedTypes="0" containsString="0" containsNumber="1" containsInteger="1" minValue="90700" maxValue="9387200" count="1841">
        <n v="5974600"/>
        <n v="154000"/>
        <n v="7562800"/>
        <n v="130100"/>
        <n v="108300"/>
        <n v="7453700"/>
        <n v="5174700"/>
        <n v="1409300"/>
        <n v="4395000"/>
        <n v="1498500"/>
        <n v="184900"/>
        <n v="9345700"/>
        <n v="6902000"/>
        <n v="2208200"/>
        <n v="1089400"/>
        <n v="7365900"/>
        <n v="4712600"/>
        <n v="5633900"/>
        <n v="2103100"/>
        <n v="1941700"/>
        <n v="4935200"/>
        <n v="4773000"/>
        <n v="1096600"/>
        <n v="2643400"/>
        <n v="8828600"/>
        <n v="1867100"/>
        <n v="149500"/>
        <n v="2444000"/>
        <n v="142500"/>
        <n v="7723000"/>
        <n v="1241100"/>
        <n v="183300"/>
        <n v="1055900"/>
        <n v="156500"/>
        <n v="6311800"/>
        <n v="6349600"/>
        <n v="177500"/>
        <n v="119200"/>
        <n v="6114400"/>
        <n v="1366200"/>
        <n v="3077000"/>
        <n v="149200"/>
        <n v="2267400"/>
        <n v="152600"/>
        <n v="177200"/>
        <n v="1611500"/>
        <n v="159700"/>
        <n v="2550700"/>
        <n v="3236300"/>
        <n v="5533200"/>
        <n v="4496300"/>
        <n v="185600"/>
        <n v="7632300"/>
        <n v="1227500"/>
        <n v="5182200"/>
        <n v="160700"/>
        <n v="135600"/>
        <n v="8544100"/>
        <n v="5655800"/>
        <n v="1152000"/>
        <n v="4817700"/>
        <n v="1282700"/>
        <n v="4482800"/>
        <n v="7463100"/>
        <n v="2461200"/>
        <n v="134600"/>
        <n v="5187000"/>
        <n v="122900"/>
        <n v="156800"/>
        <n v="180900"/>
        <n v="158500"/>
        <n v="161800"/>
        <n v="4535300"/>
        <n v="3047400"/>
        <n v="7120100"/>
        <n v="153700"/>
        <n v="7581300"/>
        <n v="2094200"/>
        <n v="1378400"/>
        <n v="1477300"/>
        <n v="6918000"/>
        <n v="102800"/>
        <n v="7152300"/>
        <n v="5893100"/>
        <n v="1246700"/>
        <n v="1404900"/>
        <n v="158000"/>
        <n v="123400"/>
        <n v="2302200"/>
        <n v="6951500"/>
        <n v="8083700"/>
        <n v="95300"/>
        <n v="163900"/>
        <n v="5522700"/>
        <n v="5737200"/>
        <n v="162700"/>
        <n v="101200"/>
        <n v="181500"/>
        <n v="3635200"/>
        <n v="170800"/>
        <n v="5705800"/>
        <n v="6307800"/>
        <n v="171900"/>
        <n v="5343000"/>
        <n v="141800"/>
        <n v="164300"/>
        <n v="131200"/>
        <n v="4917300"/>
        <n v="1476900"/>
        <n v="5921900"/>
        <n v="2521100"/>
        <n v="5455300"/>
        <n v="126000"/>
        <n v="7120000"/>
        <n v="1361400"/>
        <n v="173800"/>
        <n v="7609800"/>
        <n v="7915400"/>
        <n v="118700"/>
        <n v="1558900"/>
        <n v="4549400"/>
        <n v="9090800"/>
        <n v="181700"/>
        <n v="6765900"/>
        <n v="2056700"/>
        <n v="6934800"/>
        <n v="5274300"/>
        <n v="124800"/>
        <n v="146600"/>
        <n v="168800"/>
        <n v="7964400"/>
        <n v="1884600"/>
        <n v="137400"/>
        <n v="1262100"/>
        <n v="5201300"/>
        <n v="7248500"/>
        <n v="96100"/>
        <n v="7377700"/>
        <n v="9375400"/>
        <n v="148100"/>
        <n v="6525000"/>
        <n v="111200"/>
        <n v="159100"/>
        <n v="109100"/>
        <n v="1220800"/>
        <n v="1982600"/>
        <n v="147200"/>
        <n v="172900"/>
        <n v="2064100"/>
        <n v="1500900"/>
        <n v="1529500"/>
        <n v="1459100"/>
        <n v="7521700"/>
        <n v="5376100"/>
        <n v="1424900"/>
        <n v="1497700"/>
        <n v="2065700"/>
        <n v="1347400"/>
        <n v="140300"/>
        <n v="4617000"/>
        <n v="127600"/>
        <n v="157200"/>
        <n v="1455400"/>
        <n v="2937200"/>
        <n v="119000"/>
        <n v="7090700"/>
        <n v="1210500"/>
        <n v="6562200"/>
        <n v="6552800"/>
        <n v="6439100"/>
        <n v="5220400"/>
        <n v="7021800"/>
        <n v="2456400"/>
        <n v="3137400"/>
        <n v="176200"/>
        <n v="106800"/>
        <n v="143500"/>
        <n v="4505600"/>
        <n v="7388100"/>
        <n v="124100"/>
        <n v="2974700"/>
        <n v="148000"/>
        <n v="1123200"/>
        <n v="143700"/>
        <n v="4982300"/>
        <n v="117400"/>
        <n v="3490900"/>
        <n v="2815500"/>
        <n v="168500"/>
        <n v="4635700"/>
        <n v="187500"/>
        <n v="2884700"/>
        <n v="5659300"/>
        <n v="7141900"/>
        <n v="5710500"/>
        <n v="1965000"/>
        <n v="2948000"/>
        <n v="6422900"/>
        <n v="7772700"/>
        <n v="2821800"/>
        <n v="152800"/>
        <n v="150000"/>
        <n v="1683000"/>
        <n v="6467900"/>
        <n v="2196800"/>
        <n v="8528100"/>
        <n v="1607900"/>
        <n v="7406000"/>
        <n v="2209800"/>
        <n v="5168000"/>
        <n v="1905400"/>
        <n v="5686600"/>
        <n v="6024400"/>
        <n v="8909500"/>
        <n v="5607700"/>
        <n v="134200"/>
        <n v="125900"/>
        <n v="1085500"/>
        <n v="151700"/>
        <n v="1508600"/>
        <n v="189000"/>
        <n v="2300600"/>
        <n v="5548700"/>
        <n v="7610900"/>
        <n v="5221400"/>
        <n v="5286200"/>
        <n v="8699400"/>
        <n v="2545800"/>
        <n v="103200"/>
        <n v="5087400"/>
        <n v="5840700"/>
        <n v="183000"/>
        <n v="1645200"/>
        <n v="6455300"/>
        <n v="120100"/>
        <n v="108600"/>
        <n v="183700"/>
        <n v="2147600"/>
        <n v="7790400"/>
        <n v="1817900"/>
        <n v="184200"/>
        <n v="127900"/>
        <n v="7642300"/>
        <n v="131400"/>
        <n v="5697200"/>
        <n v="1376800"/>
        <n v="2279300"/>
        <n v="3562700"/>
        <n v="140800"/>
        <n v="7081700"/>
        <n v="133900"/>
        <n v="103100"/>
        <n v="1491600"/>
        <n v="7825900"/>
        <n v="4383300"/>
        <n v="6512400"/>
        <n v="4587500"/>
        <n v="129800"/>
        <n v="4502200"/>
        <n v="5899200"/>
        <n v="148400"/>
        <n v="5062300"/>
        <n v="7501800"/>
        <n v="5719500"/>
        <n v="3252300"/>
        <n v="175700"/>
        <n v="121700"/>
        <n v="2070200"/>
        <n v="7275100"/>
        <n v="101400"/>
        <n v="93000"/>
        <n v="1952700"/>
        <n v="1995000"/>
        <n v="142100"/>
        <n v="186500"/>
        <n v="7240900"/>
        <n v="1080900"/>
        <n v="4847200"/>
        <n v="1566000"/>
        <n v="4911300"/>
        <n v="1290100"/>
        <n v="107800"/>
        <n v="6522000"/>
        <n v="7324400"/>
        <n v="2343300"/>
        <n v="165400"/>
        <n v="2291300"/>
        <n v="1620400"/>
        <n v="7767500"/>
        <n v="1503400"/>
        <n v="2947100"/>
        <n v="148600"/>
        <n v="6545700"/>
        <n v="7065400"/>
        <n v="2152600"/>
        <n v="1263200"/>
        <n v="5586800"/>
        <n v="111400"/>
        <n v="2210700"/>
        <n v="136000"/>
        <n v="6667600"/>
        <n v="2601400"/>
        <n v="1411400"/>
        <n v="1197700"/>
        <n v="5166300"/>
        <n v="148700"/>
        <n v="6889400"/>
        <n v="5250100"/>
        <n v="4872500"/>
        <n v="2190000"/>
        <n v="125500"/>
        <n v="8001200"/>
        <n v="6040200"/>
        <n v="124600"/>
        <n v="5181400"/>
        <n v="5774900"/>
        <n v="2238700"/>
        <n v="8754900"/>
        <n v="2241900"/>
        <n v="118000"/>
        <n v="150500"/>
        <n v="5515500"/>
        <n v="168600"/>
        <n v="5649700"/>
        <n v="9243100"/>
        <n v="2761900"/>
        <n v="8685000"/>
        <n v="2063900"/>
        <n v="2497300"/>
        <n v="122300"/>
        <n v="118200"/>
        <n v="173700"/>
        <n v="5816700"/>
        <n v="104100"/>
        <n v="1636700"/>
        <n v="7767200"/>
        <n v="2382100"/>
        <n v="4888500"/>
        <n v="132500"/>
        <n v="5881600"/>
        <n v="6052300"/>
        <n v="5368900"/>
        <n v="2004300"/>
        <n v="1334000"/>
        <n v="6233900"/>
        <n v="1330000"/>
        <n v="2612300"/>
        <n v="103700"/>
        <n v="5670100"/>
        <n v="1294400"/>
        <n v="4857600"/>
        <n v="7033800"/>
        <n v="110300"/>
        <n v="2330500"/>
        <n v="174700"/>
        <n v="2663700"/>
        <n v="5693500"/>
        <n v="6651700"/>
        <n v="5616400"/>
        <n v="4436400"/>
        <n v="123700"/>
        <n v="148300"/>
        <n v="1271800"/>
        <n v="2042900"/>
        <n v="2060900"/>
        <n v="1266300"/>
        <n v="2706100"/>
        <n v="4980900"/>
        <n v="2128300"/>
        <n v="5538300"/>
        <n v="5899600"/>
        <n v="9171100"/>
        <n v="6663900"/>
        <n v="5564800"/>
        <n v="8012800"/>
        <n v="7397600"/>
        <n v="4903700"/>
        <n v="2694800"/>
        <n v="4414600"/>
        <n v="167400"/>
        <n v="5711500"/>
        <n v="2407300"/>
        <n v="2254000"/>
        <n v="3381100"/>
        <n v="2610200"/>
        <n v="5524700"/>
        <n v="2755900"/>
        <n v="5281200"/>
        <n v="1471600"/>
        <n v="1568400"/>
        <n v="2000300"/>
        <n v="171700"/>
        <n v="1893200"/>
        <n v="8681000"/>
        <n v="2631300"/>
        <n v="7673600"/>
        <n v="2589700"/>
        <n v="116900"/>
        <n v="105700"/>
        <n v="2186300"/>
        <n v="136300"/>
        <n v="5535700"/>
        <n v="1506900"/>
        <n v="2052600"/>
        <n v="2545900"/>
        <n v="6744900"/>
        <n v="155900"/>
        <n v="141900"/>
        <n v="6510900"/>
        <n v="2917800"/>
        <n v="4932400"/>
        <n v="5964800"/>
        <n v="152900"/>
        <n v="6367000"/>
        <n v="6783800"/>
        <n v="2992400"/>
        <n v="6018100"/>
        <n v="8169900"/>
        <n v="142000"/>
        <n v="148800"/>
        <n v="2472300"/>
        <n v="1230800"/>
        <n v="1555100"/>
        <n v="1818300"/>
        <n v="9387200"/>
        <n v="1494200"/>
        <n v="1269800"/>
        <n v="5116700"/>
        <n v="5578800"/>
        <n v="7159400"/>
        <n v="1332100"/>
        <n v="4773300"/>
        <n v="1841600"/>
        <n v="4933600"/>
        <n v="6806400"/>
        <n v="141100"/>
        <n v="154700"/>
        <n v="5794800"/>
        <n v="7275900"/>
        <n v="5678900"/>
        <n v="7870600"/>
        <n v="7971200"/>
        <n v="2574800"/>
        <n v="1921700"/>
        <n v="144700"/>
        <n v="4566300"/>
        <n v="6134400"/>
        <n v="1412900"/>
        <n v="5317600"/>
        <n v="5078700"/>
        <n v="2529500"/>
        <n v="107700"/>
        <n v="116300"/>
        <n v="5702000"/>
        <n v="123800"/>
        <n v="4337600"/>
        <n v="7421200"/>
        <n v="163000"/>
        <n v="5676200"/>
        <n v="109500"/>
        <n v="5731100"/>
        <n v="149800"/>
        <n v="2277300"/>
        <n v="176000"/>
        <n v="120400"/>
        <n v="3071900"/>
        <n v="126400"/>
        <n v="4562100"/>
        <n v="150800"/>
        <n v="144900"/>
        <n v="5697100"/>
        <n v="6779300"/>
        <n v="2771100"/>
        <n v="6641800"/>
        <n v="127500"/>
        <n v="6746800"/>
        <n v="4984500"/>
        <n v="4780000"/>
        <n v="170300"/>
        <n v="5832100"/>
        <n v="2745100"/>
        <n v="3545100"/>
        <n v="5862800"/>
        <n v="2365900"/>
        <n v="2397400"/>
        <n v="5158300"/>
        <n v="5810800"/>
        <n v="118600"/>
        <n v="1310300"/>
        <n v="3139700"/>
        <n v="7667600"/>
        <n v="178100"/>
        <n v="179500"/>
        <n v="1432800"/>
        <n v="5660700"/>
        <n v="2683200"/>
        <n v="135700"/>
        <n v="2663300"/>
        <n v="143900"/>
        <n v="1967700"/>
        <n v="1227900"/>
        <n v="132700"/>
        <n v="174800"/>
        <n v="1065500"/>
        <n v="3323700"/>
        <n v="2955600"/>
        <n v="7221400"/>
        <n v="5944600"/>
        <n v="7465800"/>
        <n v="1514100"/>
        <n v="2646300"/>
        <n v="9337400"/>
        <n v="1847100"/>
        <n v="4948500"/>
        <n v="1914900"/>
        <n v="141000"/>
        <n v="5298500"/>
        <n v="1898200"/>
        <n v="6501700"/>
        <n v="5495600"/>
        <n v="1576800"/>
        <n v="151000"/>
        <n v="185400"/>
        <n v="1023800"/>
        <n v="158200"/>
        <n v="154800"/>
        <n v="8698600"/>
        <n v="149700"/>
        <n v="117300"/>
        <n v="1207600"/>
        <n v="6156500"/>
        <n v="8787700"/>
        <n v="164200"/>
        <n v="5709700"/>
        <n v="121100"/>
        <n v="6388300"/>
        <n v="2146700"/>
        <n v="150100"/>
        <n v="2229200"/>
        <n v="2110100"/>
        <n v="1015100"/>
        <n v="133600"/>
        <n v="2138200"/>
        <n v="157000"/>
        <n v="115700"/>
        <n v="9258700"/>
        <n v="1656100"/>
        <n v="1651500"/>
        <n v="8432800"/>
        <n v="5400900"/>
        <n v="8821400"/>
        <n v="7603900"/>
        <n v="2951400"/>
        <n v="174300"/>
        <n v="94500"/>
        <n v="6221400"/>
        <n v="142400"/>
        <n v="7773900"/>
        <n v="5974200"/>
        <n v="8576200"/>
        <n v="1225900"/>
        <n v="6943700"/>
        <n v="7970800"/>
        <n v="3057600"/>
        <n v="2508900"/>
        <n v="120000"/>
        <n v="2258900"/>
        <n v="2050000"/>
        <n v="149400"/>
        <n v="1125400"/>
        <n v="1351400"/>
        <n v="6630300"/>
        <n v="1286600"/>
        <n v="8775400"/>
        <n v="5235700"/>
        <n v="1522000"/>
        <n v="2797400"/>
        <n v="2656500"/>
        <n v="2867600"/>
        <n v="5616700"/>
        <n v="1634900"/>
        <n v="123100"/>
        <n v="5261800"/>
        <n v="162500"/>
        <n v="153800"/>
        <n v="6791700"/>
        <n v="1278400"/>
        <n v="5844200"/>
        <n v="4457900"/>
        <n v="146200"/>
        <n v="9262500"/>
        <n v="164700"/>
        <n v="2590300"/>
        <n v="6429700"/>
        <n v="6527400"/>
        <n v="5524600"/>
        <n v="187300"/>
        <n v="3342200"/>
        <n v="6501200"/>
        <n v="2657900"/>
        <n v="6320500"/>
        <n v="7179200"/>
        <n v="116100"/>
        <n v="7963600"/>
        <n v="5863800"/>
        <n v="181000"/>
        <n v="6388100"/>
        <n v="4911100"/>
        <n v="1686600"/>
        <n v="6000700"/>
        <n v="5519900"/>
        <n v="5174400"/>
        <n v="7072200"/>
        <n v="2267600"/>
        <n v="6286900"/>
        <n v="5784500"/>
        <n v="5003700"/>
        <n v="6211100"/>
        <n v="5503500"/>
        <n v="3394100"/>
        <n v="1172400"/>
        <n v="4965700"/>
        <n v="5378800"/>
        <n v="2300200"/>
        <n v="8300900"/>
        <n v="1482400"/>
        <n v="2254800"/>
        <n v="94900"/>
        <n v="1180000"/>
        <n v="114800"/>
        <n v="2916300"/>
        <n v="170400"/>
        <n v="142800"/>
        <n v="7138900"/>
        <n v="166100"/>
        <n v="2533400"/>
        <n v="2101700"/>
        <n v="1632600"/>
        <n v="2573300"/>
        <n v="102100"/>
        <n v="7746400"/>
        <n v="6184600"/>
        <n v="5707400"/>
        <n v="2412700"/>
        <n v="7432900"/>
        <n v="3695700"/>
        <n v="105600"/>
        <n v="4645900"/>
        <n v="94100"/>
        <n v="155200"/>
        <n v="5260900"/>
        <n v="1276000"/>
        <n v="6470400"/>
        <n v="5994800"/>
        <n v="5936400"/>
        <n v="4719900"/>
        <n v="5618100"/>
        <n v="2663400"/>
        <n v="5163000"/>
        <n v="2517200"/>
        <n v="6977900"/>
        <n v="1297900"/>
        <n v="8975900"/>
        <n v="7547400"/>
        <n v="121500"/>
        <n v="5763500"/>
        <n v="2433300"/>
        <n v="5704600"/>
        <n v="96300"/>
        <n v="111300"/>
        <n v="167000"/>
        <n v="131900"/>
        <n v="8511500"/>
        <n v="6008800"/>
        <n v="1204000"/>
        <n v="7331200"/>
        <n v="2446000"/>
        <n v="1158900"/>
        <n v="4430800"/>
        <n v="6096500"/>
        <n v="146100"/>
        <n v="4964400"/>
        <n v="6285300"/>
        <n v="5770500"/>
        <n v="9020400"/>
        <n v="1204700"/>
        <n v="159400"/>
        <n v="5088400"/>
        <n v="2213400"/>
        <n v="5552800"/>
        <n v="4667900"/>
        <n v="8501900"/>
        <n v="5785700"/>
        <n v="6501000"/>
        <n v="157700"/>
        <n v="3429800"/>
        <n v="148900"/>
        <n v="8281800"/>
        <n v="2361000"/>
        <n v="125100"/>
        <n v="9172800"/>
        <n v="7493500"/>
        <n v="2031800"/>
        <n v="5285500"/>
        <n v="113700"/>
        <n v="7188900"/>
        <n v="2276300"/>
        <n v="5273400"/>
        <n v="4395300"/>
        <n v="6918700"/>
        <n v="132100"/>
        <n v="1078700"/>
        <n v="116600"/>
        <n v="4580700"/>
        <n v="4805300"/>
        <n v="101000"/>
        <n v="7016700"/>
        <n v="172100"/>
        <n v="134900"/>
        <n v="1062900"/>
        <n v="6195400"/>
        <n v="2177300"/>
        <n v="4784800"/>
        <n v="5949700"/>
        <n v="6083100"/>
        <n v="1244200"/>
        <n v="4478600"/>
        <n v="178400"/>
        <n v="1014700"/>
        <n v="5994300"/>
        <n v="168900"/>
        <n v="1576900"/>
        <n v="5401800"/>
        <n v="8661600"/>
        <n v="173500"/>
        <n v="2563500"/>
        <n v="5558600"/>
        <n v="180600"/>
        <n v="1994000"/>
        <n v="7806100"/>
        <n v="153000"/>
        <n v="2269900"/>
        <n v="4817600"/>
        <n v="2201500"/>
        <n v="1209500"/>
        <n v="129900"/>
        <n v="3196000"/>
        <n v="8617600"/>
        <n v="2300000"/>
        <n v="1217500"/>
        <n v="5366800"/>
        <n v="187800"/>
        <n v="129700"/>
        <n v="160900"/>
        <n v="136800"/>
        <n v="185800"/>
        <n v="137600"/>
        <n v="2341300"/>
        <n v="144500"/>
        <n v="2070100"/>
        <n v="144200"/>
        <n v="8386900"/>
        <n v="6348600"/>
        <n v="7197500"/>
        <n v="5842400"/>
        <n v="1268500"/>
        <n v="1621700"/>
        <n v="1695400"/>
        <n v="5065900"/>
        <n v="163700"/>
        <n v="171200"/>
        <n v="2613800"/>
        <n v="7601800"/>
        <n v="162400"/>
        <n v="2451400"/>
        <n v="7619000"/>
        <n v="4884000"/>
        <n v="153200"/>
        <n v="2792600"/>
        <n v="5442500"/>
        <n v="5468200"/>
        <n v="2043500"/>
        <n v="2049800"/>
        <n v="182700"/>
        <n v="103400"/>
        <n v="5964700"/>
        <n v="5569000"/>
        <n v="2713300"/>
        <n v="2419700"/>
        <n v="157800"/>
        <n v="1288300"/>
        <n v="3270000"/>
        <n v="6241400"/>
        <n v="2117200"/>
        <n v="8793100"/>
        <n v="1256500"/>
        <n v="2125900"/>
        <n v="5662900"/>
        <n v="5255700"/>
        <n v="7104700"/>
        <n v="131100"/>
        <n v="2477200"/>
        <n v="4860900"/>
        <n v="4735300"/>
        <n v="6158900"/>
        <n v="1618300"/>
        <n v="155300"/>
        <n v="7851700"/>
        <n v="2032200"/>
        <n v="7751900"/>
        <n v="171800"/>
        <n v="5127100"/>
        <n v="1430700"/>
        <n v="181100"/>
        <n v="2814700"/>
        <n v="5314000"/>
        <n v="6381100"/>
        <n v="7279800"/>
        <n v="6018500"/>
        <n v="7644400"/>
        <n v="2343500"/>
        <n v="159900"/>
        <n v="1034400"/>
        <n v="2511400"/>
        <n v="7348100"/>
        <n v="162300"/>
        <n v="128300"/>
        <n v="2054100"/>
        <n v="167700"/>
        <n v="1332400"/>
        <n v="162900"/>
        <n v="8588700"/>
        <n v="154300"/>
        <n v="5297100"/>
        <n v="2192200"/>
        <n v="6138400"/>
        <n v="147900"/>
        <n v="4937700"/>
        <n v="6126600"/>
        <n v="2252500"/>
        <n v="1133100"/>
        <n v="92400"/>
        <n v="2270800"/>
        <n v="2109800"/>
        <n v="8049700"/>
        <n v="5158600"/>
        <n v="5125400"/>
        <n v="7470700"/>
        <n v="2093600"/>
        <n v="3525200"/>
        <n v="1529000"/>
        <n v="5175800"/>
        <n v="1339500"/>
        <n v="2224200"/>
        <n v="2454300"/>
        <n v="1609100"/>
        <n v="7798600"/>
        <n v="2075700"/>
        <n v="126200"/>
        <n v="6802900"/>
        <n v="7439600"/>
        <n v="6133700"/>
        <n v="4546600"/>
        <n v="168700"/>
        <n v="5990800"/>
        <n v="1626100"/>
        <n v="6667500"/>
        <n v="5466800"/>
        <n v="112300"/>
        <n v="4823300"/>
        <n v="152400"/>
        <n v="7083200"/>
        <n v="5840100"/>
        <n v="2546800"/>
        <n v="6173700"/>
        <n v="5712500"/>
        <n v="5977000"/>
        <n v="1065300"/>
        <n v="6066400"/>
        <n v="3563100"/>
        <n v="2593600"/>
        <n v="151600"/>
        <n v="4894500"/>
        <n v="2039700"/>
        <n v="1431800"/>
        <n v="2248600"/>
        <n v="2293300"/>
        <n v="152500"/>
        <n v="7512600"/>
        <n v="158600"/>
        <n v="1281300"/>
        <n v="2972200"/>
        <n v="5181900"/>
        <n v="5527700"/>
        <n v="9290600"/>
        <n v="1410900"/>
        <n v="5074500"/>
        <n v="5804200"/>
        <n v="2738600"/>
        <n v="7012400"/>
        <n v="127300"/>
        <n v="7497100"/>
        <n v="8394700"/>
        <n v="5514000"/>
        <n v="1315600"/>
        <n v="123600"/>
        <n v="3316400"/>
        <n v="167300"/>
        <n v="2281000"/>
        <n v="2570100"/>
        <n v="1560900"/>
        <n v="183400"/>
        <n v="5085100"/>
        <n v="1471800"/>
        <n v="1691600"/>
        <n v="1079400"/>
        <n v="4441000"/>
        <n v="3093700"/>
        <n v="1473500"/>
        <n v="2223300"/>
        <n v="2272800"/>
        <n v="7170900"/>
        <n v="6415300"/>
        <n v="1286700"/>
        <n v="149300"/>
        <n v="155700"/>
        <n v="1641200"/>
        <n v="115400"/>
        <n v="154500"/>
        <n v="2459200"/>
        <n v="5029200"/>
        <n v="2383700"/>
        <n v="6025000"/>
        <n v="7827800"/>
        <n v="5416800"/>
        <n v="7042200"/>
        <n v="5886900"/>
        <n v="137300"/>
        <n v="6462400"/>
        <n v="147500"/>
        <n v="130200"/>
        <n v="5905500"/>
        <n v="1290400"/>
        <n v="6116000"/>
        <n v="95000"/>
        <n v="5373700"/>
        <n v="2470300"/>
        <n v="2097300"/>
        <n v="156100"/>
        <n v="133400"/>
        <n v="5872000"/>
        <n v="164400"/>
        <n v="103900"/>
        <n v="4564300"/>
        <n v="104200"/>
        <n v="135900"/>
        <n v="4976600"/>
        <n v="3322300"/>
        <n v="1990000"/>
        <n v="5384000"/>
        <n v="8013900"/>
        <n v="5398600"/>
        <n v="8514700"/>
        <n v="142600"/>
        <n v="2566600"/>
        <n v="7712500"/>
        <n v="6035300"/>
        <n v="2941400"/>
        <n v="5390000"/>
        <n v="9253900"/>
        <n v="1564300"/>
        <n v="129600"/>
        <n v="3668300"/>
        <n v="4720700"/>
        <n v="1000200"/>
        <n v="153300"/>
        <n v="1605000"/>
        <n v="113800"/>
        <n v="8713800"/>
        <n v="2712000"/>
        <n v="108400"/>
        <n v="4338900"/>
        <n v="165100"/>
        <n v="7791600"/>
        <n v="176500"/>
        <n v="2163000"/>
        <n v="8687200"/>
        <n v="7770600"/>
        <n v="1619100"/>
        <n v="175400"/>
        <n v="5991100"/>
        <n v="160600"/>
        <n v="2597200"/>
        <n v="9233000"/>
        <n v="1675700"/>
        <n v="169900"/>
        <n v="2202200"/>
        <n v="159800"/>
        <n v="5519700"/>
        <n v="1643700"/>
        <n v="143600"/>
        <n v="2944100"/>
        <n v="157900"/>
        <n v="5386900"/>
        <n v="5474500"/>
        <n v="1575200"/>
        <n v="6007300"/>
        <n v="7134100"/>
        <n v="125700"/>
        <n v="7154300"/>
        <n v="2391600"/>
        <n v="8461300"/>
        <n v="165700"/>
        <n v="1369800"/>
        <n v="7840600"/>
        <n v="1663100"/>
        <n v="6462100"/>
        <n v="2187400"/>
        <n v="155500"/>
        <n v="3635800"/>
        <n v="7038500"/>
        <n v="5159400"/>
        <n v="120200"/>
        <n v="1260500"/>
        <n v="2086000"/>
        <n v="161200"/>
        <n v="139100"/>
        <n v="2434000"/>
        <n v="1022900"/>
        <n v="1335700"/>
        <n v="110000"/>
        <n v="1008500"/>
        <n v="7629200"/>
        <n v="6765700"/>
        <n v="7826000"/>
        <n v="5165100"/>
        <n v="2694200"/>
        <n v="1474500"/>
        <n v="165900"/>
        <n v="114900"/>
        <n v="161300"/>
        <n v="6268900"/>
        <n v="7285300"/>
        <n v="6125200"/>
        <n v="1692000"/>
        <n v="1377400"/>
        <n v="7697200"/>
        <n v="149000"/>
        <n v="1211200"/>
        <n v="1410300"/>
        <n v="1397600"/>
        <n v="3744500"/>
        <n v="4368000"/>
        <n v="9252300"/>
        <n v="7870000"/>
        <n v="6370300"/>
        <n v="8258000"/>
        <n v="2560700"/>
        <n v="1640400"/>
        <n v="169200"/>
        <n v="2436400"/>
        <n v="139400"/>
        <n v="1113900"/>
        <n v="6860500"/>
        <n v="1890300"/>
        <n v="1004800"/>
        <n v="2644400"/>
        <n v="2217800"/>
        <n v="140100"/>
        <n v="2138400"/>
        <n v="1676800"/>
        <n v="5807200"/>
        <n v="5802300"/>
        <n v="2688500"/>
        <n v="2323400"/>
        <n v="6138000"/>
        <n v="2706000"/>
        <n v="2604200"/>
        <n v="2544400"/>
        <n v="2124500"/>
        <n v="4721100"/>
        <n v="161700"/>
        <n v="189800"/>
        <n v="1292000"/>
        <n v="2322100"/>
        <n v="5286100"/>
        <n v="188100"/>
        <n v="8977100"/>
        <n v="8185800"/>
        <n v="2507400"/>
        <n v="158800"/>
        <n v="5918900"/>
        <n v="1595900"/>
        <n v="165300"/>
        <n v="2361300"/>
        <n v="6267600"/>
        <n v="1605400"/>
        <n v="1914300"/>
        <n v="1134200"/>
        <n v="6074500"/>
        <n v="5645800"/>
        <n v="6492900"/>
        <n v="177100"/>
        <n v="8773000"/>
        <n v="100500"/>
        <n v="4885400"/>
        <n v="5355200"/>
        <n v="1499100"/>
        <n v="120800"/>
        <n v="2233400"/>
        <n v="2209900"/>
        <n v="6608200"/>
        <n v="2386900"/>
        <n v="2465800"/>
        <n v="4425300"/>
        <n v="5652700"/>
        <n v="5733900"/>
        <n v="177000"/>
        <n v="1559000"/>
        <n v="1095500"/>
        <n v="2335100"/>
        <n v="121400"/>
        <n v="7558700"/>
        <n v="8258500"/>
        <n v="2937000"/>
        <n v="2596400"/>
        <n v="5123700"/>
        <n v="5325900"/>
        <n v="3228000"/>
        <n v="5385300"/>
        <n v="178300"/>
        <n v="1012600"/>
        <n v="6145600"/>
        <n v="4564000"/>
        <n v="152200"/>
        <n v="1931600"/>
        <n v="6313100"/>
        <n v="6931100"/>
        <n v="5913700"/>
        <n v="104700"/>
        <n v="2493300"/>
        <n v="7684700"/>
        <n v="3097700"/>
        <n v="4472800"/>
        <n v="180300"/>
        <n v="2360200"/>
        <n v="2462600"/>
        <n v="1298000"/>
        <n v="1346300"/>
        <n v="6274900"/>
        <n v="4876600"/>
        <n v="5135500"/>
        <n v="129300"/>
        <n v="2528900"/>
        <n v="2180300"/>
        <n v="146000"/>
        <n v="7607000"/>
        <n v="5630800"/>
        <n v="5753100"/>
        <n v="4694200"/>
        <n v="2296300"/>
        <n v="7329200"/>
        <n v="92800"/>
        <n v="184100"/>
        <n v="159000"/>
        <n v="4915500"/>
        <n v="100400"/>
        <n v="5432800"/>
        <n v="8597300"/>
        <n v="153400"/>
        <n v="99800"/>
        <n v="1223100"/>
        <n v="155400"/>
        <n v="1333000"/>
        <n v="5040800"/>
        <n v="5294400"/>
        <n v="4450900"/>
        <n v="1536000"/>
        <n v="2657700"/>
        <n v="1441200"/>
        <n v="5333200"/>
        <n v="6117800"/>
        <n v="1127200"/>
        <n v="7676000"/>
        <n v="5056000"/>
        <n v="1240200"/>
        <n v="2624800"/>
        <n v="188900"/>
        <n v="8080100"/>
        <n v="189100"/>
        <n v="1126900"/>
        <n v="100900"/>
        <n v="2028900"/>
        <n v="6219200"/>
        <n v="6705600"/>
        <n v="1967200"/>
        <n v="6027300"/>
        <n v="1348200"/>
        <n v="7082000"/>
        <n v="8323800"/>
        <n v="111600"/>
        <n v="2387000"/>
        <n v="2581900"/>
        <n v="2015800"/>
        <n v="1923700"/>
        <n v="1279800"/>
        <n v="2891900"/>
        <n v="8191600"/>
        <n v="127400"/>
        <n v="9151800"/>
        <n v="2715200"/>
        <n v="170100"/>
        <n v="6121700"/>
        <n v="142700"/>
        <n v="2490800"/>
        <n v="185500"/>
        <n v="2459800"/>
        <n v="2268000"/>
        <n v="5252300"/>
        <n v="4958500"/>
        <n v="145700"/>
        <n v="1131500"/>
        <n v="162000"/>
        <n v="7182100"/>
        <n v="134700"/>
        <n v="1638700"/>
        <n v="4886900"/>
        <n v="4614800"/>
        <n v="2674600"/>
        <n v="168200"/>
        <n v="6921700"/>
        <n v="6452800"/>
        <n v="1558700"/>
        <n v="7065500"/>
        <n v="2788900"/>
        <n v="3112300"/>
        <n v="101100"/>
        <n v="2196600"/>
        <n v="2532800"/>
        <n v="1624400"/>
        <n v="7691100"/>
        <n v="147100"/>
        <n v="5163300"/>
        <n v="5869800"/>
        <n v="7994500"/>
        <n v="1535600"/>
        <n v="5451100"/>
        <n v="135500"/>
        <n v="4794800"/>
        <n v="1224300"/>
        <n v="101700"/>
        <n v="5682800"/>
        <n v="5844800"/>
        <n v="4912100"/>
        <n v="5014600"/>
        <n v="179300"/>
        <n v="7634800"/>
        <n v="3168300"/>
        <n v="4782200"/>
        <n v="2911800"/>
        <n v="7444600"/>
        <n v="5108000"/>
        <n v="142200"/>
        <n v="146300"/>
        <n v="1654100"/>
        <n v="6549600"/>
        <n v="5337400"/>
        <n v="6604700"/>
        <n v="101900"/>
        <n v="1298900"/>
        <n v="171100"/>
        <n v="122600"/>
        <n v="5537500"/>
        <n v="7513200"/>
        <n v="1577200"/>
        <n v="158100"/>
        <n v="7165600"/>
        <n v="5399900"/>
        <n v="6785500"/>
        <n v="8325200"/>
        <n v="2380200"/>
        <n v="2982100"/>
        <n v="5754900"/>
        <n v="106600"/>
        <n v="5716600"/>
        <n v="163300"/>
        <n v="150300"/>
        <n v="2648500"/>
        <n v="3541600"/>
        <n v="2183300"/>
        <n v="146400"/>
        <n v="5632900"/>
        <n v="4499200"/>
        <n v="160800"/>
        <n v="150600"/>
        <n v="1011300"/>
        <n v="147000"/>
        <n v="6075500"/>
        <n v="8039800"/>
        <n v="4327400"/>
        <n v="128400"/>
        <n v="149100"/>
        <n v="1496500"/>
        <n v="4894400"/>
        <n v="4922500"/>
        <n v="7422000"/>
        <n v="2247800"/>
        <n v="1147600"/>
        <n v="1837200"/>
        <n v="5997900"/>
        <n v="1201800"/>
        <n v="1690800"/>
        <n v="4549500"/>
        <n v="155000"/>
        <n v="1436800"/>
        <n v="188800"/>
        <n v="2898400"/>
        <n v="4864000"/>
        <n v="6327200"/>
        <n v="4633300"/>
        <n v="2528200"/>
        <n v="5938500"/>
        <n v="7465500"/>
        <n v="2132600"/>
        <n v="7084800"/>
        <n v="8961900"/>
        <n v="4974600"/>
        <n v="6029500"/>
        <n v="6941600"/>
        <n v="1026900"/>
        <n v="7021200"/>
        <n v="166700"/>
        <n v="5315300"/>
        <n v="2758100"/>
        <n v="8436500"/>
        <n v="6022500"/>
        <n v="1082500"/>
        <n v="6441300"/>
        <n v="4617400"/>
        <n v="8350500"/>
        <n v="2414200"/>
        <n v="1105900"/>
        <n v="5968200"/>
        <n v="103800"/>
        <n v="2398500"/>
        <n v="1141400"/>
        <n v="163200"/>
        <n v="2661300"/>
        <n v="7025700"/>
        <n v="108100"/>
        <n v="119300"/>
        <n v="181300"/>
        <n v="1340400"/>
        <n v="7223900"/>
        <n v="147700"/>
        <n v="176700"/>
        <n v="156400"/>
        <n v="182600"/>
        <n v="1173100"/>
        <n v="5612800"/>
        <n v="1299100"/>
        <n v="128800"/>
        <n v="5729100"/>
        <n v="5553300"/>
        <n v="7568000"/>
        <n v="164600"/>
        <n v="1227000"/>
        <n v="6470200"/>
        <n v="2070300"/>
        <n v="6039500"/>
        <n v="5157300"/>
        <n v="168100"/>
        <n v="4513900"/>
        <n v="1549600"/>
        <n v="117700"/>
        <n v="127000"/>
        <n v="9047500"/>
        <n v="128000"/>
        <n v="6680800"/>
        <n v="129500"/>
        <n v="5512100"/>
        <n v="107200"/>
        <n v="1668200"/>
        <n v="189200"/>
        <n v="90700"/>
        <n v="4470500"/>
        <n v="150700"/>
        <n v="6231100"/>
        <n v="7744600"/>
        <n v="5758400"/>
        <n v="5848400"/>
        <n v="5665200"/>
        <n v="5574800"/>
        <n v="2155700"/>
        <n v="141500"/>
        <n v="6624200"/>
        <n v="126800"/>
        <n v="166400"/>
        <n v="6402300"/>
        <n v="7412600"/>
        <n v="2167300"/>
        <n v="5619700"/>
        <n v="5462800"/>
        <n v="7136900"/>
        <n v="146500"/>
        <n v="6712600"/>
        <n v="6146600"/>
        <n v="159200"/>
        <n v="5718300"/>
        <n v="1595300"/>
        <n v="3702200"/>
        <n v="8526300"/>
        <n v="1382100"/>
        <n v="1206800"/>
        <n v="1454800"/>
        <n v="7510100"/>
        <n v="3127800"/>
        <n v="6446400"/>
        <n v="6764600"/>
        <n v="7380100"/>
        <n v="6573000"/>
        <n v="2550800"/>
        <n v="1398300"/>
        <n v="4575500"/>
        <n v="168400"/>
        <n v="160100"/>
        <n v="2399600"/>
        <n v="4310800"/>
        <n v="5378000"/>
        <n v="117900"/>
        <n v="5278900"/>
        <n v="5496500"/>
        <n v="5012300"/>
        <n v="6976100"/>
        <n v="5592800"/>
        <n v="8518400"/>
        <n v="5747400"/>
        <n v="169300"/>
        <n v="7695500"/>
        <n v="1779600"/>
        <n v="5019200"/>
        <n v="9371200"/>
        <n v="1204900"/>
        <n v="5057000"/>
        <n v="6959600"/>
        <n v="2613400"/>
        <n v="1598200"/>
        <n v="6042000"/>
        <n v="138800"/>
        <n v="5178200"/>
        <n v="4853400"/>
        <n v="3588800"/>
        <n v="8987100"/>
        <n v="1645900"/>
        <n v="7313700"/>
        <n v="7105300"/>
        <n v="5354200"/>
        <n v="2406900"/>
        <n v="2216600"/>
        <n v="123300"/>
        <n v="5045400"/>
        <n v="134400"/>
        <n v="5629100"/>
        <n v="2296500"/>
        <n v="8130800"/>
        <n v="157600"/>
        <n v="5576000"/>
        <n v="3435300"/>
        <n v="172400"/>
        <n v="116700"/>
        <n v="122700"/>
        <n v="7726300"/>
        <n v="2976500"/>
        <n v="2585200"/>
        <n v="3082900"/>
        <n v="6130300"/>
        <n v="2914700"/>
        <n v="5607300"/>
        <n v="1315300"/>
        <n v="2190600"/>
        <n v="139700"/>
        <n v="6023400"/>
        <n v="6989900"/>
        <n v="105800"/>
        <n v="8058900"/>
        <n v="5855900"/>
        <n v="1924700"/>
        <n v="185700"/>
        <n v="115800"/>
        <n v="1939200"/>
        <n v="7182500"/>
        <n v="1037000"/>
        <n v="4675300"/>
        <n v="145900"/>
        <n v="1601900"/>
        <n v="7058600"/>
        <n v="6904500"/>
        <n v="5402600"/>
        <n v="1642500"/>
        <n v="4859700"/>
        <n v="137000"/>
        <n v="7073300"/>
        <n v="6352200"/>
        <n v="6489800"/>
        <n v="2784200"/>
        <n v="7067600"/>
        <n v="5372900"/>
        <n v="2243600"/>
        <n v="7630800"/>
        <n v="141400"/>
        <n v="5928600"/>
        <n v="5888700"/>
        <n v="5357600"/>
        <n v="5033900"/>
        <n v="2610100"/>
        <n v="3628000"/>
        <n v="2187000"/>
        <n v="1240500"/>
        <n v="5585100"/>
        <n v="5818000"/>
        <n v="7711300"/>
        <n v="2277600"/>
        <n v="1865800"/>
        <n v="1523200"/>
        <n v="2521500"/>
        <n v="2534000"/>
        <n v="2194500"/>
        <n v="1977900"/>
        <n v="1409900"/>
        <n v="2470100"/>
        <n v="3245200"/>
        <n v="6896000"/>
        <n v="4942100"/>
        <n v="122200"/>
        <n v="6068600"/>
        <n v="7023900"/>
        <n v="119800"/>
        <n v="4947200"/>
        <n v="173600"/>
        <n v="8706400"/>
        <n v="6730600"/>
        <n v="8341000"/>
        <n v="5724700"/>
        <n v="8427900"/>
        <n v="5895500"/>
        <n v="1432400"/>
        <n v="5168800"/>
        <n v="3556000"/>
        <n v="4386800"/>
        <n v="1552800"/>
        <n v="5487700"/>
        <n v="1216900"/>
        <n v="6878400"/>
        <n v="2462100"/>
        <n v="6108600"/>
        <n v="158300"/>
        <n v="167200"/>
        <n v="2372200"/>
        <n v="7117800"/>
        <n v="7426100"/>
        <n v="117500"/>
        <n v="7245500"/>
        <n v="5976800"/>
        <n v="1308900"/>
        <n v="2194300"/>
        <n v="9224100"/>
        <n v="149600"/>
        <n v="6280500"/>
        <n v="151100"/>
        <n v="2654400"/>
        <n v="1327000"/>
        <n v="1266500"/>
        <n v="122500"/>
        <n v="1331300"/>
        <n v="150200"/>
        <n v="8299600"/>
        <n v="143000"/>
        <n v="117100"/>
        <n v="6702400"/>
        <n v="5630200"/>
        <n v="145600"/>
        <n v="176600"/>
        <n v="6459400"/>
        <n v="7447700"/>
        <n v="139500"/>
        <n v="7494900"/>
        <n v="2329300"/>
        <n v="5393700"/>
        <n v="186400"/>
        <n v="5527800"/>
        <n v="6488000"/>
        <n v="5397100"/>
        <n v="5484400"/>
        <n v="2303800"/>
        <n v="1349400"/>
        <n v="6401200"/>
        <n v="2278800"/>
        <n v="9377400"/>
        <n v="2436800"/>
        <n v="6796400"/>
        <n v="7318800"/>
        <n v="186300"/>
        <n v="1985500"/>
        <n v="5087000"/>
        <n v="8062200"/>
        <n v="5447800"/>
        <n v="1287600"/>
        <n v="4631200"/>
        <n v="2130700"/>
        <n v="7616000"/>
        <n v="7549800"/>
        <n v="5023000"/>
        <n v="2536500"/>
        <n v="2166400"/>
        <n v="3446600"/>
        <n v="5374000"/>
        <n v="161000"/>
        <n v="2338300"/>
        <n v="5801300"/>
        <n v="1272100"/>
        <n v="5217800"/>
        <n v="2124000"/>
        <n v="1708700"/>
        <n v="4291600"/>
        <n v="2555000"/>
        <n v="138200"/>
        <n v="2115600"/>
        <n v="7138700"/>
        <n v="112100"/>
        <n v="2444700"/>
        <n v="3569000"/>
        <n v="1588900"/>
        <n v="5053700"/>
        <n v="5000000"/>
        <n v="91600"/>
        <n v="6565100"/>
        <n v="1644600"/>
        <n v="2004100"/>
        <n v="140400"/>
        <n v="131000"/>
        <n v="5111500"/>
        <n v="2180600"/>
        <n v="3098100"/>
        <n v="2315200"/>
        <n v="2678300"/>
        <n v="3273800"/>
        <n v="1145800"/>
        <n v="1210100"/>
        <n v="7389400"/>
        <n v="4715700"/>
        <n v="3285800"/>
        <n v="188400"/>
        <n v="2612700"/>
        <n v="144000"/>
        <n v="2779000"/>
        <n v="5209200"/>
        <n v="4664400"/>
        <n v="5526100"/>
        <n v="4810900"/>
        <n v="136200"/>
        <n v="144600"/>
        <n v="1488300"/>
        <n v="1843600"/>
        <n v="2015400"/>
        <n v="2503500"/>
        <n v="7090900"/>
        <n v="174500"/>
        <n v="186600"/>
        <n v="3005600"/>
        <n v="1136800"/>
        <n v="4693500"/>
        <n v="2412100"/>
        <n v="122100"/>
        <n v="6305100"/>
        <n v="5317200"/>
        <n v="7238000"/>
        <n v="2210100"/>
        <n v="5673000"/>
        <n v="1078300"/>
        <n v="7516800"/>
        <n v="4880900"/>
        <n v="7213600"/>
        <n v="1631300"/>
        <n v="2684100"/>
        <n v="8526100"/>
        <n v="102700"/>
        <n v="6021100"/>
        <n v="6913900"/>
        <n v="1335200"/>
        <n v="7378300"/>
        <n v="9006700"/>
        <n v="4837900"/>
        <n v="2977100"/>
        <n v="7254400"/>
        <n v="5656100"/>
        <n v="2390800"/>
        <n v="1305800"/>
        <n v="2491100"/>
        <n v="182300"/>
        <n v="121600"/>
        <n v="7682500"/>
        <n v="7473200"/>
        <n v="5191100"/>
        <n v="8969800"/>
        <n v="4630200"/>
        <n v="6944200"/>
        <n v="5823300"/>
        <n v="7657900"/>
        <n v="2952500"/>
        <n v="161100"/>
        <n v="2489200"/>
        <n v="2705700"/>
        <n v="5245900"/>
        <n v="6651100"/>
        <n v="5869000"/>
        <n v="8888700"/>
        <n v="126300"/>
        <n v="2850000"/>
        <n v="3235700"/>
        <n v="2499600"/>
        <n v="2811200"/>
        <n v="172500"/>
        <n v="3095300"/>
        <n v="1396400"/>
        <n v="2307400"/>
        <n v="175900"/>
        <n v="5326300"/>
        <n v="5100700"/>
        <n v="1541400"/>
        <n v="121000"/>
        <n v="8437900"/>
        <n v="4727300"/>
        <n v="5057800"/>
        <n v="1962900"/>
        <n v="3273000"/>
        <n v="8094600"/>
        <n v="7142300"/>
        <n v="140500"/>
        <n v="1134700"/>
        <n v="4803300"/>
        <n v="1333900"/>
        <n v="99300"/>
        <n v="168000"/>
        <n v="7565500"/>
        <n v="6123500"/>
        <n v="154900"/>
        <n v="2331900"/>
        <n v="176800"/>
        <n v="3348900"/>
        <n v="1621200"/>
        <n v="6199100"/>
        <n v="1419400"/>
        <n v="159300"/>
        <n v="5010200"/>
        <n v="1469400"/>
        <n v="1953000"/>
        <n v="2092300"/>
        <n v="2031100"/>
        <n v="2889400"/>
        <n v="136600"/>
        <n v="1236200"/>
        <n v="177700"/>
        <n v="4878300"/>
        <n v="7179900"/>
        <n v="3081100"/>
        <n v="1460100"/>
        <n v="1272200"/>
        <n v="5004200"/>
        <n v="7335500"/>
        <n v="2515200"/>
        <n v="1277900"/>
        <n v="172300"/>
        <n v="4952200"/>
        <n v="1597100"/>
        <n v="5297500"/>
        <n v="1218800"/>
        <n v="2907200"/>
        <n v="5038100"/>
        <n v="132200"/>
        <n v="3563500"/>
        <n v="4401000"/>
        <n v="6359600"/>
        <n v="2603200"/>
        <n v="2583100"/>
        <n v="1661700"/>
        <n v="7152200"/>
        <n v="6763200"/>
        <n v="5384200"/>
        <n v="1435700"/>
        <n v="6572200"/>
        <n v="8582000"/>
        <n v="4401700"/>
        <n v="5949200"/>
        <n v="1597800"/>
        <n v="3189200"/>
        <n v="1672400"/>
        <n v="2630000"/>
        <n v="4669300"/>
        <n v="2133900"/>
        <n v="6675600"/>
        <n v="1499800"/>
        <n v="122000"/>
        <n v="4419900"/>
        <n v="98800"/>
        <n v="6125700"/>
        <n v="6437100"/>
        <n v="2325000"/>
        <n v="4909400"/>
        <n v="2882400"/>
        <n v="7376600"/>
        <n v="173300"/>
        <n v="3556600"/>
        <n v="2003800"/>
        <n v="170600"/>
        <n v="2531600"/>
        <n v="7605400"/>
        <n v="1395800"/>
        <n v="112600"/>
        <n v="2181400"/>
        <n v="5005800"/>
        <n v="2073500"/>
        <n v="5875900"/>
        <n v="1442100"/>
        <n v="144300"/>
        <n v="5831700"/>
        <n v="1186300"/>
        <n v="5673800"/>
        <n v="3508600"/>
        <n v="133800"/>
        <n v="4611600"/>
        <n v="1112200"/>
        <n v="7498400"/>
        <n v="147600"/>
        <n v="4610700"/>
        <n v="7599300"/>
        <n v="126700"/>
        <n v="132900"/>
        <n v="5253600"/>
        <n v="103300"/>
        <n v="5972600"/>
        <n v="2411600"/>
      </sharedItems>
    </cacheField>
    <cacheField name="Revenue (INR)" numFmtId="165">
      <sharedItems containsSemiMixedTypes="0" containsString="0" containsNumber="1" containsInteger="1" minValue="998000" maxValue="974024600"/>
    </cacheField>
    <cacheField name="Customer Type" numFmtId="0">
      <sharedItems count="3">
        <s v="Corporate"/>
        <s v="Individual"/>
        <s v="Government"/>
      </sharedItems>
    </cacheField>
    <cacheField name="Payment Method" numFmtId="0">
      <sharedItems count="4">
        <s v="Loan/EMI"/>
        <s v="Lease"/>
        <s v="Full Payment"/>
        <s v="Others"/>
      </sharedItems>
    </cacheField>
    <cacheField name="Year" numFmtId="0">
      <sharedItems containsSemiMixedTypes="0" containsString="0" containsNumber="1" containsInteger="1" minValue="2023" maxValue="2024" count="2">
        <n v="2023"/>
        <n v="2024"/>
      </sharedItems>
    </cacheField>
    <cacheField name="Quarter" numFmtId="0">
      <sharedItems count="4">
        <s v="Q1"/>
        <s v="Q2"/>
        <s v="Q3"/>
        <s v="Q4"/>
      </sharedItems>
    </cacheField>
    <cacheField name="Month" numFmtId="0">
      <sharedItems count="12">
        <s v="Jan"/>
        <s v="Feb"/>
        <s v="Mar"/>
        <s v="Apr"/>
        <s v="May"/>
        <s v="Jun"/>
        <s v="Jul"/>
        <s v="Aug"/>
        <s v="Sep"/>
        <s v="Oct"/>
        <s v="Nov"/>
        <s v="Dec"/>
      </sharedItems>
    </cacheField>
    <cacheField name="Month Number" numFmtId="0">
      <sharedItems containsSemiMixedTypes="0" containsString="0" containsNumber="1" containsInteger="1" minValue="1" maxValue="12"/>
    </cacheField>
    <cacheField name="Year-Month" numFmtId="167">
      <sharedItems containsSemiMixedTypes="0" containsNonDate="0" containsDate="1" containsString="0" minDate="2023-01-01T00:00:00" maxDate="2024-12-02T00:00:00" count="24">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22"/>
    </cacheField>
    <cacheField name="Average Revenue per EV" numFmtId="165">
      <sharedItems containsSemiMixedTypes="0" containsString="0" containsNumber="1" containsInteger="1" minValue="90700" maxValue="9387200"/>
    </cacheField>
    <cacheField name="Revenue (Cr)" numFmtId="165">
      <sharedItems containsSemiMixedTypes="0" containsString="0" containsNumber="1" minValue="0.1" maxValue="97.4"/>
    </cacheField>
    <cacheField name="Months (Year-Month)" numFmtId="0" databaseField="0">
      <fieldGroup base="17">
        <rangePr groupBy="months" startDate="2023-01-01T00:00:00" endDate="2024-12-02T00:00:00"/>
        <groupItems count="14">
          <s v="&lt;01-01-2023"/>
          <s v="Jan"/>
          <s v="Feb"/>
          <s v="Mar"/>
          <s v="Apr"/>
          <s v="May"/>
          <s v="Jun"/>
          <s v="Jul"/>
          <s v="Aug"/>
          <s v="Sep"/>
          <s v="Oct"/>
          <s v="Nov"/>
          <s v="Dec"/>
          <s v="&gt;02-12-2024"/>
        </groupItems>
      </fieldGroup>
    </cacheField>
    <cacheField name="Quarters (Year-Month)" numFmtId="0" databaseField="0">
      <fieldGroup base="17">
        <rangePr groupBy="quarters" startDate="2023-01-01T00:00:00" endDate="2024-12-02T00:00:00"/>
        <groupItems count="6">
          <s v="&lt;01-01-2023"/>
          <s v="Qtr1"/>
          <s v="Qtr2"/>
          <s v="Qtr3"/>
          <s v="Qtr4"/>
          <s v="&gt;02-12-2024"/>
        </groupItems>
      </fieldGroup>
    </cacheField>
    <cacheField name="Years (Year-Month)" numFmtId="0" databaseField="0">
      <fieldGroup base="17">
        <rangePr groupBy="years" startDate="2023-01-01T00:00:00" endDate="2024-12-02T00:00:00"/>
        <groupItems count="4">
          <s v="&lt;01-01-2023"/>
          <s v="2023"/>
          <s v="2024"/>
          <s v="&gt;02-12-2024"/>
        </groupItems>
      </fieldGroup>
    </cacheField>
  </cacheFields>
  <extLst>
    <ext xmlns:x14="http://schemas.microsoft.com/office/spreadsheetml/2009/9/main" uri="{725AE2AE-9491-48be-B2B4-4EB974FC3084}">
      <x14:pivotCacheDefinition pivotCacheId="1094969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3-01-01T00:00:00"/>
    <x v="0"/>
    <s v="Warangal"/>
    <x v="0"/>
    <x v="0"/>
    <x v="0"/>
    <n v="82"/>
    <x v="0"/>
    <n v="13"/>
    <x v="0"/>
    <n v="77669800"/>
    <x v="0"/>
    <x v="0"/>
    <x v="0"/>
    <x v="0"/>
    <x v="0"/>
    <n v="1"/>
    <x v="0"/>
    <n v="5974600"/>
    <n v="7.77"/>
  </r>
  <r>
    <d v="2023-01-01T00:00:00"/>
    <x v="1"/>
    <s v="New Delhi"/>
    <x v="1"/>
    <x v="1"/>
    <x v="0"/>
    <n v="4"/>
    <x v="1"/>
    <n v="66"/>
    <x v="1"/>
    <n v="10164000"/>
    <x v="1"/>
    <x v="1"/>
    <x v="0"/>
    <x v="0"/>
    <x v="0"/>
    <n v="1"/>
    <x v="0"/>
    <n v="154000"/>
    <n v="1.02"/>
  </r>
  <r>
    <d v="2023-01-01T00:00:00"/>
    <x v="2"/>
    <s v="Ghaziabad"/>
    <x v="2"/>
    <x v="2"/>
    <x v="1"/>
    <n v="66"/>
    <x v="2"/>
    <n v="41"/>
    <x v="2"/>
    <n v="310074800"/>
    <x v="1"/>
    <x v="0"/>
    <x v="0"/>
    <x v="0"/>
    <x v="0"/>
    <n v="1"/>
    <x v="0"/>
    <n v="7562800"/>
    <n v="31.01"/>
  </r>
  <r>
    <d v="2023-01-01T00:00:00"/>
    <x v="3"/>
    <s v="Nagpur"/>
    <x v="3"/>
    <x v="3"/>
    <x v="0"/>
    <n v="3"/>
    <x v="3"/>
    <n v="142"/>
    <x v="3"/>
    <n v="18474200"/>
    <x v="0"/>
    <x v="1"/>
    <x v="0"/>
    <x v="0"/>
    <x v="0"/>
    <n v="1"/>
    <x v="0"/>
    <n v="130100"/>
    <n v="1.85"/>
  </r>
  <r>
    <d v="2023-01-01T00:00:00"/>
    <x v="4"/>
    <s v="Jalandhar"/>
    <x v="3"/>
    <x v="3"/>
    <x v="0"/>
    <n v="3"/>
    <x v="3"/>
    <n v="122"/>
    <x v="4"/>
    <n v="13212600"/>
    <x v="0"/>
    <x v="0"/>
    <x v="0"/>
    <x v="0"/>
    <x v="0"/>
    <n v="1"/>
    <x v="0"/>
    <n v="108300"/>
    <n v="1.32"/>
  </r>
  <r>
    <d v="2023-01-01T00:00:00"/>
    <x v="5"/>
    <s v="Mysuru"/>
    <x v="0"/>
    <x v="0"/>
    <x v="0"/>
    <n v="82"/>
    <x v="0"/>
    <n v="50"/>
    <x v="5"/>
    <n v="372685000"/>
    <x v="1"/>
    <x v="0"/>
    <x v="0"/>
    <x v="0"/>
    <x v="0"/>
    <n v="1"/>
    <x v="0"/>
    <n v="7453700"/>
    <n v="37.270000000000003"/>
  </r>
  <r>
    <d v="2023-01-02T00:00:00"/>
    <x v="6"/>
    <s v="Surat"/>
    <x v="4"/>
    <x v="4"/>
    <x v="0"/>
    <n v="77"/>
    <x v="4"/>
    <n v="56"/>
    <x v="6"/>
    <n v="289783200"/>
    <x v="1"/>
    <x v="1"/>
    <x v="0"/>
    <x v="0"/>
    <x v="0"/>
    <n v="1"/>
    <x v="0"/>
    <n v="5174700"/>
    <n v="28.98"/>
  </r>
  <r>
    <d v="2023-01-02T00:00:00"/>
    <x v="7"/>
    <s v="Tirupati"/>
    <x v="5"/>
    <x v="5"/>
    <x v="0"/>
    <n v="30"/>
    <x v="5"/>
    <n v="66"/>
    <x v="7"/>
    <n v="93013800"/>
    <x v="1"/>
    <x v="0"/>
    <x v="0"/>
    <x v="0"/>
    <x v="0"/>
    <n v="1"/>
    <x v="0"/>
    <n v="1409300"/>
    <n v="9.3000000000000007"/>
  </r>
  <r>
    <d v="2023-01-02T00:00:00"/>
    <x v="5"/>
    <s v="Mangaluru"/>
    <x v="6"/>
    <x v="6"/>
    <x v="0"/>
    <n v="72"/>
    <x v="6"/>
    <n v="16"/>
    <x v="8"/>
    <n v="70320000"/>
    <x v="1"/>
    <x v="0"/>
    <x v="0"/>
    <x v="0"/>
    <x v="0"/>
    <n v="1"/>
    <x v="0"/>
    <n v="4395000"/>
    <n v="7.03"/>
  </r>
  <r>
    <d v="2023-01-02T00:00:00"/>
    <x v="8"/>
    <s v="Kolkata"/>
    <x v="5"/>
    <x v="5"/>
    <x v="1"/>
    <n v="30"/>
    <x v="5"/>
    <n v="15"/>
    <x v="9"/>
    <n v="22477500"/>
    <x v="0"/>
    <x v="0"/>
    <x v="0"/>
    <x v="0"/>
    <x v="0"/>
    <n v="1"/>
    <x v="0"/>
    <n v="1498500"/>
    <n v="2.25"/>
  </r>
  <r>
    <d v="2023-01-02T00:00:00"/>
    <x v="9"/>
    <s v="Muzaffarpur"/>
    <x v="7"/>
    <x v="7"/>
    <x v="0"/>
    <n v="3"/>
    <x v="7"/>
    <n v="46"/>
    <x v="10"/>
    <n v="8505400"/>
    <x v="0"/>
    <x v="0"/>
    <x v="0"/>
    <x v="0"/>
    <x v="0"/>
    <n v="1"/>
    <x v="0"/>
    <n v="184900"/>
    <n v="0.85"/>
  </r>
  <r>
    <d v="2023-01-02T00:00:00"/>
    <x v="1"/>
    <s v="Dwarka"/>
    <x v="2"/>
    <x v="2"/>
    <x v="0"/>
    <n v="66"/>
    <x v="2"/>
    <n v="31"/>
    <x v="11"/>
    <n v="289716700"/>
    <x v="1"/>
    <x v="0"/>
    <x v="0"/>
    <x v="0"/>
    <x v="0"/>
    <n v="1"/>
    <x v="0"/>
    <n v="9345700"/>
    <n v="28.97"/>
  </r>
  <r>
    <d v="2023-01-03T00:00:00"/>
    <x v="7"/>
    <s v="Vijayawada"/>
    <x v="8"/>
    <x v="8"/>
    <x v="0"/>
    <n v="66"/>
    <x v="8"/>
    <n v="24"/>
    <x v="12"/>
    <n v="165648000"/>
    <x v="0"/>
    <x v="0"/>
    <x v="0"/>
    <x v="0"/>
    <x v="0"/>
    <n v="1"/>
    <x v="0"/>
    <n v="6902000"/>
    <n v="16.559999999999999"/>
  </r>
  <r>
    <d v="2023-01-03T00:00:00"/>
    <x v="6"/>
    <s v="Rajkot"/>
    <x v="9"/>
    <x v="9"/>
    <x v="2"/>
    <n v="50"/>
    <x v="9"/>
    <n v="47"/>
    <x v="13"/>
    <n v="103785400"/>
    <x v="1"/>
    <x v="0"/>
    <x v="0"/>
    <x v="0"/>
    <x v="0"/>
    <n v="1"/>
    <x v="0"/>
    <n v="2208200"/>
    <n v="10.38"/>
  </r>
  <r>
    <d v="2023-01-03T00:00:00"/>
    <x v="6"/>
    <s v="Vadodara"/>
    <x v="9"/>
    <x v="10"/>
    <x v="0"/>
    <n v="25"/>
    <x v="10"/>
    <n v="140"/>
    <x v="14"/>
    <n v="152516000"/>
    <x v="1"/>
    <x v="0"/>
    <x v="0"/>
    <x v="0"/>
    <x v="0"/>
    <n v="1"/>
    <x v="0"/>
    <n v="1089400"/>
    <n v="15.25"/>
  </r>
  <r>
    <d v="2023-01-03T00:00:00"/>
    <x v="10"/>
    <s v="Kochi"/>
    <x v="0"/>
    <x v="0"/>
    <x v="0"/>
    <n v="82"/>
    <x v="0"/>
    <n v="8"/>
    <x v="15"/>
    <n v="58927200"/>
    <x v="1"/>
    <x v="2"/>
    <x v="0"/>
    <x v="0"/>
    <x v="0"/>
    <n v="1"/>
    <x v="0"/>
    <n v="7365900"/>
    <n v="5.89"/>
  </r>
  <r>
    <d v="2023-01-04T00:00:00"/>
    <x v="3"/>
    <s v="Pune"/>
    <x v="4"/>
    <x v="4"/>
    <x v="0"/>
    <n v="77"/>
    <x v="4"/>
    <n v="53"/>
    <x v="16"/>
    <n v="249767800"/>
    <x v="0"/>
    <x v="2"/>
    <x v="0"/>
    <x v="0"/>
    <x v="0"/>
    <n v="1"/>
    <x v="0"/>
    <n v="4712600"/>
    <n v="24.98"/>
  </r>
  <r>
    <d v="2023-01-04T00:00:00"/>
    <x v="1"/>
    <s v="Dwarka"/>
    <x v="10"/>
    <x v="11"/>
    <x v="0"/>
    <n v="69"/>
    <x v="11"/>
    <n v="55"/>
    <x v="17"/>
    <n v="309864500"/>
    <x v="1"/>
    <x v="0"/>
    <x v="0"/>
    <x v="0"/>
    <x v="0"/>
    <n v="1"/>
    <x v="0"/>
    <n v="5633900"/>
    <n v="30.99"/>
  </r>
  <r>
    <d v="2023-01-05T00:00:00"/>
    <x v="8"/>
    <s v="Durgapur"/>
    <x v="11"/>
    <x v="12"/>
    <x v="2"/>
    <n v="40"/>
    <x v="12"/>
    <n v="133"/>
    <x v="18"/>
    <n v="279712300"/>
    <x v="1"/>
    <x v="0"/>
    <x v="0"/>
    <x v="0"/>
    <x v="0"/>
    <n v="1"/>
    <x v="0"/>
    <n v="2103100"/>
    <n v="27.97"/>
  </r>
  <r>
    <d v="2023-01-06T00:00:00"/>
    <x v="11"/>
    <s v="Coimbatore"/>
    <x v="6"/>
    <x v="13"/>
    <x v="0"/>
    <n v="48"/>
    <x v="12"/>
    <n v="60"/>
    <x v="19"/>
    <n v="116502000"/>
    <x v="1"/>
    <x v="2"/>
    <x v="0"/>
    <x v="0"/>
    <x v="0"/>
    <n v="1"/>
    <x v="0"/>
    <n v="1941700"/>
    <n v="11.65"/>
  </r>
  <r>
    <d v="2023-01-06T00:00:00"/>
    <x v="2"/>
    <s v="Kanpur"/>
    <x v="12"/>
    <x v="14"/>
    <x v="0"/>
    <n v="82"/>
    <x v="13"/>
    <n v="58"/>
    <x v="20"/>
    <n v="286241600"/>
    <x v="1"/>
    <x v="2"/>
    <x v="0"/>
    <x v="0"/>
    <x v="0"/>
    <n v="1"/>
    <x v="0"/>
    <n v="4935200"/>
    <n v="28.62"/>
  </r>
  <r>
    <d v="2023-01-06T00:00:00"/>
    <x v="12"/>
    <s v="Faridabad"/>
    <x v="4"/>
    <x v="4"/>
    <x v="2"/>
    <n v="77"/>
    <x v="4"/>
    <n v="40"/>
    <x v="21"/>
    <n v="190920000"/>
    <x v="2"/>
    <x v="1"/>
    <x v="0"/>
    <x v="0"/>
    <x v="0"/>
    <n v="1"/>
    <x v="0"/>
    <n v="4773000"/>
    <n v="19.09"/>
  </r>
  <r>
    <d v="2023-01-06T00:00:00"/>
    <x v="11"/>
    <s v="Madurai"/>
    <x v="9"/>
    <x v="10"/>
    <x v="0"/>
    <n v="25"/>
    <x v="10"/>
    <n v="59"/>
    <x v="22"/>
    <n v="64699400"/>
    <x v="1"/>
    <x v="0"/>
    <x v="0"/>
    <x v="0"/>
    <x v="0"/>
    <n v="1"/>
    <x v="0"/>
    <n v="1096600"/>
    <n v="6.47"/>
  </r>
  <r>
    <d v="2023-01-07T00:00:00"/>
    <x v="1"/>
    <s v="New Delhi"/>
    <x v="13"/>
    <x v="15"/>
    <x v="0"/>
    <n v="40"/>
    <x v="14"/>
    <n v="120"/>
    <x v="23"/>
    <n v="317208000"/>
    <x v="1"/>
    <x v="0"/>
    <x v="0"/>
    <x v="0"/>
    <x v="0"/>
    <n v="1"/>
    <x v="0"/>
    <n v="2643400"/>
    <n v="31.72"/>
  </r>
  <r>
    <d v="2023-01-07T00:00:00"/>
    <x v="1"/>
    <s v="Saket"/>
    <x v="2"/>
    <x v="2"/>
    <x v="0"/>
    <n v="66"/>
    <x v="2"/>
    <n v="49"/>
    <x v="24"/>
    <n v="432601400"/>
    <x v="1"/>
    <x v="0"/>
    <x v="0"/>
    <x v="0"/>
    <x v="0"/>
    <n v="1"/>
    <x v="0"/>
    <n v="8828600"/>
    <n v="43.26"/>
  </r>
  <r>
    <d v="2023-01-07T00:00:00"/>
    <x v="0"/>
    <s v="Warangal"/>
    <x v="11"/>
    <x v="12"/>
    <x v="1"/>
    <n v="40"/>
    <x v="12"/>
    <n v="79"/>
    <x v="25"/>
    <n v="147500900"/>
    <x v="1"/>
    <x v="0"/>
    <x v="0"/>
    <x v="0"/>
    <x v="0"/>
    <n v="1"/>
    <x v="0"/>
    <n v="1867100"/>
    <n v="14.75"/>
  </r>
  <r>
    <d v="2023-01-08T00:00:00"/>
    <x v="6"/>
    <s v="Rajkot"/>
    <x v="7"/>
    <x v="7"/>
    <x v="0"/>
    <n v="3"/>
    <x v="7"/>
    <n v="64"/>
    <x v="26"/>
    <n v="9568000"/>
    <x v="1"/>
    <x v="3"/>
    <x v="0"/>
    <x v="0"/>
    <x v="0"/>
    <n v="1"/>
    <x v="0"/>
    <n v="149500"/>
    <n v="0.96"/>
  </r>
  <r>
    <d v="2023-01-08T00:00:00"/>
    <x v="6"/>
    <s v="Ahmedabad"/>
    <x v="6"/>
    <x v="13"/>
    <x v="0"/>
    <n v="48"/>
    <x v="12"/>
    <n v="34"/>
    <x v="27"/>
    <n v="83096000"/>
    <x v="0"/>
    <x v="0"/>
    <x v="0"/>
    <x v="0"/>
    <x v="0"/>
    <n v="1"/>
    <x v="0"/>
    <n v="2444000"/>
    <n v="8.31"/>
  </r>
  <r>
    <d v="2023-01-08T00:00:00"/>
    <x v="12"/>
    <s v="Panipat"/>
    <x v="14"/>
    <x v="16"/>
    <x v="0"/>
    <n v="3"/>
    <x v="15"/>
    <n v="100"/>
    <x v="28"/>
    <n v="14250000"/>
    <x v="0"/>
    <x v="2"/>
    <x v="0"/>
    <x v="0"/>
    <x v="0"/>
    <n v="1"/>
    <x v="0"/>
    <n v="142500"/>
    <n v="1.42"/>
  </r>
  <r>
    <d v="2023-01-08T00:00:00"/>
    <x v="5"/>
    <s v="Mangaluru"/>
    <x v="0"/>
    <x v="0"/>
    <x v="0"/>
    <n v="82"/>
    <x v="0"/>
    <n v="5"/>
    <x v="29"/>
    <n v="38615000"/>
    <x v="1"/>
    <x v="2"/>
    <x v="0"/>
    <x v="0"/>
    <x v="0"/>
    <n v="1"/>
    <x v="0"/>
    <n v="7723000"/>
    <n v="3.86"/>
  </r>
  <r>
    <d v="2023-01-08T00:00:00"/>
    <x v="11"/>
    <s v="Coimbatore"/>
    <x v="5"/>
    <x v="5"/>
    <x v="0"/>
    <n v="30"/>
    <x v="5"/>
    <n v="56"/>
    <x v="30"/>
    <n v="69501600"/>
    <x v="1"/>
    <x v="2"/>
    <x v="0"/>
    <x v="0"/>
    <x v="0"/>
    <n v="1"/>
    <x v="0"/>
    <n v="1241100"/>
    <n v="6.95"/>
  </r>
  <r>
    <d v="2023-01-09T00:00:00"/>
    <x v="8"/>
    <s v="Durgapur"/>
    <x v="15"/>
    <x v="17"/>
    <x v="0"/>
    <n v="5"/>
    <x v="15"/>
    <n v="16"/>
    <x v="31"/>
    <n v="2932800"/>
    <x v="1"/>
    <x v="0"/>
    <x v="0"/>
    <x v="0"/>
    <x v="0"/>
    <n v="1"/>
    <x v="0"/>
    <n v="183300"/>
    <n v="0.28999999999999998"/>
  </r>
  <r>
    <d v="2023-01-10T00:00:00"/>
    <x v="1"/>
    <s v="Rohini"/>
    <x v="9"/>
    <x v="10"/>
    <x v="0"/>
    <n v="25"/>
    <x v="10"/>
    <n v="153"/>
    <x v="32"/>
    <n v="161552700"/>
    <x v="1"/>
    <x v="0"/>
    <x v="0"/>
    <x v="0"/>
    <x v="0"/>
    <n v="1"/>
    <x v="0"/>
    <n v="1055900"/>
    <n v="16.16"/>
  </r>
  <r>
    <d v="2023-01-10T00:00:00"/>
    <x v="3"/>
    <s v="Nashik"/>
    <x v="7"/>
    <x v="7"/>
    <x v="0"/>
    <n v="3"/>
    <x v="7"/>
    <n v="102"/>
    <x v="33"/>
    <n v="15963000"/>
    <x v="1"/>
    <x v="1"/>
    <x v="0"/>
    <x v="0"/>
    <x v="0"/>
    <n v="1"/>
    <x v="0"/>
    <n v="156500"/>
    <n v="1.6"/>
  </r>
  <r>
    <d v="2023-01-10T00:00:00"/>
    <x v="1"/>
    <s v="Saket"/>
    <x v="10"/>
    <x v="11"/>
    <x v="0"/>
    <n v="69"/>
    <x v="11"/>
    <n v="74"/>
    <x v="34"/>
    <n v="467073200"/>
    <x v="0"/>
    <x v="2"/>
    <x v="0"/>
    <x v="0"/>
    <x v="0"/>
    <n v="1"/>
    <x v="0"/>
    <n v="6311800"/>
    <n v="46.71"/>
  </r>
  <r>
    <d v="2023-01-11T00:00:00"/>
    <x v="13"/>
    <s v="Bhopal"/>
    <x v="0"/>
    <x v="0"/>
    <x v="0"/>
    <n v="82"/>
    <x v="0"/>
    <n v="62"/>
    <x v="35"/>
    <n v="393675200"/>
    <x v="1"/>
    <x v="0"/>
    <x v="0"/>
    <x v="0"/>
    <x v="0"/>
    <n v="1"/>
    <x v="0"/>
    <n v="6349600"/>
    <n v="39.369999999999997"/>
  </r>
  <r>
    <d v="2023-01-12T00:00:00"/>
    <x v="14"/>
    <s v="Jodhpur"/>
    <x v="7"/>
    <x v="7"/>
    <x v="0"/>
    <n v="3"/>
    <x v="7"/>
    <n v="130"/>
    <x v="36"/>
    <n v="23075000"/>
    <x v="1"/>
    <x v="2"/>
    <x v="0"/>
    <x v="0"/>
    <x v="0"/>
    <n v="1"/>
    <x v="0"/>
    <n v="177500"/>
    <n v="2.31"/>
  </r>
  <r>
    <d v="2023-01-12T00:00:00"/>
    <x v="5"/>
    <s v="Bengaluru"/>
    <x v="3"/>
    <x v="3"/>
    <x v="0"/>
    <n v="3"/>
    <x v="3"/>
    <n v="131"/>
    <x v="37"/>
    <n v="15615200"/>
    <x v="1"/>
    <x v="0"/>
    <x v="0"/>
    <x v="0"/>
    <x v="0"/>
    <n v="1"/>
    <x v="0"/>
    <n v="119200"/>
    <n v="1.56"/>
  </r>
  <r>
    <d v="2023-01-13T00:00:00"/>
    <x v="5"/>
    <s v="Bengaluru"/>
    <x v="0"/>
    <x v="0"/>
    <x v="0"/>
    <n v="82"/>
    <x v="0"/>
    <n v="37"/>
    <x v="38"/>
    <n v="226232800"/>
    <x v="1"/>
    <x v="0"/>
    <x v="0"/>
    <x v="0"/>
    <x v="0"/>
    <n v="1"/>
    <x v="0"/>
    <n v="6114400"/>
    <n v="22.62"/>
  </r>
  <r>
    <d v="2023-01-13T00:00:00"/>
    <x v="12"/>
    <s v="Panipat"/>
    <x v="5"/>
    <x v="5"/>
    <x v="0"/>
    <n v="30"/>
    <x v="5"/>
    <n v="23"/>
    <x v="39"/>
    <n v="31422600"/>
    <x v="1"/>
    <x v="0"/>
    <x v="0"/>
    <x v="0"/>
    <x v="0"/>
    <n v="1"/>
    <x v="0"/>
    <n v="1366200"/>
    <n v="3.14"/>
  </r>
  <r>
    <d v="2023-01-13T00:00:00"/>
    <x v="1"/>
    <s v="Rohini"/>
    <x v="12"/>
    <x v="18"/>
    <x v="0"/>
    <n v="60"/>
    <x v="16"/>
    <n v="38"/>
    <x v="40"/>
    <n v="116926000"/>
    <x v="1"/>
    <x v="2"/>
    <x v="0"/>
    <x v="0"/>
    <x v="0"/>
    <n v="1"/>
    <x v="0"/>
    <n v="3077000"/>
    <n v="11.69"/>
  </r>
  <r>
    <d v="2023-01-13T00:00:00"/>
    <x v="14"/>
    <s v="Jodhpur"/>
    <x v="15"/>
    <x v="17"/>
    <x v="0"/>
    <n v="5"/>
    <x v="15"/>
    <n v="109"/>
    <x v="41"/>
    <n v="16262800"/>
    <x v="1"/>
    <x v="0"/>
    <x v="0"/>
    <x v="0"/>
    <x v="0"/>
    <n v="1"/>
    <x v="0"/>
    <n v="149200"/>
    <n v="1.63"/>
  </r>
  <r>
    <d v="2023-01-15T00:00:00"/>
    <x v="0"/>
    <s v="Hyderabad"/>
    <x v="6"/>
    <x v="13"/>
    <x v="0"/>
    <n v="48"/>
    <x v="12"/>
    <n v="107"/>
    <x v="42"/>
    <n v="242611800"/>
    <x v="1"/>
    <x v="1"/>
    <x v="0"/>
    <x v="0"/>
    <x v="0"/>
    <n v="1"/>
    <x v="0"/>
    <n v="2267400"/>
    <n v="24.26"/>
  </r>
  <r>
    <d v="2023-01-15T00:00:00"/>
    <x v="11"/>
    <s v="Salem"/>
    <x v="7"/>
    <x v="7"/>
    <x v="0"/>
    <n v="3"/>
    <x v="7"/>
    <n v="27"/>
    <x v="43"/>
    <n v="4120200"/>
    <x v="0"/>
    <x v="1"/>
    <x v="0"/>
    <x v="0"/>
    <x v="0"/>
    <n v="1"/>
    <x v="0"/>
    <n v="152600"/>
    <n v="0.41"/>
  </r>
  <r>
    <d v="2023-01-16T00:00:00"/>
    <x v="3"/>
    <s v="Nagpur"/>
    <x v="14"/>
    <x v="16"/>
    <x v="0"/>
    <n v="3"/>
    <x v="15"/>
    <n v="155"/>
    <x v="44"/>
    <n v="27466000"/>
    <x v="0"/>
    <x v="2"/>
    <x v="0"/>
    <x v="0"/>
    <x v="0"/>
    <n v="1"/>
    <x v="0"/>
    <n v="177200"/>
    <n v="2.75"/>
  </r>
  <r>
    <d v="2023-01-16T00:00:00"/>
    <x v="12"/>
    <s v="Hisar"/>
    <x v="13"/>
    <x v="19"/>
    <x v="0"/>
    <n v="24"/>
    <x v="17"/>
    <n v="108"/>
    <x v="45"/>
    <n v="174042000"/>
    <x v="2"/>
    <x v="1"/>
    <x v="0"/>
    <x v="0"/>
    <x v="0"/>
    <n v="1"/>
    <x v="0"/>
    <n v="1611500"/>
    <n v="17.399999999999999"/>
  </r>
  <r>
    <d v="2023-01-16T00:00:00"/>
    <x v="7"/>
    <s v="Visakhapatnam"/>
    <x v="14"/>
    <x v="16"/>
    <x v="0"/>
    <n v="3"/>
    <x v="15"/>
    <n v="57"/>
    <x v="46"/>
    <n v="9102900"/>
    <x v="0"/>
    <x v="2"/>
    <x v="0"/>
    <x v="0"/>
    <x v="0"/>
    <n v="1"/>
    <x v="0"/>
    <n v="159700"/>
    <n v="0.91"/>
  </r>
  <r>
    <d v="2023-01-17T00:00:00"/>
    <x v="3"/>
    <s v="Nagpur"/>
    <x v="9"/>
    <x v="9"/>
    <x v="0"/>
    <n v="50"/>
    <x v="9"/>
    <n v="28"/>
    <x v="47"/>
    <n v="71419600"/>
    <x v="0"/>
    <x v="3"/>
    <x v="0"/>
    <x v="0"/>
    <x v="0"/>
    <n v="1"/>
    <x v="0"/>
    <n v="2550700"/>
    <n v="7.14"/>
  </r>
  <r>
    <d v="2023-01-17T00:00:00"/>
    <x v="2"/>
    <s v="Kanpur"/>
    <x v="12"/>
    <x v="18"/>
    <x v="2"/>
    <n v="60"/>
    <x v="16"/>
    <n v="18"/>
    <x v="48"/>
    <n v="58253400"/>
    <x v="1"/>
    <x v="0"/>
    <x v="0"/>
    <x v="0"/>
    <x v="0"/>
    <n v="1"/>
    <x v="0"/>
    <n v="3236300"/>
    <n v="5.83"/>
  </r>
  <r>
    <d v="2023-01-17T00:00:00"/>
    <x v="4"/>
    <s v="Ludhiana"/>
    <x v="8"/>
    <x v="8"/>
    <x v="0"/>
    <n v="66"/>
    <x v="8"/>
    <n v="64"/>
    <x v="49"/>
    <n v="354124800"/>
    <x v="2"/>
    <x v="2"/>
    <x v="0"/>
    <x v="0"/>
    <x v="0"/>
    <n v="1"/>
    <x v="0"/>
    <n v="5533200"/>
    <n v="35.409999999999997"/>
  </r>
  <r>
    <d v="2023-01-17T00:00:00"/>
    <x v="5"/>
    <s v="Mysuru"/>
    <x v="6"/>
    <x v="6"/>
    <x v="0"/>
    <n v="72"/>
    <x v="6"/>
    <n v="73"/>
    <x v="50"/>
    <n v="328229900"/>
    <x v="1"/>
    <x v="0"/>
    <x v="0"/>
    <x v="0"/>
    <x v="0"/>
    <n v="1"/>
    <x v="0"/>
    <n v="4496300"/>
    <n v="32.82"/>
  </r>
  <r>
    <d v="2023-01-18T00:00:00"/>
    <x v="1"/>
    <s v="Dwarka"/>
    <x v="7"/>
    <x v="7"/>
    <x v="0"/>
    <n v="3"/>
    <x v="7"/>
    <n v="48"/>
    <x v="51"/>
    <n v="8908800"/>
    <x v="1"/>
    <x v="0"/>
    <x v="0"/>
    <x v="0"/>
    <x v="0"/>
    <n v="1"/>
    <x v="0"/>
    <n v="185600"/>
    <n v="0.89"/>
  </r>
  <r>
    <d v="2023-01-18T00:00:00"/>
    <x v="1"/>
    <s v="Dwarka"/>
    <x v="8"/>
    <x v="20"/>
    <x v="1"/>
    <n v="84"/>
    <x v="18"/>
    <n v="64"/>
    <x v="52"/>
    <n v="488467200"/>
    <x v="0"/>
    <x v="1"/>
    <x v="0"/>
    <x v="0"/>
    <x v="0"/>
    <n v="1"/>
    <x v="0"/>
    <n v="7632300"/>
    <n v="48.85"/>
  </r>
  <r>
    <d v="2023-01-18T00:00:00"/>
    <x v="13"/>
    <s v="Gwalior"/>
    <x v="5"/>
    <x v="5"/>
    <x v="1"/>
    <n v="30"/>
    <x v="5"/>
    <n v="27"/>
    <x v="53"/>
    <n v="33142500"/>
    <x v="1"/>
    <x v="1"/>
    <x v="0"/>
    <x v="0"/>
    <x v="0"/>
    <n v="1"/>
    <x v="0"/>
    <n v="1227500"/>
    <n v="3.31"/>
  </r>
  <r>
    <d v="2023-01-18T00:00:00"/>
    <x v="13"/>
    <s v="Indore"/>
    <x v="6"/>
    <x v="6"/>
    <x v="0"/>
    <n v="72"/>
    <x v="6"/>
    <n v="22"/>
    <x v="54"/>
    <n v="114008400"/>
    <x v="1"/>
    <x v="2"/>
    <x v="0"/>
    <x v="0"/>
    <x v="0"/>
    <n v="1"/>
    <x v="0"/>
    <n v="5182200"/>
    <n v="11.4"/>
  </r>
  <r>
    <d v="2023-01-18T00:00:00"/>
    <x v="2"/>
    <s v="Noida"/>
    <x v="14"/>
    <x v="16"/>
    <x v="0"/>
    <n v="3"/>
    <x v="15"/>
    <n v="126"/>
    <x v="55"/>
    <n v="20248200"/>
    <x v="1"/>
    <x v="0"/>
    <x v="0"/>
    <x v="0"/>
    <x v="0"/>
    <n v="1"/>
    <x v="0"/>
    <n v="160700"/>
    <n v="2.02"/>
  </r>
  <r>
    <d v="2023-01-19T00:00:00"/>
    <x v="6"/>
    <s v="Surat"/>
    <x v="1"/>
    <x v="1"/>
    <x v="0"/>
    <n v="4"/>
    <x v="1"/>
    <n v="29"/>
    <x v="56"/>
    <n v="3932400"/>
    <x v="1"/>
    <x v="1"/>
    <x v="0"/>
    <x v="0"/>
    <x v="0"/>
    <n v="1"/>
    <x v="0"/>
    <n v="135600"/>
    <n v="0.39"/>
  </r>
  <r>
    <d v="2023-01-19T00:00:00"/>
    <x v="10"/>
    <s v="Thiruvananthapuram"/>
    <x v="2"/>
    <x v="2"/>
    <x v="0"/>
    <n v="66"/>
    <x v="2"/>
    <n v="69"/>
    <x v="57"/>
    <n v="589542900"/>
    <x v="0"/>
    <x v="0"/>
    <x v="0"/>
    <x v="0"/>
    <x v="0"/>
    <n v="1"/>
    <x v="0"/>
    <n v="8544100"/>
    <n v="58.95"/>
  </r>
  <r>
    <d v="2023-01-20T00:00:00"/>
    <x v="12"/>
    <s v="Faridabad"/>
    <x v="12"/>
    <x v="14"/>
    <x v="0"/>
    <n v="82"/>
    <x v="13"/>
    <n v="39"/>
    <x v="58"/>
    <n v="220576200"/>
    <x v="1"/>
    <x v="2"/>
    <x v="0"/>
    <x v="0"/>
    <x v="0"/>
    <n v="1"/>
    <x v="0"/>
    <n v="5655800"/>
    <n v="22.06"/>
  </r>
  <r>
    <d v="2023-01-20T00:00:00"/>
    <x v="6"/>
    <s v="Surat"/>
    <x v="9"/>
    <x v="10"/>
    <x v="0"/>
    <n v="25"/>
    <x v="10"/>
    <n v="10"/>
    <x v="59"/>
    <n v="11520000"/>
    <x v="1"/>
    <x v="2"/>
    <x v="0"/>
    <x v="0"/>
    <x v="0"/>
    <n v="1"/>
    <x v="0"/>
    <n v="1152000"/>
    <n v="1.1499999999999999"/>
  </r>
  <r>
    <d v="2023-01-21T00:00:00"/>
    <x v="7"/>
    <s v="Vijayawada"/>
    <x v="10"/>
    <x v="11"/>
    <x v="0"/>
    <n v="69"/>
    <x v="11"/>
    <n v="9"/>
    <x v="60"/>
    <n v="43359300"/>
    <x v="1"/>
    <x v="0"/>
    <x v="0"/>
    <x v="0"/>
    <x v="0"/>
    <n v="1"/>
    <x v="0"/>
    <n v="4817700"/>
    <n v="4.34"/>
  </r>
  <r>
    <d v="2023-01-21T00:00:00"/>
    <x v="6"/>
    <s v="Rajkot"/>
    <x v="9"/>
    <x v="10"/>
    <x v="0"/>
    <n v="25"/>
    <x v="10"/>
    <n v="23"/>
    <x v="61"/>
    <n v="29502100"/>
    <x v="0"/>
    <x v="0"/>
    <x v="0"/>
    <x v="0"/>
    <x v="0"/>
    <n v="1"/>
    <x v="0"/>
    <n v="1282700"/>
    <n v="2.95"/>
  </r>
  <r>
    <d v="2023-01-21T00:00:00"/>
    <x v="3"/>
    <s v="Nagpur"/>
    <x v="4"/>
    <x v="4"/>
    <x v="0"/>
    <n v="77"/>
    <x v="4"/>
    <n v="51"/>
    <x v="62"/>
    <n v="228622800"/>
    <x v="1"/>
    <x v="1"/>
    <x v="0"/>
    <x v="0"/>
    <x v="0"/>
    <n v="1"/>
    <x v="0"/>
    <n v="4482800"/>
    <n v="22.86"/>
  </r>
  <r>
    <d v="2023-01-21T00:00:00"/>
    <x v="6"/>
    <s v="Surat"/>
    <x v="0"/>
    <x v="0"/>
    <x v="2"/>
    <n v="82"/>
    <x v="0"/>
    <n v="41"/>
    <x v="63"/>
    <n v="305987100"/>
    <x v="0"/>
    <x v="2"/>
    <x v="0"/>
    <x v="0"/>
    <x v="0"/>
    <n v="1"/>
    <x v="0"/>
    <n v="7463100"/>
    <n v="30.6"/>
  </r>
  <r>
    <d v="2023-01-21T00:00:00"/>
    <x v="14"/>
    <s v="Kota"/>
    <x v="11"/>
    <x v="12"/>
    <x v="0"/>
    <n v="40"/>
    <x v="12"/>
    <n v="92"/>
    <x v="64"/>
    <n v="226430400"/>
    <x v="1"/>
    <x v="0"/>
    <x v="0"/>
    <x v="0"/>
    <x v="0"/>
    <n v="1"/>
    <x v="0"/>
    <n v="2461200"/>
    <n v="22.64"/>
  </r>
  <r>
    <d v="2023-01-22T00:00:00"/>
    <x v="8"/>
    <s v="Kolkata"/>
    <x v="3"/>
    <x v="3"/>
    <x v="0"/>
    <n v="3"/>
    <x v="3"/>
    <n v="95"/>
    <x v="65"/>
    <n v="12787000"/>
    <x v="0"/>
    <x v="3"/>
    <x v="0"/>
    <x v="0"/>
    <x v="0"/>
    <n v="1"/>
    <x v="0"/>
    <n v="134600"/>
    <n v="1.28"/>
  </r>
  <r>
    <d v="2023-01-23T00:00:00"/>
    <x v="6"/>
    <s v="Rajkot"/>
    <x v="10"/>
    <x v="11"/>
    <x v="1"/>
    <n v="69"/>
    <x v="11"/>
    <n v="73"/>
    <x v="66"/>
    <n v="378651000"/>
    <x v="1"/>
    <x v="2"/>
    <x v="0"/>
    <x v="0"/>
    <x v="0"/>
    <n v="1"/>
    <x v="0"/>
    <n v="5187000"/>
    <n v="37.869999999999997"/>
  </r>
  <r>
    <d v="2023-01-23T00:00:00"/>
    <x v="10"/>
    <s v="Thiruvananthapuram"/>
    <x v="1"/>
    <x v="21"/>
    <x v="0"/>
    <n v="3"/>
    <x v="19"/>
    <n v="63"/>
    <x v="67"/>
    <n v="7742700"/>
    <x v="1"/>
    <x v="2"/>
    <x v="0"/>
    <x v="0"/>
    <x v="0"/>
    <n v="1"/>
    <x v="0"/>
    <n v="122900"/>
    <n v="0.77"/>
  </r>
  <r>
    <d v="2023-01-23T00:00:00"/>
    <x v="6"/>
    <s v="Ahmedabad"/>
    <x v="14"/>
    <x v="16"/>
    <x v="0"/>
    <n v="3"/>
    <x v="15"/>
    <n v="112"/>
    <x v="68"/>
    <n v="17561600"/>
    <x v="1"/>
    <x v="2"/>
    <x v="0"/>
    <x v="0"/>
    <x v="0"/>
    <n v="1"/>
    <x v="0"/>
    <n v="156800"/>
    <n v="1.76"/>
  </r>
  <r>
    <d v="2023-01-24T00:00:00"/>
    <x v="0"/>
    <s v="Nizamabad"/>
    <x v="7"/>
    <x v="7"/>
    <x v="0"/>
    <n v="3"/>
    <x v="7"/>
    <n v="165"/>
    <x v="69"/>
    <n v="29848500"/>
    <x v="1"/>
    <x v="2"/>
    <x v="0"/>
    <x v="0"/>
    <x v="0"/>
    <n v="1"/>
    <x v="0"/>
    <n v="180900"/>
    <n v="2.98"/>
  </r>
  <r>
    <d v="2023-01-24T00:00:00"/>
    <x v="6"/>
    <s v="Vadodara"/>
    <x v="14"/>
    <x v="16"/>
    <x v="0"/>
    <n v="3"/>
    <x v="15"/>
    <n v="19"/>
    <x v="70"/>
    <n v="3011500"/>
    <x v="1"/>
    <x v="2"/>
    <x v="0"/>
    <x v="0"/>
    <x v="0"/>
    <n v="1"/>
    <x v="0"/>
    <n v="158500"/>
    <n v="0.3"/>
  </r>
  <r>
    <d v="2023-01-24T00:00:00"/>
    <x v="11"/>
    <s v="Chennai"/>
    <x v="14"/>
    <x v="16"/>
    <x v="0"/>
    <n v="3"/>
    <x v="15"/>
    <n v="170"/>
    <x v="71"/>
    <n v="27506000"/>
    <x v="1"/>
    <x v="0"/>
    <x v="0"/>
    <x v="0"/>
    <x v="0"/>
    <n v="1"/>
    <x v="0"/>
    <n v="161800"/>
    <n v="2.75"/>
  </r>
  <r>
    <d v="2023-01-25T00:00:00"/>
    <x v="0"/>
    <s v="Hyderabad"/>
    <x v="12"/>
    <x v="14"/>
    <x v="0"/>
    <n v="82"/>
    <x v="13"/>
    <n v="59"/>
    <x v="72"/>
    <n v="267582700"/>
    <x v="1"/>
    <x v="2"/>
    <x v="0"/>
    <x v="0"/>
    <x v="0"/>
    <n v="1"/>
    <x v="0"/>
    <n v="4535300"/>
    <n v="26.76"/>
  </r>
  <r>
    <d v="2023-01-25T00:00:00"/>
    <x v="6"/>
    <s v="Ahmedabad"/>
    <x v="12"/>
    <x v="18"/>
    <x v="0"/>
    <n v="60"/>
    <x v="16"/>
    <n v="16"/>
    <x v="73"/>
    <n v="48758400"/>
    <x v="1"/>
    <x v="0"/>
    <x v="0"/>
    <x v="0"/>
    <x v="0"/>
    <n v="1"/>
    <x v="0"/>
    <n v="3047400"/>
    <n v="4.88"/>
  </r>
  <r>
    <d v="2023-01-25T00:00:00"/>
    <x v="6"/>
    <s v="Rajkot"/>
    <x v="2"/>
    <x v="2"/>
    <x v="1"/>
    <n v="66"/>
    <x v="2"/>
    <n v="62"/>
    <x v="74"/>
    <n v="441446200"/>
    <x v="1"/>
    <x v="2"/>
    <x v="0"/>
    <x v="0"/>
    <x v="0"/>
    <n v="1"/>
    <x v="0"/>
    <n v="7120100"/>
    <n v="44.14"/>
  </r>
  <r>
    <d v="2023-01-26T00:00:00"/>
    <x v="2"/>
    <s v="Noida"/>
    <x v="15"/>
    <x v="17"/>
    <x v="0"/>
    <n v="5"/>
    <x v="15"/>
    <n v="48"/>
    <x v="75"/>
    <n v="7377600"/>
    <x v="1"/>
    <x v="2"/>
    <x v="0"/>
    <x v="0"/>
    <x v="0"/>
    <n v="1"/>
    <x v="0"/>
    <n v="153700"/>
    <n v="0.74"/>
  </r>
  <r>
    <d v="2023-01-27T00:00:00"/>
    <x v="9"/>
    <s v="Gaya"/>
    <x v="0"/>
    <x v="0"/>
    <x v="0"/>
    <n v="82"/>
    <x v="0"/>
    <n v="58"/>
    <x v="76"/>
    <n v="439715400"/>
    <x v="1"/>
    <x v="1"/>
    <x v="0"/>
    <x v="0"/>
    <x v="0"/>
    <n v="1"/>
    <x v="0"/>
    <n v="7581300"/>
    <n v="43.97"/>
  </r>
  <r>
    <d v="2023-01-28T00:00:00"/>
    <x v="6"/>
    <s v="Vadodara"/>
    <x v="11"/>
    <x v="12"/>
    <x v="1"/>
    <n v="40"/>
    <x v="12"/>
    <n v="26"/>
    <x v="77"/>
    <n v="54449200"/>
    <x v="0"/>
    <x v="0"/>
    <x v="0"/>
    <x v="0"/>
    <x v="0"/>
    <n v="1"/>
    <x v="0"/>
    <n v="2094200"/>
    <n v="5.44"/>
  </r>
  <r>
    <d v="2023-01-28T00:00:00"/>
    <x v="6"/>
    <s v="Vadodara"/>
    <x v="5"/>
    <x v="5"/>
    <x v="0"/>
    <n v="30"/>
    <x v="5"/>
    <n v="65"/>
    <x v="78"/>
    <n v="89596000"/>
    <x v="1"/>
    <x v="1"/>
    <x v="0"/>
    <x v="0"/>
    <x v="0"/>
    <n v="1"/>
    <x v="0"/>
    <n v="1378400"/>
    <n v="8.9600000000000009"/>
  </r>
  <r>
    <d v="2023-01-28T00:00:00"/>
    <x v="12"/>
    <s v="Gurugram"/>
    <x v="5"/>
    <x v="5"/>
    <x v="0"/>
    <n v="30"/>
    <x v="5"/>
    <n v="14"/>
    <x v="79"/>
    <n v="20682200"/>
    <x v="1"/>
    <x v="2"/>
    <x v="0"/>
    <x v="0"/>
    <x v="0"/>
    <n v="1"/>
    <x v="0"/>
    <n v="1477300"/>
    <n v="2.0699999999999998"/>
  </r>
  <r>
    <d v="2023-01-29T00:00:00"/>
    <x v="12"/>
    <s v="Gurugram"/>
    <x v="8"/>
    <x v="20"/>
    <x v="1"/>
    <n v="84"/>
    <x v="18"/>
    <n v="7"/>
    <x v="80"/>
    <n v="48426000"/>
    <x v="1"/>
    <x v="0"/>
    <x v="0"/>
    <x v="0"/>
    <x v="0"/>
    <n v="1"/>
    <x v="0"/>
    <n v="6918000"/>
    <n v="4.84"/>
  </r>
  <r>
    <d v="2023-01-29T00:00:00"/>
    <x v="14"/>
    <s v="Jodhpur"/>
    <x v="1"/>
    <x v="21"/>
    <x v="0"/>
    <n v="3"/>
    <x v="19"/>
    <n v="16"/>
    <x v="81"/>
    <n v="1644800"/>
    <x v="1"/>
    <x v="2"/>
    <x v="0"/>
    <x v="0"/>
    <x v="0"/>
    <n v="1"/>
    <x v="0"/>
    <n v="102800"/>
    <n v="0.16"/>
  </r>
  <r>
    <d v="2023-01-29T00:00:00"/>
    <x v="8"/>
    <s v="Siliguri"/>
    <x v="0"/>
    <x v="0"/>
    <x v="1"/>
    <n v="82"/>
    <x v="0"/>
    <n v="39"/>
    <x v="82"/>
    <n v="278939700"/>
    <x v="2"/>
    <x v="0"/>
    <x v="0"/>
    <x v="0"/>
    <x v="0"/>
    <n v="1"/>
    <x v="0"/>
    <n v="7152300"/>
    <n v="27.89"/>
  </r>
  <r>
    <d v="2023-01-30T00:00:00"/>
    <x v="5"/>
    <s v="Mangaluru"/>
    <x v="8"/>
    <x v="8"/>
    <x v="0"/>
    <n v="66"/>
    <x v="8"/>
    <n v="75"/>
    <x v="83"/>
    <n v="441982500"/>
    <x v="2"/>
    <x v="1"/>
    <x v="0"/>
    <x v="0"/>
    <x v="0"/>
    <n v="1"/>
    <x v="0"/>
    <n v="5893100"/>
    <n v="44.2"/>
  </r>
  <r>
    <d v="2023-01-30T00:00:00"/>
    <x v="6"/>
    <s v="Vadodara"/>
    <x v="9"/>
    <x v="10"/>
    <x v="0"/>
    <n v="25"/>
    <x v="10"/>
    <n v="165"/>
    <x v="84"/>
    <n v="205705500"/>
    <x v="1"/>
    <x v="2"/>
    <x v="0"/>
    <x v="0"/>
    <x v="0"/>
    <n v="1"/>
    <x v="0"/>
    <n v="1246700"/>
    <n v="20.57"/>
  </r>
  <r>
    <d v="2023-01-31T00:00:00"/>
    <x v="14"/>
    <s v="Kota"/>
    <x v="5"/>
    <x v="5"/>
    <x v="0"/>
    <n v="30"/>
    <x v="5"/>
    <n v="77"/>
    <x v="85"/>
    <n v="108177300"/>
    <x v="1"/>
    <x v="0"/>
    <x v="0"/>
    <x v="0"/>
    <x v="0"/>
    <n v="1"/>
    <x v="0"/>
    <n v="1404900"/>
    <n v="10.82"/>
  </r>
  <r>
    <d v="2023-01-31T00:00:00"/>
    <x v="10"/>
    <s v="Thiruvananthapuram"/>
    <x v="14"/>
    <x v="16"/>
    <x v="0"/>
    <n v="3"/>
    <x v="15"/>
    <n v="29"/>
    <x v="86"/>
    <n v="4582000"/>
    <x v="1"/>
    <x v="0"/>
    <x v="0"/>
    <x v="0"/>
    <x v="0"/>
    <n v="1"/>
    <x v="0"/>
    <n v="158000"/>
    <n v="0.46"/>
  </r>
  <r>
    <d v="2023-01-31T00:00:00"/>
    <x v="1"/>
    <s v="Saket"/>
    <x v="1"/>
    <x v="21"/>
    <x v="0"/>
    <n v="3"/>
    <x v="19"/>
    <n v="53"/>
    <x v="87"/>
    <n v="6540200"/>
    <x v="0"/>
    <x v="3"/>
    <x v="0"/>
    <x v="0"/>
    <x v="0"/>
    <n v="1"/>
    <x v="0"/>
    <n v="123400"/>
    <n v="0.65"/>
  </r>
  <r>
    <d v="2023-02-01T00:00:00"/>
    <x v="6"/>
    <s v="Vadodara"/>
    <x v="13"/>
    <x v="15"/>
    <x v="2"/>
    <n v="40"/>
    <x v="14"/>
    <n v="153"/>
    <x v="88"/>
    <n v="352236600"/>
    <x v="1"/>
    <x v="0"/>
    <x v="0"/>
    <x v="0"/>
    <x v="1"/>
    <n v="2"/>
    <x v="1"/>
    <n v="2302200"/>
    <n v="35.22"/>
  </r>
  <r>
    <d v="2023-02-02T00:00:00"/>
    <x v="5"/>
    <s v="Bengaluru"/>
    <x v="0"/>
    <x v="0"/>
    <x v="0"/>
    <n v="82"/>
    <x v="0"/>
    <n v="6"/>
    <x v="89"/>
    <n v="41709000"/>
    <x v="1"/>
    <x v="1"/>
    <x v="0"/>
    <x v="0"/>
    <x v="1"/>
    <n v="2"/>
    <x v="1"/>
    <n v="6951500"/>
    <n v="4.17"/>
  </r>
  <r>
    <d v="2023-02-02T00:00:00"/>
    <x v="14"/>
    <s v="Udaipur"/>
    <x v="8"/>
    <x v="20"/>
    <x v="0"/>
    <n v="84"/>
    <x v="18"/>
    <n v="14"/>
    <x v="90"/>
    <n v="113171800"/>
    <x v="1"/>
    <x v="0"/>
    <x v="0"/>
    <x v="0"/>
    <x v="1"/>
    <n v="2"/>
    <x v="1"/>
    <n v="8083700"/>
    <n v="11.32"/>
  </r>
  <r>
    <d v="2023-02-02T00:00:00"/>
    <x v="5"/>
    <s v="Mangaluru"/>
    <x v="1"/>
    <x v="21"/>
    <x v="0"/>
    <n v="3"/>
    <x v="19"/>
    <n v="80"/>
    <x v="91"/>
    <n v="7624000"/>
    <x v="1"/>
    <x v="0"/>
    <x v="0"/>
    <x v="0"/>
    <x v="1"/>
    <n v="2"/>
    <x v="1"/>
    <n v="95300"/>
    <n v="0.76"/>
  </r>
  <r>
    <d v="2023-02-03T00:00:00"/>
    <x v="2"/>
    <s v="Lucknow"/>
    <x v="14"/>
    <x v="16"/>
    <x v="0"/>
    <n v="3"/>
    <x v="15"/>
    <n v="68"/>
    <x v="92"/>
    <n v="11145200"/>
    <x v="2"/>
    <x v="0"/>
    <x v="0"/>
    <x v="0"/>
    <x v="1"/>
    <n v="2"/>
    <x v="1"/>
    <n v="163900"/>
    <n v="1.1100000000000001"/>
  </r>
  <r>
    <d v="2023-02-04T00:00:00"/>
    <x v="13"/>
    <s v="Indore"/>
    <x v="6"/>
    <x v="6"/>
    <x v="0"/>
    <n v="72"/>
    <x v="6"/>
    <n v="122"/>
    <x v="93"/>
    <n v="673769400"/>
    <x v="1"/>
    <x v="2"/>
    <x v="0"/>
    <x v="0"/>
    <x v="1"/>
    <n v="2"/>
    <x v="1"/>
    <n v="5522700"/>
    <n v="67.38"/>
  </r>
  <r>
    <d v="2023-02-05T00:00:00"/>
    <x v="5"/>
    <s v="Mysuru"/>
    <x v="4"/>
    <x v="4"/>
    <x v="0"/>
    <n v="77"/>
    <x v="4"/>
    <n v="66"/>
    <x v="94"/>
    <n v="378655200"/>
    <x v="1"/>
    <x v="3"/>
    <x v="0"/>
    <x v="0"/>
    <x v="1"/>
    <n v="2"/>
    <x v="1"/>
    <n v="5737200"/>
    <n v="37.869999999999997"/>
  </r>
  <r>
    <d v="2023-02-06T00:00:00"/>
    <x v="14"/>
    <s v="Jaipur"/>
    <x v="15"/>
    <x v="17"/>
    <x v="0"/>
    <n v="5"/>
    <x v="15"/>
    <n v="81"/>
    <x v="95"/>
    <n v="13178700"/>
    <x v="1"/>
    <x v="2"/>
    <x v="0"/>
    <x v="0"/>
    <x v="1"/>
    <n v="2"/>
    <x v="1"/>
    <n v="162700"/>
    <n v="1.32"/>
  </r>
  <r>
    <d v="2023-02-06T00:00:00"/>
    <x v="11"/>
    <s v="Chennai"/>
    <x v="3"/>
    <x v="3"/>
    <x v="0"/>
    <n v="3"/>
    <x v="3"/>
    <n v="18"/>
    <x v="96"/>
    <n v="1821600"/>
    <x v="0"/>
    <x v="0"/>
    <x v="0"/>
    <x v="0"/>
    <x v="1"/>
    <n v="2"/>
    <x v="1"/>
    <n v="101200"/>
    <n v="0.18"/>
  </r>
  <r>
    <d v="2023-02-06T00:00:00"/>
    <x v="8"/>
    <s v="Durgapur"/>
    <x v="15"/>
    <x v="17"/>
    <x v="0"/>
    <n v="5"/>
    <x v="15"/>
    <n v="134"/>
    <x v="97"/>
    <n v="24321000"/>
    <x v="1"/>
    <x v="0"/>
    <x v="0"/>
    <x v="0"/>
    <x v="1"/>
    <n v="2"/>
    <x v="1"/>
    <n v="181500"/>
    <n v="2.4300000000000002"/>
  </r>
  <r>
    <d v="2023-02-06T00:00:00"/>
    <x v="6"/>
    <s v="Rajkot"/>
    <x v="12"/>
    <x v="18"/>
    <x v="2"/>
    <n v="60"/>
    <x v="16"/>
    <n v="39"/>
    <x v="98"/>
    <n v="141772800"/>
    <x v="1"/>
    <x v="1"/>
    <x v="0"/>
    <x v="0"/>
    <x v="1"/>
    <n v="2"/>
    <x v="1"/>
    <n v="3635200"/>
    <n v="14.18"/>
  </r>
  <r>
    <d v="2023-02-06T00:00:00"/>
    <x v="10"/>
    <s v="Kozhikode"/>
    <x v="7"/>
    <x v="7"/>
    <x v="0"/>
    <n v="3"/>
    <x v="7"/>
    <n v="71"/>
    <x v="99"/>
    <n v="12126800"/>
    <x v="1"/>
    <x v="2"/>
    <x v="0"/>
    <x v="0"/>
    <x v="1"/>
    <n v="2"/>
    <x v="1"/>
    <n v="170800"/>
    <n v="1.21"/>
  </r>
  <r>
    <d v="2023-02-07T00:00:00"/>
    <x v="12"/>
    <s v="Gurugram"/>
    <x v="10"/>
    <x v="11"/>
    <x v="1"/>
    <n v="69"/>
    <x v="11"/>
    <n v="34"/>
    <x v="100"/>
    <n v="193997200"/>
    <x v="1"/>
    <x v="0"/>
    <x v="0"/>
    <x v="0"/>
    <x v="1"/>
    <n v="2"/>
    <x v="1"/>
    <n v="5705800"/>
    <n v="19.399999999999999"/>
  </r>
  <r>
    <d v="2023-02-07T00:00:00"/>
    <x v="6"/>
    <s v="Ahmedabad"/>
    <x v="0"/>
    <x v="0"/>
    <x v="0"/>
    <n v="82"/>
    <x v="0"/>
    <n v="28"/>
    <x v="101"/>
    <n v="176618400"/>
    <x v="1"/>
    <x v="2"/>
    <x v="0"/>
    <x v="0"/>
    <x v="1"/>
    <n v="2"/>
    <x v="1"/>
    <n v="6307800"/>
    <n v="17.66"/>
  </r>
  <r>
    <d v="2023-02-07T00:00:00"/>
    <x v="2"/>
    <s v="Kanpur"/>
    <x v="14"/>
    <x v="16"/>
    <x v="0"/>
    <n v="3"/>
    <x v="15"/>
    <n v="123"/>
    <x v="102"/>
    <n v="21143700"/>
    <x v="1"/>
    <x v="0"/>
    <x v="0"/>
    <x v="0"/>
    <x v="1"/>
    <n v="2"/>
    <x v="1"/>
    <n v="171900"/>
    <n v="2.11"/>
  </r>
  <r>
    <d v="2023-02-07T00:00:00"/>
    <x v="5"/>
    <s v="Bengaluru"/>
    <x v="12"/>
    <x v="14"/>
    <x v="1"/>
    <n v="82"/>
    <x v="13"/>
    <n v="72"/>
    <x v="103"/>
    <n v="384696000"/>
    <x v="2"/>
    <x v="0"/>
    <x v="0"/>
    <x v="0"/>
    <x v="1"/>
    <n v="2"/>
    <x v="1"/>
    <n v="5343000"/>
    <n v="38.47"/>
  </r>
  <r>
    <d v="2023-02-07T00:00:00"/>
    <x v="2"/>
    <s v="Noida"/>
    <x v="7"/>
    <x v="7"/>
    <x v="0"/>
    <n v="3"/>
    <x v="7"/>
    <n v="54"/>
    <x v="104"/>
    <n v="7657200"/>
    <x v="1"/>
    <x v="1"/>
    <x v="0"/>
    <x v="0"/>
    <x v="1"/>
    <n v="2"/>
    <x v="1"/>
    <n v="141800"/>
    <n v="0.77"/>
  </r>
  <r>
    <d v="2023-02-08T00:00:00"/>
    <x v="1"/>
    <s v="New Delhi"/>
    <x v="15"/>
    <x v="17"/>
    <x v="0"/>
    <n v="5"/>
    <x v="15"/>
    <n v="36"/>
    <x v="105"/>
    <n v="5914800"/>
    <x v="0"/>
    <x v="0"/>
    <x v="0"/>
    <x v="0"/>
    <x v="1"/>
    <n v="2"/>
    <x v="1"/>
    <n v="164300"/>
    <n v="0.59"/>
  </r>
  <r>
    <d v="2023-02-08T00:00:00"/>
    <x v="10"/>
    <s v="Thiruvananthapuram"/>
    <x v="14"/>
    <x v="16"/>
    <x v="0"/>
    <n v="3"/>
    <x v="15"/>
    <n v="169"/>
    <x v="106"/>
    <n v="22172800"/>
    <x v="0"/>
    <x v="3"/>
    <x v="0"/>
    <x v="0"/>
    <x v="1"/>
    <n v="2"/>
    <x v="1"/>
    <n v="131200"/>
    <n v="2.2200000000000002"/>
  </r>
  <r>
    <d v="2023-02-09T00:00:00"/>
    <x v="8"/>
    <s v="Asansol"/>
    <x v="10"/>
    <x v="11"/>
    <x v="2"/>
    <n v="69"/>
    <x v="11"/>
    <n v="60"/>
    <x v="107"/>
    <n v="295038000"/>
    <x v="1"/>
    <x v="0"/>
    <x v="0"/>
    <x v="0"/>
    <x v="1"/>
    <n v="2"/>
    <x v="1"/>
    <n v="4917300"/>
    <n v="29.5"/>
  </r>
  <r>
    <d v="2023-02-09T00:00:00"/>
    <x v="3"/>
    <s v="Nagpur"/>
    <x v="13"/>
    <x v="19"/>
    <x v="0"/>
    <n v="24"/>
    <x v="17"/>
    <n v="135"/>
    <x v="108"/>
    <n v="199381500"/>
    <x v="1"/>
    <x v="0"/>
    <x v="0"/>
    <x v="0"/>
    <x v="1"/>
    <n v="2"/>
    <x v="1"/>
    <n v="1476900"/>
    <n v="19.940000000000001"/>
  </r>
  <r>
    <d v="2023-02-10T00:00:00"/>
    <x v="13"/>
    <s v="Indore"/>
    <x v="10"/>
    <x v="11"/>
    <x v="0"/>
    <n v="69"/>
    <x v="11"/>
    <n v="36"/>
    <x v="109"/>
    <n v="213188400"/>
    <x v="1"/>
    <x v="0"/>
    <x v="0"/>
    <x v="0"/>
    <x v="1"/>
    <n v="2"/>
    <x v="1"/>
    <n v="5921900"/>
    <n v="21.32"/>
  </r>
  <r>
    <d v="2023-02-10T00:00:00"/>
    <x v="5"/>
    <s v="Mangaluru"/>
    <x v="13"/>
    <x v="15"/>
    <x v="0"/>
    <n v="40"/>
    <x v="14"/>
    <n v="131"/>
    <x v="110"/>
    <n v="330264100"/>
    <x v="0"/>
    <x v="0"/>
    <x v="0"/>
    <x v="0"/>
    <x v="1"/>
    <n v="2"/>
    <x v="1"/>
    <n v="2521100"/>
    <n v="33.03"/>
  </r>
  <r>
    <d v="2023-02-11T00:00:00"/>
    <x v="11"/>
    <s v="Madurai"/>
    <x v="8"/>
    <x v="8"/>
    <x v="0"/>
    <n v="66"/>
    <x v="8"/>
    <n v="11"/>
    <x v="111"/>
    <n v="60008300"/>
    <x v="0"/>
    <x v="1"/>
    <x v="0"/>
    <x v="0"/>
    <x v="1"/>
    <n v="2"/>
    <x v="1"/>
    <n v="5455300"/>
    <n v="6"/>
  </r>
  <r>
    <d v="2023-02-12T00:00:00"/>
    <x v="11"/>
    <s v="Coimbatore"/>
    <x v="1"/>
    <x v="21"/>
    <x v="0"/>
    <n v="3"/>
    <x v="19"/>
    <n v="89"/>
    <x v="112"/>
    <n v="11214000"/>
    <x v="1"/>
    <x v="0"/>
    <x v="0"/>
    <x v="0"/>
    <x v="1"/>
    <n v="2"/>
    <x v="1"/>
    <n v="126000"/>
    <n v="1.1200000000000001"/>
  </r>
  <r>
    <d v="2023-02-12T00:00:00"/>
    <x v="1"/>
    <s v="Dwarka"/>
    <x v="2"/>
    <x v="2"/>
    <x v="0"/>
    <n v="66"/>
    <x v="2"/>
    <n v="30"/>
    <x v="113"/>
    <n v="213600000"/>
    <x v="1"/>
    <x v="0"/>
    <x v="0"/>
    <x v="0"/>
    <x v="1"/>
    <n v="2"/>
    <x v="1"/>
    <n v="7120000"/>
    <n v="21.36"/>
  </r>
  <r>
    <d v="2023-02-12T00:00:00"/>
    <x v="3"/>
    <s v="Nashik"/>
    <x v="5"/>
    <x v="5"/>
    <x v="1"/>
    <n v="30"/>
    <x v="5"/>
    <n v="56"/>
    <x v="114"/>
    <n v="76238400"/>
    <x v="1"/>
    <x v="1"/>
    <x v="0"/>
    <x v="0"/>
    <x v="1"/>
    <n v="2"/>
    <x v="1"/>
    <n v="1361400"/>
    <n v="7.62"/>
  </r>
  <r>
    <d v="2023-02-12T00:00:00"/>
    <x v="12"/>
    <s v="Panipat"/>
    <x v="14"/>
    <x v="16"/>
    <x v="0"/>
    <n v="3"/>
    <x v="15"/>
    <n v="109"/>
    <x v="115"/>
    <n v="18944200"/>
    <x v="1"/>
    <x v="0"/>
    <x v="0"/>
    <x v="0"/>
    <x v="1"/>
    <n v="2"/>
    <x v="1"/>
    <n v="173800"/>
    <n v="1.89"/>
  </r>
  <r>
    <d v="2023-02-13T00:00:00"/>
    <x v="5"/>
    <s v="Mysuru"/>
    <x v="8"/>
    <x v="20"/>
    <x v="0"/>
    <n v="84"/>
    <x v="18"/>
    <n v="35"/>
    <x v="116"/>
    <n v="266343000"/>
    <x v="1"/>
    <x v="2"/>
    <x v="0"/>
    <x v="0"/>
    <x v="1"/>
    <n v="2"/>
    <x v="1"/>
    <n v="7609800"/>
    <n v="26.63"/>
  </r>
  <r>
    <d v="2023-02-13T00:00:00"/>
    <x v="1"/>
    <s v="Dwarka"/>
    <x v="8"/>
    <x v="20"/>
    <x v="0"/>
    <n v="84"/>
    <x v="18"/>
    <n v="25"/>
    <x v="117"/>
    <n v="197885000"/>
    <x v="2"/>
    <x v="0"/>
    <x v="0"/>
    <x v="0"/>
    <x v="1"/>
    <n v="2"/>
    <x v="1"/>
    <n v="7915400"/>
    <n v="19.79"/>
  </r>
  <r>
    <d v="2023-02-14T00:00:00"/>
    <x v="2"/>
    <s v="Lucknow"/>
    <x v="3"/>
    <x v="3"/>
    <x v="0"/>
    <n v="3"/>
    <x v="3"/>
    <n v="47"/>
    <x v="118"/>
    <n v="5578900"/>
    <x v="1"/>
    <x v="2"/>
    <x v="0"/>
    <x v="0"/>
    <x v="1"/>
    <n v="2"/>
    <x v="1"/>
    <n v="118700"/>
    <n v="0.56000000000000005"/>
  </r>
  <r>
    <d v="2023-02-15T00:00:00"/>
    <x v="10"/>
    <s v="Kozhikode"/>
    <x v="13"/>
    <x v="19"/>
    <x v="0"/>
    <n v="24"/>
    <x v="17"/>
    <n v="48"/>
    <x v="119"/>
    <n v="74827200"/>
    <x v="1"/>
    <x v="3"/>
    <x v="0"/>
    <x v="0"/>
    <x v="1"/>
    <n v="2"/>
    <x v="1"/>
    <n v="1558900"/>
    <n v="7.48"/>
  </r>
  <r>
    <d v="2023-02-16T00:00:00"/>
    <x v="3"/>
    <s v="Nashik"/>
    <x v="4"/>
    <x v="4"/>
    <x v="1"/>
    <n v="77"/>
    <x v="4"/>
    <n v="67"/>
    <x v="120"/>
    <n v="304809800"/>
    <x v="0"/>
    <x v="0"/>
    <x v="0"/>
    <x v="0"/>
    <x v="1"/>
    <n v="2"/>
    <x v="1"/>
    <n v="4549400"/>
    <n v="30.48"/>
  </r>
  <r>
    <d v="2023-02-16T00:00:00"/>
    <x v="6"/>
    <s v="Vadodara"/>
    <x v="2"/>
    <x v="2"/>
    <x v="2"/>
    <n v="66"/>
    <x v="2"/>
    <n v="36"/>
    <x v="121"/>
    <n v="327268800"/>
    <x v="0"/>
    <x v="2"/>
    <x v="0"/>
    <x v="0"/>
    <x v="1"/>
    <n v="2"/>
    <x v="1"/>
    <n v="9090800"/>
    <n v="32.729999999999997"/>
  </r>
  <r>
    <d v="2023-02-18T00:00:00"/>
    <x v="3"/>
    <s v="Mumbai"/>
    <x v="7"/>
    <x v="7"/>
    <x v="0"/>
    <n v="3"/>
    <x v="7"/>
    <n v="157"/>
    <x v="122"/>
    <n v="28526900"/>
    <x v="1"/>
    <x v="0"/>
    <x v="0"/>
    <x v="0"/>
    <x v="1"/>
    <n v="2"/>
    <x v="1"/>
    <n v="181700"/>
    <n v="2.85"/>
  </r>
  <r>
    <d v="2023-02-18T00:00:00"/>
    <x v="6"/>
    <s v="Vadodara"/>
    <x v="0"/>
    <x v="0"/>
    <x v="1"/>
    <n v="82"/>
    <x v="0"/>
    <n v="72"/>
    <x v="123"/>
    <n v="487144800"/>
    <x v="1"/>
    <x v="0"/>
    <x v="0"/>
    <x v="0"/>
    <x v="1"/>
    <n v="2"/>
    <x v="1"/>
    <n v="6765900"/>
    <n v="48.71"/>
  </r>
  <r>
    <d v="2023-02-19T00:00:00"/>
    <x v="5"/>
    <s v="Mangaluru"/>
    <x v="9"/>
    <x v="9"/>
    <x v="0"/>
    <n v="50"/>
    <x v="9"/>
    <n v="36"/>
    <x v="124"/>
    <n v="74041200"/>
    <x v="1"/>
    <x v="2"/>
    <x v="0"/>
    <x v="0"/>
    <x v="1"/>
    <n v="2"/>
    <x v="1"/>
    <n v="2056700"/>
    <n v="7.4"/>
  </r>
  <r>
    <d v="2023-02-19T00:00:00"/>
    <x v="12"/>
    <s v="Gurugram"/>
    <x v="8"/>
    <x v="8"/>
    <x v="0"/>
    <n v="66"/>
    <x v="8"/>
    <n v="60"/>
    <x v="125"/>
    <n v="416088000"/>
    <x v="1"/>
    <x v="0"/>
    <x v="0"/>
    <x v="0"/>
    <x v="1"/>
    <n v="2"/>
    <x v="1"/>
    <n v="6934800"/>
    <n v="41.61"/>
  </r>
  <r>
    <d v="2023-02-19T00:00:00"/>
    <x v="14"/>
    <s v="Jodhpur"/>
    <x v="6"/>
    <x v="6"/>
    <x v="0"/>
    <n v="72"/>
    <x v="6"/>
    <n v="98"/>
    <x v="126"/>
    <n v="516881400"/>
    <x v="1"/>
    <x v="2"/>
    <x v="0"/>
    <x v="0"/>
    <x v="1"/>
    <n v="2"/>
    <x v="1"/>
    <n v="5274300"/>
    <n v="51.69"/>
  </r>
  <r>
    <d v="2023-02-20T00:00:00"/>
    <x v="11"/>
    <s v="Madurai"/>
    <x v="3"/>
    <x v="3"/>
    <x v="0"/>
    <n v="3"/>
    <x v="3"/>
    <n v="159"/>
    <x v="127"/>
    <n v="19843200"/>
    <x v="1"/>
    <x v="2"/>
    <x v="0"/>
    <x v="0"/>
    <x v="1"/>
    <n v="2"/>
    <x v="1"/>
    <n v="124800"/>
    <n v="1.98"/>
  </r>
  <r>
    <d v="2023-02-20T00:00:00"/>
    <x v="3"/>
    <s v="Nagpur"/>
    <x v="14"/>
    <x v="16"/>
    <x v="0"/>
    <n v="3"/>
    <x v="15"/>
    <n v="129"/>
    <x v="128"/>
    <n v="18911400"/>
    <x v="0"/>
    <x v="0"/>
    <x v="0"/>
    <x v="0"/>
    <x v="1"/>
    <n v="2"/>
    <x v="1"/>
    <n v="146600"/>
    <n v="1.89"/>
  </r>
  <r>
    <d v="2023-02-20T00:00:00"/>
    <x v="11"/>
    <s v="Chennai"/>
    <x v="15"/>
    <x v="17"/>
    <x v="0"/>
    <n v="5"/>
    <x v="15"/>
    <n v="145"/>
    <x v="129"/>
    <n v="24476000"/>
    <x v="1"/>
    <x v="0"/>
    <x v="0"/>
    <x v="0"/>
    <x v="1"/>
    <n v="2"/>
    <x v="1"/>
    <n v="168800"/>
    <n v="2.4500000000000002"/>
  </r>
  <r>
    <d v="2023-02-20T00:00:00"/>
    <x v="8"/>
    <s v="Durgapur"/>
    <x v="2"/>
    <x v="2"/>
    <x v="0"/>
    <n v="66"/>
    <x v="2"/>
    <n v="45"/>
    <x v="130"/>
    <n v="358398000"/>
    <x v="0"/>
    <x v="2"/>
    <x v="0"/>
    <x v="0"/>
    <x v="1"/>
    <n v="2"/>
    <x v="1"/>
    <n v="7964400"/>
    <n v="35.840000000000003"/>
  </r>
  <r>
    <d v="2023-02-20T00:00:00"/>
    <x v="2"/>
    <s v="Ghaziabad"/>
    <x v="11"/>
    <x v="12"/>
    <x v="2"/>
    <n v="40"/>
    <x v="12"/>
    <n v="120"/>
    <x v="131"/>
    <n v="226152000"/>
    <x v="1"/>
    <x v="0"/>
    <x v="0"/>
    <x v="0"/>
    <x v="1"/>
    <n v="2"/>
    <x v="1"/>
    <n v="1884600"/>
    <n v="22.62"/>
  </r>
  <r>
    <d v="2023-02-21T00:00:00"/>
    <x v="5"/>
    <s v="Hubballi"/>
    <x v="14"/>
    <x v="16"/>
    <x v="0"/>
    <n v="3"/>
    <x v="15"/>
    <n v="22"/>
    <x v="132"/>
    <n v="3022800"/>
    <x v="1"/>
    <x v="0"/>
    <x v="0"/>
    <x v="0"/>
    <x v="1"/>
    <n v="2"/>
    <x v="1"/>
    <n v="137400"/>
    <n v="0.3"/>
  </r>
  <r>
    <d v="2023-02-21T00:00:00"/>
    <x v="6"/>
    <s v="Surat"/>
    <x v="9"/>
    <x v="10"/>
    <x v="0"/>
    <n v="25"/>
    <x v="10"/>
    <n v="34"/>
    <x v="133"/>
    <n v="42911400"/>
    <x v="1"/>
    <x v="0"/>
    <x v="0"/>
    <x v="0"/>
    <x v="1"/>
    <n v="2"/>
    <x v="1"/>
    <n v="1262100"/>
    <n v="4.29"/>
  </r>
  <r>
    <d v="2023-02-22T00:00:00"/>
    <x v="8"/>
    <s v="Durgapur"/>
    <x v="4"/>
    <x v="4"/>
    <x v="0"/>
    <n v="77"/>
    <x v="4"/>
    <n v="6"/>
    <x v="134"/>
    <n v="31207800"/>
    <x v="1"/>
    <x v="2"/>
    <x v="0"/>
    <x v="0"/>
    <x v="1"/>
    <n v="2"/>
    <x v="1"/>
    <n v="5201300"/>
    <n v="3.12"/>
  </r>
  <r>
    <d v="2023-02-22T00:00:00"/>
    <x v="2"/>
    <s v="Lucknow"/>
    <x v="2"/>
    <x v="2"/>
    <x v="3"/>
    <n v="66"/>
    <x v="2"/>
    <n v="44"/>
    <x v="135"/>
    <n v="318934000"/>
    <x v="2"/>
    <x v="1"/>
    <x v="0"/>
    <x v="0"/>
    <x v="1"/>
    <n v="2"/>
    <x v="1"/>
    <n v="7248500"/>
    <n v="31.89"/>
  </r>
  <r>
    <d v="2023-02-24T00:00:00"/>
    <x v="12"/>
    <s v="Panipat"/>
    <x v="1"/>
    <x v="21"/>
    <x v="0"/>
    <n v="3"/>
    <x v="19"/>
    <n v="57"/>
    <x v="136"/>
    <n v="5477700"/>
    <x v="1"/>
    <x v="2"/>
    <x v="0"/>
    <x v="0"/>
    <x v="1"/>
    <n v="2"/>
    <x v="1"/>
    <n v="96100"/>
    <n v="0.55000000000000004"/>
  </r>
  <r>
    <d v="2023-02-24T00:00:00"/>
    <x v="3"/>
    <s v="Nagpur"/>
    <x v="2"/>
    <x v="2"/>
    <x v="0"/>
    <n v="66"/>
    <x v="2"/>
    <n v="50"/>
    <x v="137"/>
    <n v="368885000"/>
    <x v="0"/>
    <x v="1"/>
    <x v="0"/>
    <x v="0"/>
    <x v="1"/>
    <n v="2"/>
    <x v="1"/>
    <n v="7377700"/>
    <n v="36.89"/>
  </r>
  <r>
    <d v="2023-02-25T00:00:00"/>
    <x v="14"/>
    <s v="Jodhpur"/>
    <x v="2"/>
    <x v="2"/>
    <x v="2"/>
    <n v="66"/>
    <x v="2"/>
    <n v="52"/>
    <x v="138"/>
    <n v="487520800"/>
    <x v="1"/>
    <x v="0"/>
    <x v="0"/>
    <x v="0"/>
    <x v="1"/>
    <n v="2"/>
    <x v="1"/>
    <n v="9375400"/>
    <n v="48.75"/>
  </r>
  <r>
    <d v="2023-02-25T00:00:00"/>
    <x v="5"/>
    <s v="Hubballi"/>
    <x v="15"/>
    <x v="17"/>
    <x v="0"/>
    <n v="5"/>
    <x v="15"/>
    <n v="115"/>
    <x v="139"/>
    <n v="17031500"/>
    <x v="0"/>
    <x v="0"/>
    <x v="0"/>
    <x v="0"/>
    <x v="1"/>
    <n v="2"/>
    <x v="1"/>
    <n v="148100"/>
    <n v="1.7"/>
  </r>
  <r>
    <d v="2023-02-25T00:00:00"/>
    <x v="14"/>
    <s v="Jaipur"/>
    <x v="1"/>
    <x v="1"/>
    <x v="0"/>
    <n v="4"/>
    <x v="1"/>
    <n v="153"/>
    <x v="75"/>
    <n v="23516100"/>
    <x v="1"/>
    <x v="3"/>
    <x v="0"/>
    <x v="0"/>
    <x v="1"/>
    <n v="2"/>
    <x v="1"/>
    <n v="153700"/>
    <n v="2.35"/>
  </r>
  <r>
    <d v="2023-02-25T00:00:00"/>
    <x v="0"/>
    <s v="Warangal"/>
    <x v="0"/>
    <x v="0"/>
    <x v="0"/>
    <n v="82"/>
    <x v="0"/>
    <n v="29"/>
    <x v="140"/>
    <n v="189225000"/>
    <x v="1"/>
    <x v="0"/>
    <x v="0"/>
    <x v="0"/>
    <x v="1"/>
    <n v="2"/>
    <x v="1"/>
    <n v="6525000"/>
    <n v="18.920000000000002"/>
  </r>
  <r>
    <d v="2023-02-26T00:00:00"/>
    <x v="2"/>
    <s v="Ghaziabad"/>
    <x v="1"/>
    <x v="21"/>
    <x v="0"/>
    <n v="3"/>
    <x v="19"/>
    <n v="167"/>
    <x v="141"/>
    <n v="18570400"/>
    <x v="0"/>
    <x v="0"/>
    <x v="0"/>
    <x v="0"/>
    <x v="1"/>
    <n v="2"/>
    <x v="1"/>
    <n v="111200"/>
    <n v="1.86"/>
  </r>
  <r>
    <d v="2023-02-26T00:00:00"/>
    <x v="3"/>
    <s v="Pune"/>
    <x v="7"/>
    <x v="7"/>
    <x v="0"/>
    <n v="3"/>
    <x v="7"/>
    <n v="40"/>
    <x v="142"/>
    <n v="6364000"/>
    <x v="1"/>
    <x v="0"/>
    <x v="0"/>
    <x v="0"/>
    <x v="1"/>
    <n v="2"/>
    <x v="1"/>
    <n v="159100"/>
    <n v="0.64"/>
  </r>
  <r>
    <d v="2023-02-27T00:00:00"/>
    <x v="4"/>
    <s v="Jalandhar"/>
    <x v="3"/>
    <x v="3"/>
    <x v="0"/>
    <n v="3"/>
    <x v="3"/>
    <n v="84"/>
    <x v="143"/>
    <n v="9164400"/>
    <x v="1"/>
    <x v="0"/>
    <x v="0"/>
    <x v="0"/>
    <x v="1"/>
    <n v="2"/>
    <x v="1"/>
    <n v="109100"/>
    <n v="0.92"/>
  </r>
  <r>
    <d v="2023-02-28T00:00:00"/>
    <x v="2"/>
    <s v="Noida"/>
    <x v="13"/>
    <x v="19"/>
    <x v="0"/>
    <n v="24"/>
    <x v="17"/>
    <n v="29"/>
    <x v="144"/>
    <n v="35403200"/>
    <x v="2"/>
    <x v="3"/>
    <x v="0"/>
    <x v="0"/>
    <x v="1"/>
    <n v="2"/>
    <x v="1"/>
    <n v="1220800"/>
    <n v="3.54"/>
  </r>
  <r>
    <d v="2023-02-28T00:00:00"/>
    <x v="5"/>
    <s v="Hubballi"/>
    <x v="11"/>
    <x v="12"/>
    <x v="0"/>
    <n v="40"/>
    <x v="12"/>
    <n v="107"/>
    <x v="145"/>
    <n v="212138200"/>
    <x v="1"/>
    <x v="0"/>
    <x v="0"/>
    <x v="0"/>
    <x v="1"/>
    <n v="2"/>
    <x v="1"/>
    <n v="1982600"/>
    <n v="21.21"/>
  </r>
  <r>
    <d v="2023-02-28T00:00:00"/>
    <x v="12"/>
    <s v="Gurugram"/>
    <x v="1"/>
    <x v="1"/>
    <x v="0"/>
    <n v="4"/>
    <x v="1"/>
    <n v="102"/>
    <x v="146"/>
    <n v="15014400"/>
    <x v="1"/>
    <x v="0"/>
    <x v="0"/>
    <x v="0"/>
    <x v="1"/>
    <n v="2"/>
    <x v="1"/>
    <n v="147200"/>
    <n v="1.5"/>
  </r>
  <r>
    <d v="2023-02-28T00:00:00"/>
    <x v="1"/>
    <s v="Dwarka"/>
    <x v="15"/>
    <x v="17"/>
    <x v="0"/>
    <n v="5"/>
    <x v="15"/>
    <n v="152"/>
    <x v="147"/>
    <n v="26280800"/>
    <x v="0"/>
    <x v="0"/>
    <x v="0"/>
    <x v="0"/>
    <x v="1"/>
    <n v="2"/>
    <x v="1"/>
    <n v="172900"/>
    <n v="2.63"/>
  </r>
  <r>
    <d v="2023-03-01T00:00:00"/>
    <x v="1"/>
    <s v="Dwarka"/>
    <x v="6"/>
    <x v="13"/>
    <x v="0"/>
    <n v="48"/>
    <x v="12"/>
    <n v="177"/>
    <x v="148"/>
    <n v="365345700"/>
    <x v="1"/>
    <x v="0"/>
    <x v="0"/>
    <x v="0"/>
    <x v="2"/>
    <n v="3"/>
    <x v="2"/>
    <n v="2064100"/>
    <n v="36.53"/>
  </r>
  <r>
    <d v="2023-03-01T00:00:00"/>
    <x v="3"/>
    <s v="Pune"/>
    <x v="13"/>
    <x v="19"/>
    <x v="1"/>
    <n v="24"/>
    <x v="17"/>
    <n v="46"/>
    <x v="149"/>
    <n v="69041400"/>
    <x v="1"/>
    <x v="1"/>
    <x v="0"/>
    <x v="0"/>
    <x v="2"/>
    <n v="3"/>
    <x v="2"/>
    <n v="1500900"/>
    <n v="6.9"/>
  </r>
  <r>
    <d v="2023-03-01T00:00:00"/>
    <x v="8"/>
    <s v="Durgapur"/>
    <x v="13"/>
    <x v="19"/>
    <x v="0"/>
    <n v="24"/>
    <x v="17"/>
    <n v="34"/>
    <x v="150"/>
    <n v="52003000"/>
    <x v="1"/>
    <x v="0"/>
    <x v="0"/>
    <x v="0"/>
    <x v="2"/>
    <n v="3"/>
    <x v="2"/>
    <n v="1529500"/>
    <n v="5.2"/>
  </r>
  <r>
    <d v="2023-03-02T00:00:00"/>
    <x v="7"/>
    <s v="Visakhapatnam"/>
    <x v="13"/>
    <x v="19"/>
    <x v="0"/>
    <n v="24"/>
    <x v="17"/>
    <n v="48"/>
    <x v="151"/>
    <n v="70036800"/>
    <x v="1"/>
    <x v="0"/>
    <x v="0"/>
    <x v="0"/>
    <x v="2"/>
    <n v="3"/>
    <x v="2"/>
    <n v="1459100"/>
    <n v="7"/>
  </r>
  <r>
    <d v="2023-03-02T00:00:00"/>
    <x v="0"/>
    <s v="Nizamabad"/>
    <x v="0"/>
    <x v="0"/>
    <x v="0"/>
    <n v="82"/>
    <x v="0"/>
    <n v="7"/>
    <x v="152"/>
    <n v="52651900"/>
    <x v="1"/>
    <x v="0"/>
    <x v="0"/>
    <x v="0"/>
    <x v="2"/>
    <n v="3"/>
    <x v="2"/>
    <n v="7521700"/>
    <n v="5.27"/>
  </r>
  <r>
    <d v="2023-03-03T00:00:00"/>
    <x v="11"/>
    <s v="Madurai"/>
    <x v="10"/>
    <x v="11"/>
    <x v="1"/>
    <n v="69"/>
    <x v="11"/>
    <n v="61"/>
    <x v="153"/>
    <n v="327942100"/>
    <x v="1"/>
    <x v="0"/>
    <x v="0"/>
    <x v="0"/>
    <x v="2"/>
    <n v="3"/>
    <x v="2"/>
    <n v="5376100"/>
    <n v="32.79"/>
  </r>
  <r>
    <d v="2023-03-04T00:00:00"/>
    <x v="8"/>
    <s v="Kolkata"/>
    <x v="5"/>
    <x v="5"/>
    <x v="0"/>
    <n v="30"/>
    <x v="5"/>
    <n v="9"/>
    <x v="154"/>
    <n v="12824100"/>
    <x v="1"/>
    <x v="0"/>
    <x v="0"/>
    <x v="0"/>
    <x v="2"/>
    <n v="3"/>
    <x v="2"/>
    <n v="1424900"/>
    <n v="1.28"/>
  </r>
  <r>
    <d v="2023-03-04T00:00:00"/>
    <x v="9"/>
    <s v="Gaya"/>
    <x v="13"/>
    <x v="19"/>
    <x v="2"/>
    <n v="24"/>
    <x v="17"/>
    <n v="150"/>
    <x v="155"/>
    <n v="224655000"/>
    <x v="1"/>
    <x v="0"/>
    <x v="0"/>
    <x v="0"/>
    <x v="2"/>
    <n v="3"/>
    <x v="2"/>
    <n v="1497700"/>
    <n v="22.47"/>
  </r>
  <r>
    <d v="2023-03-04T00:00:00"/>
    <x v="1"/>
    <s v="Dwarka"/>
    <x v="13"/>
    <x v="22"/>
    <x v="0"/>
    <n v="35"/>
    <x v="10"/>
    <n v="161"/>
    <x v="156"/>
    <n v="332577700"/>
    <x v="1"/>
    <x v="2"/>
    <x v="0"/>
    <x v="0"/>
    <x v="2"/>
    <n v="3"/>
    <x v="2"/>
    <n v="2065700"/>
    <n v="33.26"/>
  </r>
  <r>
    <d v="2023-03-05T00:00:00"/>
    <x v="12"/>
    <s v="Gurugram"/>
    <x v="5"/>
    <x v="5"/>
    <x v="1"/>
    <n v="30"/>
    <x v="5"/>
    <n v="47"/>
    <x v="157"/>
    <n v="63327800"/>
    <x v="1"/>
    <x v="0"/>
    <x v="0"/>
    <x v="0"/>
    <x v="2"/>
    <n v="3"/>
    <x v="2"/>
    <n v="1347400"/>
    <n v="6.33"/>
  </r>
  <r>
    <d v="2023-03-05T00:00:00"/>
    <x v="0"/>
    <s v="Warangal"/>
    <x v="14"/>
    <x v="16"/>
    <x v="0"/>
    <n v="3"/>
    <x v="15"/>
    <n v="164"/>
    <x v="106"/>
    <n v="21516800"/>
    <x v="1"/>
    <x v="0"/>
    <x v="0"/>
    <x v="0"/>
    <x v="2"/>
    <n v="3"/>
    <x v="2"/>
    <n v="131200"/>
    <n v="2.15"/>
  </r>
  <r>
    <d v="2023-03-06T00:00:00"/>
    <x v="2"/>
    <s v="Kanpur"/>
    <x v="1"/>
    <x v="1"/>
    <x v="0"/>
    <n v="4"/>
    <x v="1"/>
    <n v="105"/>
    <x v="158"/>
    <n v="14731500"/>
    <x v="0"/>
    <x v="0"/>
    <x v="0"/>
    <x v="0"/>
    <x v="2"/>
    <n v="3"/>
    <x v="2"/>
    <n v="140300"/>
    <n v="1.47"/>
  </r>
  <r>
    <d v="2023-03-06T00:00:00"/>
    <x v="10"/>
    <s v="Thiruvananthapuram"/>
    <x v="4"/>
    <x v="4"/>
    <x v="1"/>
    <n v="77"/>
    <x v="4"/>
    <n v="51"/>
    <x v="159"/>
    <n v="235467000"/>
    <x v="1"/>
    <x v="2"/>
    <x v="0"/>
    <x v="0"/>
    <x v="2"/>
    <n v="3"/>
    <x v="2"/>
    <n v="4617000"/>
    <n v="23.55"/>
  </r>
  <r>
    <d v="2023-03-06T00:00:00"/>
    <x v="5"/>
    <s v="Mysuru"/>
    <x v="3"/>
    <x v="3"/>
    <x v="0"/>
    <n v="3"/>
    <x v="3"/>
    <n v="161"/>
    <x v="160"/>
    <n v="20543600"/>
    <x v="1"/>
    <x v="0"/>
    <x v="0"/>
    <x v="0"/>
    <x v="2"/>
    <n v="3"/>
    <x v="2"/>
    <n v="127600"/>
    <n v="2.0499999999999998"/>
  </r>
  <r>
    <d v="2023-03-07T00:00:00"/>
    <x v="3"/>
    <s v="Nashik"/>
    <x v="7"/>
    <x v="7"/>
    <x v="0"/>
    <n v="3"/>
    <x v="7"/>
    <n v="53"/>
    <x v="161"/>
    <n v="8331600"/>
    <x v="1"/>
    <x v="0"/>
    <x v="0"/>
    <x v="0"/>
    <x v="2"/>
    <n v="3"/>
    <x v="2"/>
    <n v="157200"/>
    <n v="0.83"/>
  </r>
  <r>
    <d v="2023-03-07T00:00:00"/>
    <x v="3"/>
    <s v="Pune"/>
    <x v="5"/>
    <x v="5"/>
    <x v="0"/>
    <n v="30"/>
    <x v="5"/>
    <n v="3"/>
    <x v="162"/>
    <n v="4366200"/>
    <x v="1"/>
    <x v="3"/>
    <x v="0"/>
    <x v="0"/>
    <x v="2"/>
    <n v="3"/>
    <x v="2"/>
    <n v="1455400"/>
    <n v="0.44"/>
  </r>
  <r>
    <d v="2023-03-07T00:00:00"/>
    <x v="3"/>
    <s v="Nagpur"/>
    <x v="12"/>
    <x v="18"/>
    <x v="0"/>
    <n v="60"/>
    <x v="16"/>
    <n v="35"/>
    <x v="163"/>
    <n v="102802000"/>
    <x v="1"/>
    <x v="2"/>
    <x v="0"/>
    <x v="0"/>
    <x v="2"/>
    <n v="3"/>
    <x v="2"/>
    <n v="2937200"/>
    <n v="10.28"/>
  </r>
  <r>
    <d v="2023-03-07T00:00:00"/>
    <x v="0"/>
    <s v="Nizamabad"/>
    <x v="3"/>
    <x v="3"/>
    <x v="0"/>
    <n v="3"/>
    <x v="3"/>
    <n v="72"/>
    <x v="164"/>
    <n v="8568000"/>
    <x v="0"/>
    <x v="0"/>
    <x v="0"/>
    <x v="0"/>
    <x v="2"/>
    <n v="3"/>
    <x v="2"/>
    <n v="119000"/>
    <n v="0.86"/>
  </r>
  <r>
    <d v="2023-03-08T00:00:00"/>
    <x v="2"/>
    <s v="Kanpur"/>
    <x v="8"/>
    <x v="20"/>
    <x v="0"/>
    <n v="84"/>
    <x v="18"/>
    <n v="6"/>
    <x v="165"/>
    <n v="42544200"/>
    <x v="1"/>
    <x v="0"/>
    <x v="0"/>
    <x v="0"/>
    <x v="2"/>
    <n v="3"/>
    <x v="2"/>
    <n v="7090700"/>
    <n v="4.25"/>
  </r>
  <r>
    <d v="2023-03-09T00:00:00"/>
    <x v="10"/>
    <s v="Kochi"/>
    <x v="5"/>
    <x v="5"/>
    <x v="0"/>
    <n v="30"/>
    <x v="5"/>
    <n v="27"/>
    <x v="166"/>
    <n v="32683500"/>
    <x v="1"/>
    <x v="0"/>
    <x v="0"/>
    <x v="0"/>
    <x v="2"/>
    <n v="3"/>
    <x v="2"/>
    <n v="1210500"/>
    <n v="3.27"/>
  </r>
  <r>
    <d v="2023-03-10T00:00:00"/>
    <x v="14"/>
    <s v="Udaipur"/>
    <x v="0"/>
    <x v="0"/>
    <x v="0"/>
    <n v="82"/>
    <x v="0"/>
    <n v="58"/>
    <x v="167"/>
    <n v="380607600"/>
    <x v="1"/>
    <x v="0"/>
    <x v="0"/>
    <x v="0"/>
    <x v="2"/>
    <n v="3"/>
    <x v="2"/>
    <n v="6562200"/>
    <n v="38.06"/>
  </r>
  <r>
    <d v="2023-03-10T00:00:00"/>
    <x v="4"/>
    <s v="Ludhiana"/>
    <x v="0"/>
    <x v="0"/>
    <x v="0"/>
    <n v="82"/>
    <x v="0"/>
    <n v="39"/>
    <x v="168"/>
    <n v="255559200"/>
    <x v="1"/>
    <x v="0"/>
    <x v="0"/>
    <x v="0"/>
    <x v="2"/>
    <n v="3"/>
    <x v="2"/>
    <n v="6552800"/>
    <n v="25.56"/>
  </r>
  <r>
    <d v="2023-03-11T00:00:00"/>
    <x v="5"/>
    <s v="Hubballi"/>
    <x v="10"/>
    <x v="11"/>
    <x v="2"/>
    <n v="69"/>
    <x v="11"/>
    <n v="68"/>
    <x v="169"/>
    <n v="437858800"/>
    <x v="0"/>
    <x v="1"/>
    <x v="0"/>
    <x v="0"/>
    <x v="2"/>
    <n v="3"/>
    <x v="2"/>
    <n v="6439100"/>
    <n v="43.79"/>
  </r>
  <r>
    <d v="2023-03-11T00:00:00"/>
    <x v="10"/>
    <s v="Kozhikode"/>
    <x v="10"/>
    <x v="11"/>
    <x v="0"/>
    <n v="69"/>
    <x v="11"/>
    <n v="18"/>
    <x v="170"/>
    <n v="93967200"/>
    <x v="0"/>
    <x v="0"/>
    <x v="0"/>
    <x v="0"/>
    <x v="2"/>
    <n v="3"/>
    <x v="2"/>
    <n v="5220400"/>
    <n v="9.4"/>
  </r>
  <r>
    <d v="2023-03-12T00:00:00"/>
    <x v="8"/>
    <s v="Siliguri"/>
    <x v="0"/>
    <x v="0"/>
    <x v="0"/>
    <n v="82"/>
    <x v="0"/>
    <n v="65"/>
    <x v="171"/>
    <n v="456417000"/>
    <x v="0"/>
    <x v="2"/>
    <x v="0"/>
    <x v="0"/>
    <x v="2"/>
    <n v="3"/>
    <x v="2"/>
    <n v="7021800"/>
    <n v="45.64"/>
  </r>
  <r>
    <d v="2023-03-12T00:00:00"/>
    <x v="3"/>
    <s v="Mumbai"/>
    <x v="1"/>
    <x v="1"/>
    <x v="0"/>
    <n v="4"/>
    <x v="1"/>
    <n v="67"/>
    <x v="146"/>
    <n v="9862400"/>
    <x v="1"/>
    <x v="0"/>
    <x v="0"/>
    <x v="0"/>
    <x v="2"/>
    <n v="3"/>
    <x v="2"/>
    <n v="147200"/>
    <n v="0.99"/>
  </r>
  <r>
    <d v="2023-03-12T00:00:00"/>
    <x v="0"/>
    <s v="Hyderabad"/>
    <x v="11"/>
    <x v="12"/>
    <x v="0"/>
    <n v="40"/>
    <x v="12"/>
    <n v="63"/>
    <x v="172"/>
    <n v="154753200"/>
    <x v="1"/>
    <x v="0"/>
    <x v="0"/>
    <x v="0"/>
    <x v="2"/>
    <n v="3"/>
    <x v="2"/>
    <n v="2456400"/>
    <n v="15.48"/>
  </r>
  <r>
    <d v="2023-03-13T00:00:00"/>
    <x v="2"/>
    <s v="Noida"/>
    <x v="12"/>
    <x v="18"/>
    <x v="0"/>
    <n v="60"/>
    <x v="16"/>
    <n v="60"/>
    <x v="173"/>
    <n v="188244000"/>
    <x v="1"/>
    <x v="0"/>
    <x v="0"/>
    <x v="0"/>
    <x v="2"/>
    <n v="3"/>
    <x v="2"/>
    <n v="3137400"/>
    <n v="18.82"/>
  </r>
  <r>
    <d v="2023-03-13T00:00:00"/>
    <x v="11"/>
    <s v="Coimbatore"/>
    <x v="14"/>
    <x v="16"/>
    <x v="0"/>
    <n v="3"/>
    <x v="15"/>
    <n v="81"/>
    <x v="174"/>
    <n v="14272200"/>
    <x v="1"/>
    <x v="2"/>
    <x v="0"/>
    <x v="0"/>
    <x v="2"/>
    <n v="3"/>
    <x v="2"/>
    <n v="176200"/>
    <n v="1.43"/>
  </r>
  <r>
    <d v="2023-03-13T00:00:00"/>
    <x v="2"/>
    <s v="Noida"/>
    <x v="3"/>
    <x v="3"/>
    <x v="0"/>
    <n v="3"/>
    <x v="3"/>
    <n v="124"/>
    <x v="175"/>
    <n v="13243200"/>
    <x v="1"/>
    <x v="1"/>
    <x v="0"/>
    <x v="0"/>
    <x v="2"/>
    <n v="3"/>
    <x v="2"/>
    <n v="106800"/>
    <n v="1.32"/>
  </r>
  <r>
    <d v="2023-03-13T00:00:00"/>
    <x v="5"/>
    <s v="Mangaluru"/>
    <x v="15"/>
    <x v="17"/>
    <x v="0"/>
    <n v="5"/>
    <x v="15"/>
    <n v="35"/>
    <x v="176"/>
    <n v="5022500"/>
    <x v="1"/>
    <x v="2"/>
    <x v="0"/>
    <x v="0"/>
    <x v="2"/>
    <n v="3"/>
    <x v="2"/>
    <n v="143500"/>
    <n v="0.5"/>
  </r>
  <r>
    <d v="2023-03-14T00:00:00"/>
    <x v="2"/>
    <s v="Lucknow"/>
    <x v="4"/>
    <x v="4"/>
    <x v="0"/>
    <n v="77"/>
    <x v="4"/>
    <n v="32"/>
    <x v="177"/>
    <n v="144179200"/>
    <x v="1"/>
    <x v="1"/>
    <x v="0"/>
    <x v="0"/>
    <x v="2"/>
    <n v="3"/>
    <x v="2"/>
    <n v="4505600"/>
    <n v="14.42"/>
  </r>
  <r>
    <d v="2023-03-14T00:00:00"/>
    <x v="3"/>
    <s v="Nagpur"/>
    <x v="2"/>
    <x v="2"/>
    <x v="0"/>
    <n v="66"/>
    <x v="2"/>
    <n v="57"/>
    <x v="178"/>
    <n v="421121700"/>
    <x v="2"/>
    <x v="0"/>
    <x v="0"/>
    <x v="0"/>
    <x v="2"/>
    <n v="3"/>
    <x v="2"/>
    <n v="7388100"/>
    <n v="42.11"/>
  </r>
  <r>
    <d v="2023-03-14T00:00:00"/>
    <x v="2"/>
    <s v="Noida"/>
    <x v="1"/>
    <x v="21"/>
    <x v="0"/>
    <n v="3"/>
    <x v="19"/>
    <n v="95"/>
    <x v="179"/>
    <n v="11789500"/>
    <x v="0"/>
    <x v="2"/>
    <x v="0"/>
    <x v="0"/>
    <x v="2"/>
    <n v="3"/>
    <x v="2"/>
    <n v="124100"/>
    <n v="1.18"/>
  </r>
  <r>
    <d v="2023-03-14T00:00:00"/>
    <x v="13"/>
    <s v="Gwalior"/>
    <x v="11"/>
    <x v="23"/>
    <x v="0"/>
    <n v="59"/>
    <x v="20"/>
    <n v="28"/>
    <x v="180"/>
    <n v="83291600"/>
    <x v="1"/>
    <x v="2"/>
    <x v="0"/>
    <x v="0"/>
    <x v="2"/>
    <n v="3"/>
    <x v="2"/>
    <n v="2974700"/>
    <n v="8.33"/>
  </r>
  <r>
    <d v="2023-03-14T00:00:00"/>
    <x v="5"/>
    <s v="Bengaluru"/>
    <x v="14"/>
    <x v="16"/>
    <x v="0"/>
    <n v="3"/>
    <x v="15"/>
    <n v="179"/>
    <x v="181"/>
    <n v="26492000"/>
    <x v="1"/>
    <x v="0"/>
    <x v="0"/>
    <x v="0"/>
    <x v="2"/>
    <n v="3"/>
    <x v="2"/>
    <n v="148000"/>
    <n v="2.65"/>
  </r>
  <r>
    <d v="2023-03-14T00:00:00"/>
    <x v="8"/>
    <s v="Kolkata"/>
    <x v="9"/>
    <x v="10"/>
    <x v="0"/>
    <n v="25"/>
    <x v="10"/>
    <n v="32"/>
    <x v="182"/>
    <n v="35942400"/>
    <x v="1"/>
    <x v="1"/>
    <x v="0"/>
    <x v="0"/>
    <x v="2"/>
    <n v="3"/>
    <x v="2"/>
    <n v="1123200"/>
    <n v="3.59"/>
  </r>
  <r>
    <d v="2023-03-14T00:00:00"/>
    <x v="5"/>
    <s v="Hubballi"/>
    <x v="14"/>
    <x v="16"/>
    <x v="0"/>
    <n v="3"/>
    <x v="15"/>
    <n v="99"/>
    <x v="183"/>
    <n v="14226300"/>
    <x v="1"/>
    <x v="0"/>
    <x v="0"/>
    <x v="0"/>
    <x v="2"/>
    <n v="3"/>
    <x v="2"/>
    <n v="143700"/>
    <n v="1.42"/>
  </r>
  <r>
    <d v="2023-03-15T00:00:00"/>
    <x v="0"/>
    <s v="Warangal"/>
    <x v="4"/>
    <x v="4"/>
    <x v="0"/>
    <n v="77"/>
    <x v="4"/>
    <n v="50"/>
    <x v="184"/>
    <n v="249115000"/>
    <x v="1"/>
    <x v="2"/>
    <x v="0"/>
    <x v="0"/>
    <x v="2"/>
    <n v="3"/>
    <x v="2"/>
    <n v="4982300"/>
    <n v="24.91"/>
  </r>
  <r>
    <d v="2023-03-16T00:00:00"/>
    <x v="6"/>
    <s v="Surat"/>
    <x v="1"/>
    <x v="21"/>
    <x v="0"/>
    <n v="3"/>
    <x v="19"/>
    <n v="96"/>
    <x v="185"/>
    <n v="11270400"/>
    <x v="1"/>
    <x v="2"/>
    <x v="0"/>
    <x v="0"/>
    <x v="2"/>
    <n v="3"/>
    <x v="2"/>
    <n v="117400"/>
    <n v="1.1299999999999999"/>
  </r>
  <r>
    <d v="2023-03-16T00:00:00"/>
    <x v="1"/>
    <s v="Saket"/>
    <x v="12"/>
    <x v="18"/>
    <x v="0"/>
    <n v="60"/>
    <x v="16"/>
    <n v="56"/>
    <x v="186"/>
    <n v="195490400"/>
    <x v="1"/>
    <x v="0"/>
    <x v="0"/>
    <x v="0"/>
    <x v="2"/>
    <n v="3"/>
    <x v="2"/>
    <n v="3490900"/>
    <n v="19.55"/>
  </r>
  <r>
    <d v="2023-03-17T00:00:00"/>
    <x v="12"/>
    <s v="Gurugram"/>
    <x v="12"/>
    <x v="18"/>
    <x v="0"/>
    <n v="60"/>
    <x v="16"/>
    <n v="43"/>
    <x v="187"/>
    <n v="121066500"/>
    <x v="1"/>
    <x v="0"/>
    <x v="0"/>
    <x v="0"/>
    <x v="2"/>
    <n v="3"/>
    <x v="2"/>
    <n v="2815500"/>
    <n v="12.11"/>
  </r>
  <r>
    <d v="2023-03-17T00:00:00"/>
    <x v="1"/>
    <s v="Saket"/>
    <x v="14"/>
    <x v="16"/>
    <x v="0"/>
    <n v="3"/>
    <x v="15"/>
    <n v="16"/>
    <x v="188"/>
    <n v="2696000"/>
    <x v="1"/>
    <x v="2"/>
    <x v="0"/>
    <x v="0"/>
    <x v="2"/>
    <n v="3"/>
    <x v="2"/>
    <n v="168500"/>
    <n v="0.27"/>
  </r>
  <r>
    <d v="2023-03-17T00:00:00"/>
    <x v="8"/>
    <s v="Kolkata"/>
    <x v="4"/>
    <x v="4"/>
    <x v="0"/>
    <n v="77"/>
    <x v="4"/>
    <n v="66"/>
    <x v="189"/>
    <n v="305956200"/>
    <x v="1"/>
    <x v="0"/>
    <x v="0"/>
    <x v="0"/>
    <x v="2"/>
    <n v="3"/>
    <x v="2"/>
    <n v="4635700"/>
    <n v="30.6"/>
  </r>
  <r>
    <d v="2023-03-17T00:00:00"/>
    <x v="2"/>
    <s v="Lucknow"/>
    <x v="15"/>
    <x v="17"/>
    <x v="0"/>
    <n v="5"/>
    <x v="15"/>
    <n v="137"/>
    <x v="190"/>
    <n v="25687500"/>
    <x v="1"/>
    <x v="0"/>
    <x v="0"/>
    <x v="0"/>
    <x v="2"/>
    <n v="3"/>
    <x v="2"/>
    <n v="187500"/>
    <n v="2.57"/>
  </r>
  <r>
    <d v="2023-03-17T00:00:00"/>
    <x v="8"/>
    <s v="Siliguri"/>
    <x v="12"/>
    <x v="18"/>
    <x v="0"/>
    <n v="60"/>
    <x v="16"/>
    <n v="57"/>
    <x v="191"/>
    <n v="164427900"/>
    <x v="1"/>
    <x v="0"/>
    <x v="0"/>
    <x v="0"/>
    <x v="2"/>
    <n v="3"/>
    <x v="2"/>
    <n v="2884700"/>
    <n v="16.440000000000001"/>
  </r>
  <r>
    <d v="2023-03-17T00:00:00"/>
    <x v="3"/>
    <s v="Mumbai"/>
    <x v="6"/>
    <x v="6"/>
    <x v="0"/>
    <n v="72"/>
    <x v="6"/>
    <n v="151"/>
    <x v="192"/>
    <n v="854554300"/>
    <x v="1"/>
    <x v="3"/>
    <x v="0"/>
    <x v="0"/>
    <x v="2"/>
    <n v="3"/>
    <x v="2"/>
    <n v="5659300"/>
    <n v="85.46"/>
  </r>
  <r>
    <d v="2023-03-17T00:00:00"/>
    <x v="3"/>
    <s v="Nashik"/>
    <x v="8"/>
    <x v="20"/>
    <x v="1"/>
    <n v="84"/>
    <x v="18"/>
    <n v="36"/>
    <x v="193"/>
    <n v="257108400"/>
    <x v="1"/>
    <x v="0"/>
    <x v="0"/>
    <x v="0"/>
    <x v="2"/>
    <n v="3"/>
    <x v="2"/>
    <n v="7141900"/>
    <n v="25.71"/>
  </r>
  <r>
    <d v="2023-03-18T00:00:00"/>
    <x v="1"/>
    <s v="Saket"/>
    <x v="4"/>
    <x v="4"/>
    <x v="0"/>
    <n v="77"/>
    <x v="4"/>
    <n v="41"/>
    <x v="194"/>
    <n v="234130500"/>
    <x v="1"/>
    <x v="0"/>
    <x v="0"/>
    <x v="0"/>
    <x v="2"/>
    <n v="3"/>
    <x v="2"/>
    <n v="5710500"/>
    <n v="23.41"/>
  </r>
  <r>
    <d v="2023-03-18T00:00:00"/>
    <x v="10"/>
    <s v="Kochi"/>
    <x v="6"/>
    <x v="13"/>
    <x v="1"/>
    <n v="48"/>
    <x v="12"/>
    <n v="98"/>
    <x v="195"/>
    <n v="192570000"/>
    <x v="1"/>
    <x v="0"/>
    <x v="0"/>
    <x v="0"/>
    <x v="2"/>
    <n v="3"/>
    <x v="2"/>
    <n v="1965000"/>
    <n v="19.260000000000002"/>
  </r>
  <r>
    <d v="2023-03-18T00:00:00"/>
    <x v="11"/>
    <s v="Madurai"/>
    <x v="11"/>
    <x v="23"/>
    <x v="0"/>
    <n v="59"/>
    <x v="20"/>
    <n v="120"/>
    <x v="196"/>
    <n v="353760000"/>
    <x v="0"/>
    <x v="2"/>
    <x v="0"/>
    <x v="0"/>
    <x v="2"/>
    <n v="3"/>
    <x v="2"/>
    <n v="2948000"/>
    <n v="35.380000000000003"/>
  </r>
  <r>
    <d v="2023-03-18T00:00:00"/>
    <x v="10"/>
    <s v="Thiruvananthapuram"/>
    <x v="10"/>
    <x v="11"/>
    <x v="0"/>
    <n v="69"/>
    <x v="11"/>
    <n v="72"/>
    <x v="197"/>
    <n v="462448800"/>
    <x v="1"/>
    <x v="0"/>
    <x v="0"/>
    <x v="0"/>
    <x v="2"/>
    <n v="3"/>
    <x v="2"/>
    <n v="6422900"/>
    <n v="46.24"/>
  </r>
  <r>
    <d v="2023-03-19T00:00:00"/>
    <x v="8"/>
    <s v="Siliguri"/>
    <x v="0"/>
    <x v="0"/>
    <x v="0"/>
    <n v="82"/>
    <x v="0"/>
    <n v="57"/>
    <x v="198"/>
    <n v="443043900"/>
    <x v="1"/>
    <x v="1"/>
    <x v="0"/>
    <x v="0"/>
    <x v="2"/>
    <n v="3"/>
    <x v="2"/>
    <n v="7772700"/>
    <n v="44.3"/>
  </r>
  <r>
    <d v="2023-03-19T00:00:00"/>
    <x v="1"/>
    <s v="Saket"/>
    <x v="12"/>
    <x v="18"/>
    <x v="0"/>
    <n v="60"/>
    <x v="16"/>
    <n v="71"/>
    <x v="199"/>
    <n v="200347800"/>
    <x v="1"/>
    <x v="0"/>
    <x v="0"/>
    <x v="0"/>
    <x v="2"/>
    <n v="3"/>
    <x v="2"/>
    <n v="2821800"/>
    <n v="20.03"/>
  </r>
  <r>
    <d v="2023-03-20T00:00:00"/>
    <x v="13"/>
    <s v="Gwalior"/>
    <x v="15"/>
    <x v="17"/>
    <x v="0"/>
    <n v="5"/>
    <x v="15"/>
    <n v="134"/>
    <x v="200"/>
    <n v="20475200"/>
    <x v="1"/>
    <x v="3"/>
    <x v="0"/>
    <x v="0"/>
    <x v="2"/>
    <n v="3"/>
    <x v="2"/>
    <n v="152800"/>
    <n v="2.0499999999999998"/>
  </r>
  <r>
    <d v="2023-03-20T00:00:00"/>
    <x v="13"/>
    <s v="Bhopal"/>
    <x v="14"/>
    <x v="16"/>
    <x v="0"/>
    <n v="3"/>
    <x v="15"/>
    <n v="169"/>
    <x v="201"/>
    <n v="25350000"/>
    <x v="1"/>
    <x v="2"/>
    <x v="0"/>
    <x v="0"/>
    <x v="2"/>
    <n v="3"/>
    <x v="2"/>
    <n v="150000"/>
    <n v="2.54"/>
  </r>
  <r>
    <d v="2023-03-20T00:00:00"/>
    <x v="2"/>
    <s v="Kanpur"/>
    <x v="13"/>
    <x v="22"/>
    <x v="0"/>
    <n v="35"/>
    <x v="10"/>
    <n v="139"/>
    <x v="202"/>
    <n v="233937000"/>
    <x v="1"/>
    <x v="2"/>
    <x v="0"/>
    <x v="0"/>
    <x v="2"/>
    <n v="3"/>
    <x v="2"/>
    <n v="1683000"/>
    <n v="23.39"/>
  </r>
  <r>
    <d v="2023-03-20T00:00:00"/>
    <x v="6"/>
    <s v="Surat"/>
    <x v="10"/>
    <x v="11"/>
    <x v="0"/>
    <n v="69"/>
    <x v="11"/>
    <n v="53"/>
    <x v="203"/>
    <n v="342798700"/>
    <x v="0"/>
    <x v="0"/>
    <x v="0"/>
    <x v="0"/>
    <x v="2"/>
    <n v="3"/>
    <x v="2"/>
    <n v="6467900"/>
    <n v="34.28"/>
  </r>
  <r>
    <d v="2023-03-21T00:00:00"/>
    <x v="12"/>
    <s v="Panipat"/>
    <x v="13"/>
    <x v="15"/>
    <x v="0"/>
    <n v="40"/>
    <x v="14"/>
    <n v="154"/>
    <x v="204"/>
    <n v="338307200"/>
    <x v="1"/>
    <x v="0"/>
    <x v="0"/>
    <x v="0"/>
    <x v="2"/>
    <n v="3"/>
    <x v="2"/>
    <n v="2196800"/>
    <n v="33.83"/>
  </r>
  <r>
    <d v="2023-03-21T00:00:00"/>
    <x v="1"/>
    <s v="Dwarka"/>
    <x v="2"/>
    <x v="2"/>
    <x v="0"/>
    <n v="66"/>
    <x v="2"/>
    <n v="33"/>
    <x v="205"/>
    <n v="281427300"/>
    <x v="1"/>
    <x v="0"/>
    <x v="0"/>
    <x v="0"/>
    <x v="2"/>
    <n v="3"/>
    <x v="2"/>
    <n v="8528100"/>
    <n v="28.14"/>
  </r>
  <r>
    <d v="2023-03-22T00:00:00"/>
    <x v="8"/>
    <s v="Durgapur"/>
    <x v="13"/>
    <x v="22"/>
    <x v="0"/>
    <n v="35"/>
    <x v="10"/>
    <n v="110"/>
    <x v="206"/>
    <n v="176869000"/>
    <x v="1"/>
    <x v="2"/>
    <x v="0"/>
    <x v="0"/>
    <x v="2"/>
    <n v="3"/>
    <x v="2"/>
    <n v="1607900"/>
    <n v="17.690000000000001"/>
  </r>
  <r>
    <d v="2023-03-22T00:00:00"/>
    <x v="13"/>
    <s v="Indore"/>
    <x v="2"/>
    <x v="2"/>
    <x v="0"/>
    <n v="66"/>
    <x v="2"/>
    <n v="27"/>
    <x v="207"/>
    <n v="199962000"/>
    <x v="0"/>
    <x v="0"/>
    <x v="0"/>
    <x v="0"/>
    <x v="2"/>
    <n v="3"/>
    <x v="2"/>
    <n v="7406000"/>
    <n v="20"/>
  </r>
  <r>
    <d v="2023-03-22T00:00:00"/>
    <x v="10"/>
    <s v="Kozhikode"/>
    <x v="11"/>
    <x v="12"/>
    <x v="0"/>
    <n v="40"/>
    <x v="12"/>
    <n v="142"/>
    <x v="208"/>
    <n v="313791600"/>
    <x v="1"/>
    <x v="0"/>
    <x v="0"/>
    <x v="0"/>
    <x v="2"/>
    <n v="3"/>
    <x v="2"/>
    <n v="2209800"/>
    <n v="31.38"/>
  </r>
  <r>
    <d v="2023-03-23T00:00:00"/>
    <x v="14"/>
    <s v="Jaipur"/>
    <x v="10"/>
    <x v="11"/>
    <x v="0"/>
    <n v="69"/>
    <x v="11"/>
    <n v="51"/>
    <x v="209"/>
    <n v="263568000"/>
    <x v="1"/>
    <x v="0"/>
    <x v="0"/>
    <x v="0"/>
    <x v="2"/>
    <n v="3"/>
    <x v="2"/>
    <n v="5168000"/>
    <n v="26.36"/>
  </r>
  <r>
    <d v="2023-03-23T00:00:00"/>
    <x v="12"/>
    <s v="Panipat"/>
    <x v="13"/>
    <x v="22"/>
    <x v="0"/>
    <n v="35"/>
    <x v="10"/>
    <n v="83"/>
    <x v="210"/>
    <n v="158148200"/>
    <x v="1"/>
    <x v="1"/>
    <x v="0"/>
    <x v="0"/>
    <x v="2"/>
    <n v="3"/>
    <x v="2"/>
    <n v="1905400"/>
    <n v="15.81"/>
  </r>
  <r>
    <d v="2023-03-23T00:00:00"/>
    <x v="6"/>
    <s v="Rajkot"/>
    <x v="10"/>
    <x v="11"/>
    <x v="0"/>
    <n v="69"/>
    <x v="11"/>
    <n v="46"/>
    <x v="211"/>
    <n v="261583600"/>
    <x v="1"/>
    <x v="2"/>
    <x v="0"/>
    <x v="0"/>
    <x v="2"/>
    <n v="3"/>
    <x v="2"/>
    <n v="5686600"/>
    <n v="26.16"/>
  </r>
  <r>
    <d v="2023-03-23T00:00:00"/>
    <x v="1"/>
    <s v="New Delhi"/>
    <x v="0"/>
    <x v="0"/>
    <x v="2"/>
    <n v="82"/>
    <x v="0"/>
    <n v="51"/>
    <x v="212"/>
    <n v="307244400"/>
    <x v="1"/>
    <x v="2"/>
    <x v="0"/>
    <x v="0"/>
    <x v="2"/>
    <n v="3"/>
    <x v="2"/>
    <n v="6024400"/>
    <n v="30.72"/>
  </r>
  <r>
    <d v="2023-03-24T00:00:00"/>
    <x v="12"/>
    <s v="Panipat"/>
    <x v="2"/>
    <x v="2"/>
    <x v="0"/>
    <n v="66"/>
    <x v="2"/>
    <n v="24"/>
    <x v="213"/>
    <n v="213828000"/>
    <x v="1"/>
    <x v="0"/>
    <x v="0"/>
    <x v="0"/>
    <x v="2"/>
    <n v="3"/>
    <x v="2"/>
    <n v="8909500"/>
    <n v="21.38"/>
  </r>
  <r>
    <d v="2023-03-25T00:00:00"/>
    <x v="11"/>
    <s v="Coimbatore"/>
    <x v="4"/>
    <x v="4"/>
    <x v="0"/>
    <n v="77"/>
    <x v="4"/>
    <n v="28"/>
    <x v="214"/>
    <n v="157015600"/>
    <x v="1"/>
    <x v="0"/>
    <x v="0"/>
    <x v="0"/>
    <x v="2"/>
    <n v="3"/>
    <x v="2"/>
    <n v="5607700"/>
    <n v="15.7"/>
  </r>
  <r>
    <d v="2023-03-25T00:00:00"/>
    <x v="10"/>
    <s v="Thiruvananthapuram"/>
    <x v="14"/>
    <x v="16"/>
    <x v="0"/>
    <n v="3"/>
    <x v="15"/>
    <n v="144"/>
    <x v="215"/>
    <n v="19324800"/>
    <x v="0"/>
    <x v="0"/>
    <x v="0"/>
    <x v="0"/>
    <x v="2"/>
    <n v="3"/>
    <x v="2"/>
    <n v="134200"/>
    <n v="1.93"/>
  </r>
  <r>
    <d v="2023-03-26T00:00:00"/>
    <x v="7"/>
    <s v="Vijayawada"/>
    <x v="1"/>
    <x v="21"/>
    <x v="0"/>
    <n v="3"/>
    <x v="19"/>
    <n v="165"/>
    <x v="216"/>
    <n v="20773500"/>
    <x v="1"/>
    <x v="0"/>
    <x v="0"/>
    <x v="0"/>
    <x v="2"/>
    <n v="3"/>
    <x v="2"/>
    <n v="125900"/>
    <n v="2.08"/>
  </r>
  <r>
    <d v="2023-03-26T00:00:00"/>
    <x v="2"/>
    <s v="Kanpur"/>
    <x v="9"/>
    <x v="10"/>
    <x v="2"/>
    <n v="25"/>
    <x v="10"/>
    <n v="121"/>
    <x v="217"/>
    <n v="131345500"/>
    <x v="1"/>
    <x v="0"/>
    <x v="0"/>
    <x v="0"/>
    <x v="2"/>
    <n v="3"/>
    <x v="2"/>
    <n v="1085500"/>
    <n v="13.13"/>
  </r>
  <r>
    <d v="2023-03-27T00:00:00"/>
    <x v="2"/>
    <s v="Lucknow"/>
    <x v="15"/>
    <x v="17"/>
    <x v="0"/>
    <n v="5"/>
    <x v="15"/>
    <n v="22"/>
    <x v="218"/>
    <n v="3337400"/>
    <x v="1"/>
    <x v="2"/>
    <x v="0"/>
    <x v="0"/>
    <x v="2"/>
    <n v="3"/>
    <x v="2"/>
    <n v="151700"/>
    <n v="0.33"/>
  </r>
  <r>
    <d v="2023-03-27T00:00:00"/>
    <x v="5"/>
    <s v="Hubballi"/>
    <x v="5"/>
    <x v="5"/>
    <x v="3"/>
    <n v="30"/>
    <x v="5"/>
    <n v="45"/>
    <x v="219"/>
    <n v="67887000"/>
    <x v="1"/>
    <x v="0"/>
    <x v="0"/>
    <x v="0"/>
    <x v="2"/>
    <n v="3"/>
    <x v="2"/>
    <n v="1508600"/>
    <n v="6.79"/>
  </r>
  <r>
    <d v="2023-03-28T00:00:00"/>
    <x v="2"/>
    <s v="Kanpur"/>
    <x v="7"/>
    <x v="7"/>
    <x v="0"/>
    <n v="3"/>
    <x v="7"/>
    <n v="150"/>
    <x v="220"/>
    <n v="28350000"/>
    <x v="0"/>
    <x v="0"/>
    <x v="0"/>
    <x v="0"/>
    <x v="2"/>
    <n v="3"/>
    <x v="2"/>
    <n v="189000"/>
    <n v="2.84"/>
  </r>
  <r>
    <d v="2023-03-28T00:00:00"/>
    <x v="4"/>
    <s v="Ludhiana"/>
    <x v="9"/>
    <x v="9"/>
    <x v="0"/>
    <n v="50"/>
    <x v="9"/>
    <n v="115"/>
    <x v="221"/>
    <n v="264569000"/>
    <x v="1"/>
    <x v="0"/>
    <x v="0"/>
    <x v="0"/>
    <x v="2"/>
    <n v="3"/>
    <x v="2"/>
    <n v="2300600"/>
    <n v="26.46"/>
  </r>
  <r>
    <d v="2023-03-28T00:00:00"/>
    <x v="5"/>
    <s v="Mysuru"/>
    <x v="12"/>
    <x v="14"/>
    <x v="0"/>
    <n v="82"/>
    <x v="13"/>
    <n v="61"/>
    <x v="222"/>
    <n v="338470700"/>
    <x v="1"/>
    <x v="0"/>
    <x v="0"/>
    <x v="0"/>
    <x v="2"/>
    <n v="3"/>
    <x v="2"/>
    <n v="5548700"/>
    <n v="33.85"/>
  </r>
  <r>
    <d v="2023-03-29T00:00:00"/>
    <x v="14"/>
    <s v="Jaipur"/>
    <x v="2"/>
    <x v="2"/>
    <x v="0"/>
    <n v="66"/>
    <x v="2"/>
    <n v="9"/>
    <x v="223"/>
    <n v="68498100"/>
    <x v="0"/>
    <x v="2"/>
    <x v="0"/>
    <x v="0"/>
    <x v="2"/>
    <n v="3"/>
    <x v="2"/>
    <n v="7610900"/>
    <n v="6.85"/>
  </r>
  <r>
    <d v="2023-03-29T00:00:00"/>
    <x v="1"/>
    <s v="Saket"/>
    <x v="12"/>
    <x v="14"/>
    <x v="0"/>
    <n v="82"/>
    <x v="13"/>
    <n v="49"/>
    <x v="224"/>
    <n v="255848600"/>
    <x v="1"/>
    <x v="0"/>
    <x v="0"/>
    <x v="0"/>
    <x v="2"/>
    <n v="3"/>
    <x v="2"/>
    <n v="5221400"/>
    <n v="25.58"/>
  </r>
  <r>
    <d v="2023-03-29T00:00:00"/>
    <x v="1"/>
    <s v="Rohini"/>
    <x v="8"/>
    <x v="8"/>
    <x v="2"/>
    <n v="66"/>
    <x v="8"/>
    <n v="7"/>
    <x v="225"/>
    <n v="37003400"/>
    <x v="1"/>
    <x v="0"/>
    <x v="0"/>
    <x v="0"/>
    <x v="2"/>
    <n v="3"/>
    <x v="2"/>
    <n v="5286200"/>
    <n v="3.7"/>
  </r>
  <r>
    <d v="2023-03-29T00:00:00"/>
    <x v="2"/>
    <s v="Noida"/>
    <x v="2"/>
    <x v="2"/>
    <x v="1"/>
    <n v="66"/>
    <x v="2"/>
    <n v="24"/>
    <x v="226"/>
    <n v="208785600"/>
    <x v="1"/>
    <x v="2"/>
    <x v="0"/>
    <x v="0"/>
    <x v="2"/>
    <n v="3"/>
    <x v="2"/>
    <n v="8699400"/>
    <n v="20.88"/>
  </r>
  <r>
    <d v="2023-03-29T00:00:00"/>
    <x v="6"/>
    <s v="Vadodara"/>
    <x v="11"/>
    <x v="12"/>
    <x v="1"/>
    <n v="40"/>
    <x v="12"/>
    <n v="59"/>
    <x v="227"/>
    <n v="150202200"/>
    <x v="1"/>
    <x v="0"/>
    <x v="0"/>
    <x v="0"/>
    <x v="2"/>
    <n v="3"/>
    <x v="2"/>
    <n v="2545800"/>
    <n v="15.02"/>
  </r>
  <r>
    <d v="2023-03-30T00:00:00"/>
    <x v="4"/>
    <s v="Amritsar"/>
    <x v="1"/>
    <x v="21"/>
    <x v="0"/>
    <n v="3"/>
    <x v="19"/>
    <n v="175"/>
    <x v="228"/>
    <n v="18060000"/>
    <x v="1"/>
    <x v="0"/>
    <x v="0"/>
    <x v="0"/>
    <x v="2"/>
    <n v="3"/>
    <x v="2"/>
    <n v="103200"/>
    <n v="1.81"/>
  </r>
  <r>
    <d v="2023-03-30T00:00:00"/>
    <x v="10"/>
    <s v="Thiruvananthapuram"/>
    <x v="6"/>
    <x v="6"/>
    <x v="0"/>
    <n v="72"/>
    <x v="6"/>
    <n v="19"/>
    <x v="229"/>
    <n v="96660600"/>
    <x v="0"/>
    <x v="1"/>
    <x v="0"/>
    <x v="0"/>
    <x v="2"/>
    <n v="3"/>
    <x v="2"/>
    <n v="5087400"/>
    <n v="9.67"/>
  </r>
  <r>
    <d v="2023-03-30T00:00:00"/>
    <x v="12"/>
    <s v="Gurugram"/>
    <x v="0"/>
    <x v="0"/>
    <x v="1"/>
    <n v="82"/>
    <x v="0"/>
    <n v="3"/>
    <x v="230"/>
    <n v="17522100"/>
    <x v="1"/>
    <x v="0"/>
    <x v="0"/>
    <x v="0"/>
    <x v="2"/>
    <n v="3"/>
    <x v="2"/>
    <n v="5840700"/>
    <n v="1.75"/>
  </r>
  <r>
    <d v="2023-03-30T00:00:00"/>
    <x v="0"/>
    <s v="Hyderabad"/>
    <x v="7"/>
    <x v="7"/>
    <x v="0"/>
    <n v="3"/>
    <x v="7"/>
    <n v="20"/>
    <x v="231"/>
    <n v="3660000"/>
    <x v="0"/>
    <x v="0"/>
    <x v="0"/>
    <x v="0"/>
    <x v="2"/>
    <n v="3"/>
    <x v="2"/>
    <n v="183000"/>
    <n v="0.37"/>
  </r>
  <r>
    <d v="2023-03-31T00:00:00"/>
    <x v="6"/>
    <s v="Ahmedabad"/>
    <x v="5"/>
    <x v="5"/>
    <x v="0"/>
    <n v="30"/>
    <x v="5"/>
    <n v="28"/>
    <x v="232"/>
    <n v="46065600"/>
    <x v="1"/>
    <x v="0"/>
    <x v="0"/>
    <x v="0"/>
    <x v="2"/>
    <n v="3"/>
    <x v="2"/>
    <n v="1645200"/>
    <n v="4.6100000000000003"/>
  </r>
  <r>
    <d v="2023-03-31T00:00:00"/>
    <x v="11"/>
    <s v="Chennai"/>
    <x v="10"/>
    <x v="11"/>
    <x v="0"/>
    <n v="69"/>
    <x v="11"/>
    <n v="79"/>
    <x v="233"/>
    <n v="509968700"/>
    <x v="1"/>
    <x v="0"/>
    <x v="0"/>
    <x v="0"/>
    <x v="2"/>
    <n v="3"/>
    <x v="2"/>
    <n v="6455300"/>
    <n v="51"/>
  </r>
  <r>
    <d v="2023-03-31T00:00:00"/>
    <x v="11"/>
    <s v="Coimbatore"/>
    <x v="1"/>
    <x v="21"/>
    <x v="0"/>
    <n v="3"/>
    <x v="19"/>
    <n v="139"/>
    <x v="234"/>
    <n v="16693900"/>
    <x v="1"/>
    <x v="3"/>
    <x v="0"/>
    <x v="0"/>
    <x v="2"/>
    <n v="3"/>
    <x v="2"/>
    <n v="120100"/>
    <n v="1.67"/>
  </r>
  <r>
    <d v="2023-04-01T00:00:00"/>
    <x v="5"/>
    <s v="Mangaluru"/>
    <x v="1"/>
    <x v="21"/>
    <x v="0"/>
    <n v="3"/>
    <x v="19"/>
    <n v="53"/>
    <x v="235"/>
    <n v="5755800"/>
    <x v="1"/>
    <x v="3"/>
    <x v="0"/>
    <x v="1"/>
    <x v="3"/>
    <n v="4"/>
    <x v="3"/>
    <n v="108600"/>
    <n v="0.57999999999999996"/>
  </r>
  <r>
    <d v="2023-04-01T00:00:00"/>
    <x v="4"/>
    <s v="Ludhiana"/>
    <x v="15"/>
    <x v="17"/>
    <x v="0"/>
    <n v="5"/>
    <x v="15"/>
    <n v="113"/>
    <x v="236"/>
    <n v="20758100"/>
    <x v="1"/>
    <x v="1"/>
    <x v="0"/>
    <x v="1"/>
    <x v="3"/>
    <n v="4"/>
    <x v="3"/>
    <n v="183700"/>
    <n v="2.08"/>
  </r>
  <r>
    <d v="2023-04-01T00:00:00"/>
    <x v="5"/>
    <s v="Hubballi"/>
    <x v="11"/>
    <x v="12"/>
    <x v="2"/>
    <n v="40"/>
    <x v="12"/>
    <n v="150"/>
    <x v="237"/>
    <n v="322140000"/>
    <x v="1"/>
    <x v="2"/>
    <x v="0"/>
    <x v="1"/>
    <x v="3"/>
    <n v="4"/>
    <x v="3"/>
    <n v="2147600"/>
    <n v="32.21"/>
  </r>
  <r>
    <d v="2023-04-02T00:00:00"/>
    <x v="6"/>
    <s v="Rajkot"/>
    <x v="8"/>
    <x v="20"/>
    <x v="0"/>
    <n v="84"/>
    <x v="18"/>
    <n v="49"/>
    <x v="238"/>
    <n v="381729600"/>
    <x v="1"/>
    <x v="0"/>
    <x v="0"/>
    <x v="1"/>
    <x v="3"/>
    <n v="4"/>
    <x v="3"/>
    <n v="7790400"/>
    <n v="38.17"/>
  </r>
  <r>
    <d v="2023-04-03T00:00:00"/>
    <x v="2"/>
    <s v="Lucknow"/>
    <x v="13"/>
    <x v="22"/>
    <x v="0"/>
    <n v="35"/>
    <x v="10"/>
    <n v="75"/>
    <x v="239"/>
    <n v="136342500"/>
    <x v="1"/>
    <x v="2"/>
    <x v="0"/>
    <x v="1"/>
    <x v="3"/>
    <n v="4"/>
    <x v="3"/>
    <n v="1817900"/>
    <n v="13.63"/>
  </r>
  <r>
    <d v="2023-04-03T00:00:00"/>
    <x v="13"/>
    <s v="Bhopal"/>
    <x v="7"/>
    <x v="7"/>
    <x v="0"/>
    <n v="3"/>
    <x v="7"/>
    <n v="111"/>
    <x v="240"/>
    <n v="20446200"/>
    <x v="1"/>
    <x v="2"/>
    <x v="0"/>
    <x v="1"/>
    <x v="3"/>
    <n v="4"/>
    <x v="3"/>
    <n v="184200"/>
    <n v="2.04"/>
  </r>
  <r>
    <d v="2023-04-03T00:00:00"/>
    <x v="11"/>
    <s v="Chennai"/>
    <x v="3"/>
    <x v="3"/>
    <x v="0"/>
    <n v="3"/>
    <x v="3"/>
    <n v="73"/>
    <x v="241"/>
    <n v="9336700"/>
    <x v="0"/>
    <x v="0"/>
    <x v="0"/>
    <x v="1"/>
    <x v="3"/>
    <n v="4"/>
    <x v="3"/>
    <n v="127900"/>
    <n v="0.93"/>
  </r>
  <r>
    <d v="2023-04-03T00:00:00"/>
    <x v="1"/>
    <s v="Saket"/>
    <x v="0"/>
    <x v="0"/>
    <x v="0"/>
    <n v="82"/>
    <x v="0"/>
    <n v="66"/>
    <x v="242"/>
    <n v="504391800"/>
    <x v="0"/>
    <x v="0"/>
    <x v="0"/>
    <x v="1"/>
    <x v="3"/>
    <n v="4"/>
    <x v="3"/>
    <n v="7642300"/>
    <n v="50.44"/>
  </r>
  <r>
    <d v="2023-04-03T00:00:00"/>
    <x v="6"/>
    <s v="Vadodara"/>
    <x v="3"/>
    <x v="3"/>
    <x v="0"/>
    <n v="3"/>
    <x v="3"/>
    <n v="44"/>
    <x v="243"/>
    <n v="5781600"/>
    <x v="0"/>
    <x v="1"/>
    <x v="0"/>
    <x v="1"/>
    <x v="3"/>
    <n v="4"/>
    <x v="3"/>
    <n v="131400"/>
    <n v="0.57999999999999996"/>
  </r>
  <r>
    <d v="2023-04-04T00:00:00"/>
    <x v="5"/>
    <s v="Mysuru"/>
    <x v="12"/>
    <x v="14"/>
    <x v="2"/>
    <n v="82"/>
    <x v="13"/>
    <n v="23"/>
    <x v="244"/>
    <n v="131035600"/>
    <x v="0"/>
    <x v="0"/>
    <x v="0"/>
    <x v="1"/>
    <x v="3"/>
    <n v="4"/>
    <x v="3"/>
    <n v="5697200"/>
    <n v="13.1"/>
  </r>
  <r>
    <d v="2023-04-04T00:00:00"/>
    <x v="12"/>
    <s v="Hisar"/>
    <x v="5"/>
    <x v="5"/>
    <x v="0"/>
    <n v="30"/>
    <x v="5"/>
    <n v="77"/>
    <x v="245"/>
    <n v="106013600"/>
    <x v="0"/>
    <x v="2"/>
    <x v="0"/>
    <x v="1"/>
    <x v="3"/>
    <n v="4"/>
    <x v="3"/>
    <n v="1376800"/>
    <n v="10.6"/>
  </r>
  <r>
    <d v="2023-04-04T00:00:00"/>
    <x v="10"/>
    <s v="Kozhikode"/>
    <x v="6"/>
    <x v="13"/>
    <x v="0"/>
    <n v="48"/>
    <x v="12"/>
    <n v="94"/>
    <x v="246"/>
    <n v="214254200"/>
    <x v="1"/>
    <x v="0"/>
    <x v="0"/>
    <x v="1"/>
    <x v="3"/>
    <n v="4"/>
    <x v="3"/>
    <n v="2279300"/>
    <n v="21.43"/>
  </r>
  <r>
    <d v="2023-04-04T00:00:00"/>
    <x v="1"/>
    <s v="Rohini"/>
    <x v="12"/>
    <x v="18"/>
    <x v="0"/>
    <n v="60"/>
    <x v="16"/>
    <n v="77"/>
    <x v="247"/>
    <n v="274327900"/>
    <x v="1"/>
    <x v="2"/>
    <x v="0"/>
    <x v="1"/>
    <x v="3"/>
    <n v="4"/>
    <x v="3"/>
    <n v="3562700"/>
    <n v="27.43"/>
  </r>
  <r>
    <d v="2023-04-05T00:00:00"/>
    <x v="3"/>
    <s v="Nashik"/>
    <x v="7"/>
    <x v="7"/>
    <x v="0"/>
    <n v="3"/>
    <x v="7"/>
    <n v="90"/>
    <x v="248"/>
    <n v="12672000"/>
    <x v="1"/>
    <x v="2"/>
    <x v="0"/>
    <x v="1"/>
    <x v="3"/>
    <n v="4"/>
    <x v="3"/>
    <n v="140800"/>
    <n v="1.27"/>
  </r>
  <r>
    <d v="2023-04-05T00:00:00"/>
    <x v="6"/>
    <s v="Ahmedabad"/>
    <x v="0"/>
    <x v="0"/>
    <x v="0"/>
    <n v="82"/>
    <x v="0"/>
    <n v="6"/>
    <x v="249"/>
    <n v="42490200"/>
    <x v="1"/>
    <x v="1"/>
    <x v="0"/>
    <x v="1"/>
    <x v="3"/>
    <n v="4"/>
    <x v="3"/>
    <n v="7081700"/>
    <n v="4.25"/>
  </r>
  <r>
    <d v="2023-04-05T00:00:00"/>
    <x v="5"/>
    <s v="Bengaluru"/>
    <x v="1"/>
    <x v="21"/>
    <x v="0"/>
    <n v="3"/>
    <x v="19"/>
    <n v="15"/>
    <x v="136"/>
    <n v="1441500"/>
    <x v="1"/>
    <x v="2"/>
    <x v="0"/>
    <x v="1"/>
    <x v="3"/>
    <n v="4"/>
    <x v="3"/>
    <n v="96100"/>
    <n v="0.14000000000000001"/>
  </r>
  <r>
    <d v="2023-04-05T00:00:00"/>
    <x v="14"/>
    <s v="Udaipur"/>
    <x v="14"/>
    <x v="16"/>
    <x v="0"/>
    <n v="3"/>
    <x v="15"/>
    <n v="23"/>
    <x v="250"/>
    <n v="3079700"/>
    <x v="0"/>
    <x v="2"/>
    <x v="0"/>
    <x v="1"/>
    <x v="3"/>
    <n v="4"/>
    <x v="3"/>
    <n v="133900"/>
    <n v="0.31"/>
  </r>
  <r>
    <d v="2023-04-06T00:00:00"/>
    <x v="5"/>
    <s v="Mysuru"/>
    <x v="3"/>
    <x v="3"/>
    <x v="0"/>
    <n v="3"/>
    <x v="3"/>
    <n v="41"/>
    <x v="251"/>
    <n v="4227100"/>
    <x v="0"/>
    <x v="0"/>
    <x v="0"/>
    <x v="1"/>
    <x v="3"/>
    <n v="4"/>
    <x v="3"/>
    <n v="103100"/>
    <n v="0.42"/>
  </r>
  <r>
    <d v="2023-04-06T00:00:00"/>
    <x v="0"/>
    <s v="Hyderabad"/>
    <x v="13"/>
    <x v="19"/>
    <x v="2"/>
    <n v="24"/>
    <x v="17"/>
    <n v="17"/>
    <x v="252"/>
    <n v="25357200"/>
    <x v="1"/>
    <x v="0"/>
    <x v="0"/>
    <x v="1"/>
    <x v="3"/>
    <n v="4"/>
    <x v="3"/>
    <n v="1491600"/>
    <n v="2.54"/>
  </r>
  <r>
    <d v="2023-04-07T00:00:00"/>
    <x v="5"/>
    <s v="Hubballi"/>
    <x v="8"/>
    <x v="20"/>
    <x v="0"/>
    <n v="84"/>
    <x v="18"/>
    <n v="25"/>
    <x v="253"/>
    <n v="195647500"/>
    <x v="1"/>
    <x v="0"/>
    <x v="0"/>
    <x v="1"/>
    <x v="3"/>
    <n v="4"/>
    <x v="3"/>
    <n v="7825900"/>
    <n v="19.559999999999999"/>
  </r>
  <r>
    <d v="2023-04-07T00:00:00"/>
    <x v="6"/>
    <s v="Ahmedabad"/>
    <x v="4"/>
    <x v="4"/>
    <x v="0"/>
    <n v="77"/>
    <x v="4"/>
    <n v="70"/>
    <x v="254"/>
    <n v="306831000"/>
    <x v="1"/>
    <x v="0"/>
    <x v="0"/>
    <x v="1"/>
    <x v="3"/>
    <n v="4"/>
    <x v="3"/>
    <n v="4383300"/>
    <n v="30.68"/>
  </r>
  <r>
    <d v="2023-04-07T00:00:00"/>
    <x v="2"/>
    <s v="Kanpur"/>
    <x v="0"/>
    <x v="0"/>
    <x v="0"/>
    <n v="82"/>
    <x v="0"/>
    <n v="8"/>
    <x v="255"/>
    <n v="52099200"/>
    <x v="1"/>
    <x v="0"/>
    <x v="0"/>
    <x v="1"/>
    <x v="3"/>
    <n v="4"/>
    <x v="3"/>
    <n v="6512400"/>
    <n v="5.21"/>
  </r>
  <r>
    <d v="2023-04-07T00:00:00"/>
    <x v="14"/>
    <s v="Jaipur"/>
    <x v="6"/>
    <x v="6"/>
    <x v="2"/>
    <n v="72"/>
    <x v="6"/>
    <n v="36"/>
    <x v="256"/>
    <n v="165150000"/>
    <x v="1"/>
    <x v="2"/>
    <x v="0"/>
    <x v="1"/>
    <x v="3"/>
    <n v="4"/>
    <x v="3"/>
    <n v="4587500"/>
    <n v="16.52"/>
  </r>
  <r>
    <d v="2023-04-07T00:00:00"/>
    <x v="3"/>
    <s v="Nashik"/>
    <x v="3"/>
    <x v="3"/>
    <x v="0"/>
    <n v="3"/>
    <x v="3"/>
    <n v="38"/>
    <x v="257"/>
    <n v="4932400"/>
    <x v="1"/>
    <x v="0"/>
    <x v="0"/>
    <x v="1"/>
    <x v="3"/>
    <n v="4"/>
    <x v="3"/>
    <n v="129800"/>
    <n v="0.49"/>
  </r>
  <r>
    <d v="2023-04-07T00:00:00"/>
    <x v="12"/>
    <s v="Hisar"/>
    <x v="12"/>
    <x v="14"/>
    <x v="0"/>
    <n v="82"/>
    <x v="13"/>
    <n v="75"/>
    <x v="258"/>
    <n v="337665000"/>
    <x v="1"/>
    <x v="0"/>
    <x v="0"/>
    <x v="1"/>
    <x v="3"/>
    <n v="4"/>
    <x v="3"/>
    <n v="4502200"/>
    <n v="33.770000000000003"/>
  </r>
  <r>
    <d v="2023-04-08T00:00:00"/>
    <x v="5"/>
    <s v="Mangaluru"/>
    <x v="0"/>
    <x v="0"/>
    <x v="2"/>
    <n v="82"/>
    <x v="0"/>
    <n v="59"/>
    <x v="259"/>
    <n v="348052800"/>
    <x v="1"/>
    <x v="1"/>
    <x v="0"/>
    <x v="1"/>
    <x v="3"/>
    <n v="4"/>
    <x v="3"/>
    <n v="5899200"/>
    <n v="34.81"/>
  </r>
  <r>
    <d v="2023-04-08T00:00:00"/>
    <x v="3"/>
    <s v="Nagpur"/>
    <x v="15"/>
    <x v="17"/>
    <x v="0"/>
    <n v="5"/>
    <x v="15"/>
    <n v="29"/>
    <x v="260"/>
    <n v="4303600"/>
    <x v="1"/>
    <x v="3"/>
    <x v="0"/>
    <x v="1"/>
    <x v="3"/>
    <n v="4"/>
    <x v="3"/>
    <n v="148400"/>
    <n v="0.43"/>
  </r>
  <r>
    <d v="2023-04-09T00:00:00"/>
    <x v="14"/>
    <s v="Udaipur"/>
    <x v="12"/>
    <x v="14"/>
    <x v="1"/>
    <n v="82"/>
    <x v="13"/>
    <n v="48"/>
    <x v="261"/>
    <n v="242990400"/>
    <x v="2"/>
    <x v="3"/>
    <x v="0"/>
    <x v="1"/>
    <x v="3"/>
    <n v="4"/>
    <x v="3"/>
    <n v="5062300"/>
    <n v="24.3"/>
  </r>
  <r>
    <d v="2023-04-09T00:00:00"/>
    <x v="1"/>
    <s v="New Delhi"/>
    <x v="8"/>
    <x v="20"/>
    <x v="0"/>
    <n v="84"/>
    <x v="18"/>
    <n v="26"/>
    <x v="262"/>
    <n v="195046800"/>
    <x v="1"/>
    <x v="1"/>
    <x v="0"/>
    <x v="1"/>
    <x v="3"/>
    <n v="4"/>
    <x v="3"/>
    <n v="7501800"/>
    <n v="19.5"/>
  </r>
  <r>
    <d v="2023-04-09T00:00:00"/>
    <x v="0"/>
    <s v="Hyderabad"/>
    <x v="4"/>
    <x v="4"/>
    <x v="1"/>
    <n v="77"/>
    <x v="4"/>
    <n v="67"/>
    <x v="263"/>
    <n v="383206500"/>
    <x v="1"/>
    <x v="3"/>
    <x v="0"/>
    <x v="1"/>
    <x v="3"/>
    <n v="4"/>
    <x v="3"/>
    <n v="5719500"/>
    <n v="38.32"/>
  </r>
  <r>
    <d v="2023-04-09T00:00:00"/>
    <x v="6"/>
    <s v="Surat"/>
    <x v="12"/>
    <x v="18"/>
    <x v="0"/>
    <n v="60"/>
    <x v="16"/>
    <n v="64"/>
    <x v="264"/>
    <n v="208147200"/>
    <x v="0"/>
    <x v="2"/>
    <x v="0"/>
    <x v="1"/>
    <x v="3"/>
    <n v="4"/>
    <x v="3"/>
    <n v="3252300"/>
    <n v="20.81"/>
  </r>
  <r>
    <d v="2023-04-09T00:00:00"/>
    <x v="0"/>
    <s v="Nizamabad"/>
    <x v="15"/>
    <x v="17"/>
    <x v="0"/>
    <n v="5"/>
    <x v="15"/>
    <n v="39"/>
    <x v="265"/>
    <n v="6852300"/>
    <x v="1"/>
    <x v="2"/>
    <x v="0"/>
    <x v="1"/>
    <x v="3"/>
    <n v="4"/>
    <x v="3"/>
    <n v="175700"/>
    <n v="0.69"/>
  </r>
  <r>
    <d v="2023-04-09T00:00:00"/>
    <x v="3"/>
    <s v="Mumbai"/>
    <x v="3"/>
    <x v="3"/>
    <x v="0"/>
    <n v="3"/>
    <x v="3"/>
    <n v="55"/>
    <x v="266"/>
    <n v="6693500"/>
    <x v="0"/>
    <x v="0"/>
    <x v="0"/>
    <x v="1"/>
    <x v="3"/>
    <n v="4"/>
    <x v="3"/>
    <n v="121700"/>
    <n v="0.67"/>
  </r>
  <r>
    <d v="2023-04-09T00:00:00"/>
    <x v="0"/>
    <s v="Warangal"/>
    <x v="6"/>
    <x v="13"/>
    <x v="0"/>
    <n v="48"/>
    <x v="12"/>
    <n v="62"/>
    <x v="267"/>
    <n v="128352400"/>
    <x v="0"/>
    <x v="2"/>
    <x v="0"/>
    <x v="1"/>
    <x v="3"/>
    <n v="4"/>
    <x v="3"/>
    <n v="2070200"/>
    <n v="12.84"/>
  </r>
  <r>
    <d v="2023-04-10T00:00:00"/>
    <x v="13"/>
    <s v="Bhopal"/>
    <x v="8"/>
    <x v="20"/>
    <x v="0"/>
    <n v="84"/>
    <x v="18"/>
    <n v="4"/>
    <x v="268"/>
    <n v="29100400"/>
    <x v="1"/>
    <x v="1"/>
    <x v="0"/>
    <x v="1"/>
    <x v="3"/>
    <n v="4"/>
    <x v="3"/>
    <n v="7275100"/>
    <n v="2.91"/>
  </r>
  <r>
    <d v="2023-04-10T00:00:00"/>
    <x v="13"/>
    <s v="Bhopal"/>
    <x v="7"/>
    <x v="7"/>
    <x v="0"/>
    <n v="3"/>
    <x v="7"/>
    <n v="134"/>
    <x v="51"/>
    <n v="24870400"/>
    <x v="1"/>
    <x v="0"/>
    <x v="0"/>
    <x v="1"/>
    <x v="3"/>
    <n v="4"/>
    <x v="3"/>
    <n v="185600"/>
    <n v="2.4900000000000002"/>
  </r>
  <r>
    <d v="2023-04-10T00:00:00"/>
    <x v="12"/>
    <s v="Hisar"/>
    <x v="3"/>
    <x v="3"/>
    <x v="0"/>
    <n v="3"/>
    <x v="3"/>
    <n v="146"/>
    <x v="269"/>
    <n v="14804400"/>
    <x v="1"/>
    <x v="2"/>
    <x v="0"/>
    <x v="1"/>
    <x v="3"/>
    <n v="4"/>
    <x v="3"/>
    <n v="101400"/>
    <n v="1.48"/>
  </r>
  <r>
    <d v="2023-04-10T00:00:00"/>
    <x v="1"/>
    <s v="Rohini"/>
    <x v="1"/>
    <x v="21"/>
    <x v="0"/>
    <n v="3"/>
    <x v="19"/>
    <n v="23"/>
    <x v="270"/>
    <n v="2139000"/>
    <x v="0"/>
    <x v="3"/>
    <x v="0"/>
    <x v="1"/>
    <x v="3"/>
    <n v="4"/>
    <x v="3"/>
    <n v="93000"/>
    <n v="0.21"/>
  </r>
  <r>
    <d v="2023-04-11T00:00:00"/>
    <x v="13"/>
    <s v="Bhopal"/>
    <x v="6"/>
    <x v="13"/>
    <x v="2"/>
    <n v="48"/>
    <x v="12"/>
    <n v="115"/>
    <x v="271"/>
    <n v="224560500"/>
    <x v="1"/>
    <x v="0"/>
    <x v="0"/>
    <x v="1"/>
    <x v="3"/>
    <n v="4"/>
    <x v="3"/>
    <n v="1952700"/>
    <n v="22.46"/>
  </r>
  <r>
    <d v="2023-04-11T00:00:00"/>
    <x v="0"/>
    <s v="Warangal"/>
    <x v="13"/>
    <x v="22"/>
    <x v="0"/>
    <n v="35"/>
    <x v="10"/>
    <n v="149"/>
    <x v="272"/>
    <n v="297255000"/>
    <x v="1"/>
    <x v="0"/>
    <x v="0"/>
    <x v="1"/>
    <x v="3"/>
    <n v="4"/>
    <x v="3"/>
    <n v="1995000"/>
    <n v="29.73"/>
  </r>
  <r>
    <d v="2023-04-11T00:00:00"/>
    <x v="6"/>
    <s v="Surat"/>
    <x v="1"/>
    <x v="1"/>
    <x v="0"/>
    <n v="4"/>
    <x v="1"/>
    <n v="132"/>
    <x v="273"/>
    <n v="18757200"/>
    <x v="0"/>
    <x v="0"/>
    <x v="0"/>
    <x v="1"/>
    <x v="3"/>
    <n v="4"/>
    <x v="3"/>
    <n v="142100"/>
    <n v="1.88"/>
  </r>
  <r>
    <d v="2023-04-11T00:00:00"/>
    <x v="2"/>
    <s v="Noida"/>
    <x v="15"/>
    <x v="17"/>
    <x v="0"/>
    <n v="5"/>
    <x v="15"/>
    <n v="51"/>
    <x v="274"/>
    <n v="9511500"/>
    <x v="1"/>
    <x v="2"/>
    <x v="0"/>
    <x v="1"/>
    <x v="3"/>
    <n v="4"/>
    <x v="3"/>
    <n v="186500"/>
    <n v="0.95"/>
  </r>
  <r>
    <d v="2023-04-12T00:00:00"/>
    <x v="12"/>
    <s v="Panipat"/>
    <x v="2"/>
    <x v="2"/>
    <x v="0"/>
    <n v="66"/>
    <x v="2"/>
    <n v="70"/>
    <x v="275"/>
    <n v="506863000"/>
    <x v="0"/>
    <x v="2"/>
    <x v="0"/>
    <x v="1"/>
    <x v="3"/>
    <n v="4"/>
    <x v="3"/>
    <n v="7240900"/>
    <n v="50.69"/>
  </r>
  <r>
    <d v="2023-04-12T00:00:00"/>
    <x v="3"/>
    <s v="Nagpur"/>
    <x v="9"/>
    <x v="10"/>
    <x v="0"/>
    <n v="25"/>
    <x v="10"/>
    <n v="67"/>
    <x v="276"/>
    <n v="72420300"/>
    <x v="1"/>
    <x v="1"/>
    <x v="0"/>
    <x v="1"/>
    <x v="3"/>
    <n v="4"/>
    <x v="3"/>
    <n v="1080900"/>
    <n v="7.24"/>
  </r>
  <r>
    <d v="2023-04-12T00:00:00"/>
    <x v="1"/>
    <s v="Rohini"/>
    <x v="6"/>
    <x v="6"/>
    <x v="0"/>
    <n v="72"/>
    <x v="6"/>
    <n v="91"/>
    <x v="277"/>
    <n v="441095200"/>
    <x v="0"/>
    <x v="0"/>
    <x v="0"/>
    <x v="1"/>
    <x v="3"/>
    <n v="4"/>
    <x v="3"/>
    <n v="4847200"/>
    <n v="44.11"/>
  </r>
  <r>
    <d v="2023-04-13T00:00:00"/>
    <x v="8"/>
    <s v="Durgapur"/>
    <x v="5"/>
    <x v="5"/>
    <x v="0"/>
    <n v="30"/>
    <x v="5"/>
    <n v="63"/>
    <x v="278"/>
    <n v="98658000"/>
    <x v="1"/>
    <x v="0"/>
    <x v="0"/>
    <x v="1"/>
    <x v="3"/>
    <n v="4"/>
    <x v="3"/>
    <n v="1566000"/>
    <n v="9.8699999999999992"/>
  </r>
  <r>
    <d v="2023-04-13T00:00:00"/>
    <x v="6"/>
    <s v="Ahmedabad"/>
    <x v="4"/>
    <x v="4"/>
    <x v="1"/>
    <n v="77"/>
    <x v="4"/>
    <n v="29"/>
    <x v="279"/>
    <n v="142427700"/>
    <x v="1"/>
    <x v="2"/>
    <x v="0"/>
    <x v="1"/>
    <x v="3"/>
    <n v="4"/>
    <x v="3"/>
    <n v="4911300"/>
    <n v="14.24"/>
  </r>
  <r>
    <d v="2023-04-13T00:00:00"/>
    <x v="11"/>
    <s v="Coimbatore"/>
    <x v="9"/>
    <x v="10"/>
    <x v="1"/>
    <n v="25"/>
    <x v="10"/>
    <n v="36"/>
    <x v="280"/>
    <n v="46443600"/>
    <x v="1"/>
    <x v="2"/>
    <x v="0"/>
    <x v="1"/>
    <x v="3"/>
    <n v="4"/>
    <x v="3"/>
    <n v="1290100"/>
    <n v="4.6399999999999997"/>
  </r>
  <r>
    <d v="2023-04-13T00:00:00"/>
    <x v="3"/>
    <s v="Mumbai"/>
    <x v="3"/>
    <x v="3"/>
    <x v="0"/>
    <n v="3"/>
    <x v="3"/>
    <n v="103"/>
    <x v="281"/>
    <n v="11103400"/>
    <x v="1"/>
    <x v="2"/>
    <x v="0"/>
    <x v="1"/>
    <x v="3"/>
    <n v="4"/>
    <x v="3"/>
    <n v="107800"/>
    <n v="1.1100000000000001"/>
  </r>
  <r>
    <d v="2023-04-14T00:00:00"/>
    <x v="12"/>
    <s v="Hisar"/>
    <x v="8"/>
    <x v="8"/>
    <x v="0"/>
    <n v="66"/>
    <x v="8"/>
    <n v="16"/>
    <x v="282"/>
    <n v="104352000"/>
    <x v="1"/>
    <x v="0"/>
    <x v="0"/>
    <x v="1"/>
    <x v="3"/>
    <n v="4"/>
    <x v="3"/>
    <n v="6522000"/>
    <n v="10.44"/>
  </r>
  <r>
    <d v="2023-04-14T00:00:00"/>
    <x v="8"/>
    <s v="Asansol"/>
    <x v="0"/>
    <x v="0"/>
    <x v="0"/>
    <n v="82"/>
    <x v="0"/>
    <n v="35"/>
    <x v="283"/>
    <n v="256354000"/>
    <x v="1"/>
    <x v="0"/>
    <x v="0"/>
    <x v="1"/>
    <x v="3"/>
    <n v="4"/>
    <x v="3"/>
    <n v="7324400"/>
    <n v="25.64"/>
  </r>
  <r>
    <d v="2023-04-14T00:00:00"/>
    <x v="3"/>
    <s v="Mumbai"/>
    <x v="6"/>
    <x v="13"/>
    <x v="0"/>
    <n v="48"/>
    <x v="12"/>
    <n v="141"/>
    <x v="284"/>
    <n v="330405300"/>
    <x v="1"/>
    <x v="0"/>
    <x v="0"/>
    <x v="1"/>
    <x v="3"/>
    <n v="4"/>
    <x v="3"/>
    <n v="2343300"/>
    <n v="33.04"/>
  </r>
  <r>
    <d v="2023-04-14T00:00:00"/>
    <x v="12"/>
    <s v="Gurugram"/>
    <x v="14"/>
    <x v="16"/>
    <x v="0"/>
    <n v="3"/>
    <x v="15"/>
    <n v="48"/>
    <x v="285"/>
    <n v="7939200"/>
    <x v="1"/>
    <x v="1"/>
    <x v="0"/>
    <x v="1"/>
    <x v="3"/>
    <n v="4"/>
    <x v="3"/>
    <n v="165400"/>
    <n v="0.79"/>
  </r>
  <r>
    <d v="2023-04-14T00:00:00"/>
    <x v="0"/>
    <s v="Warangal"/>
    <x v="11"/>
    <x v="23"/>
    <x v="0"/>
    <n v="59"/>
    <x v="20"/>
    <n v="108"/>
    <x v="286"/>
    <n v="247460400"/>
    <x v="2"/>
    <x v="0"/>
    <x v="0"/>
    <x v="1"/>
    <x v="3"/>
    <n v="4"/>
    <x v="3"/>
    <n v="2291300"/>
    <n v="24.75"/>
  </r>
  <r>
    <d v="2023-04-15T00:00:00"/>
    <x v="6"/>
    <s v="Rajkot"/>
    <x v="5"/>
    <x v="5"/>
    <x v="0"/>
    <n v="30"/>
    <x v="5"/>
    <n v="23"/>
    <x v="287"/>
    <n v="37269200"/>
    <x v="0"/>
    <x v="3"/>
    <x v="0"/>
    <x v="1"/>
    <x v="3"/>
    <n v="4"/>
    <x v="3"/>
    <n v="1620400"/>
    <n v="3.73"/>
  </r>
  <r>
    <d v="2023-04-16T00:00:00"/>
    <x v="14"/>
    <s v="Udaipur"/>
    <x v="0"/>
    <x v="0"/>
    <x v="0"/>
    <n v="82"/>
    <x v="0"/>
    <n v="36"/>
    <x v="288"/>
    <n v="279630000"/>
    <x v="1"/>
    <x v="0"/>
    <x v="0"/>
    <x v="1"/>
    <x v="3"/>
    <n v="4"/>
    <x v="3"/>
    <n v="7767500"/>
    <n v="27.96"/>
  </r>
  <r>
    <d v="2023-04-16T00:00:00"/>
    <x v="8"/>
    <s v="Durgapur"/>
    <x v="5"/>
    <x v="5"/>
    <x v="1"/>
    <n v="30"/>
    <x v="5"/>
    <n v="53"/>
    <x v="289"/>
    <n v="79680200"/>
    <x v="0"/>
    <x v="1"/>
    <x v="0"/>
    <x v="1"/>
    <x v="3"/>
    <n v="4"/>
    <x v="3"/>
    <n v="1503400"/>
    <n v="7.97"/>
  </r>
  <r>
    <d v="2023-04-16T00:00:00"/>
    <x v="10"/>
    <s v="Kochi"/>
    <x v="12"/>
    <x v="18"/>
    <x v="0"/>
    <n v="60"/>
    <x v="16"/>
    <n v="58"/>
    <x v="290"/>
    <n v="170931800"/>
    <x v="0"/>
    <x v="2"/>
    <x v="0"/>
    <x v="1"/>
    <x v="3"/>
    <n v="4"/>
    <x v="3"/>
    <n v="2947100"/>
    <n v="17.09"/>
  </r>
  <r>
    <d v="2023-04-16T00:00:00"/>
    <x v="8"/>
    <s v="Durgapur"/>
    <x v="7"/>
    <x v="7"/>
    <x v="0"/>
    <n v="3"/>
    <x v="7"/>
    <n v="175"/>
    <x v="291"/>
    <n v="26005000"/>
    <x v="1"/>
    <x v="2"/>
    <x v="0"/>
    <x v="1"/>
    <x v="3"/>
    <n v="4"/>
    <x v="3"/>
    <n v="148600"/>
    <n v="2.6"/>
  </r>
  <r>
    <d v="2023-04-16T00:00:00"/>
    <x v="14"/>
    <s v="Jodhpur"/>
    <x v="10"/>
    <x v="11"/>
    <x v="2"/>
    <n v="69"/>
    <x v="11"/>
    <n v="71"/>
    <x v="292"/>
    <n v="464744700"/>
    <x v="1"/>
    <x v="0"/>
    <x v="0"/>
    <x v="1"/>
    <x v="3"/>
    <n v="4"/>
    <x v="3"/>
    <n v="6545700"/>
    <n v="46.47"/>
  </r>
  <r>
    <d v="2023-04-16T00:00:00"/>
    <x v="0"/>
    <s v="Warangal"/>
    <x v="0"/>
    <x v="0"/>
    <x v="0"/>
    <n v="82"/>
    <x v="0"/>
    <n v="44"/>
    <x v="293"/>
    <n v="310877600"/>
    <x v="1"/>
    <x v="1"/>
    <x v="0"/>
    <x v="1"/>
    <x v="3"/>
    <n v="4"/>
    <x v="3"/>
    <n v="7065400"/>
    <n v="31.09"/>
  </r>
  <r>
    <d v="2023-04-16T00:00:00"/>
    <x v="5"/>
    <s v="Mangaluru"/>
    <x v="9"/>
    <x v="9"/>
    <x v="2"/>
    <n v="50"/>
    <x v="9"/>
    <n v="98"/>
    <x v="294"/>
    <n v="210954800"/>
    <x v="1"/>
    <x v="2"/>
    <x v="0"/>
    <x v="1"/>
    <x v="3"/>
    <n v="4"/>
    <x v="3"/>
    <n v="2152600"/>
    <n v="21.1"/>
  </r>
  <r>
    <d v="2023-04-16T00:00:00"/>
    <x v="2"/>
    <s v="Ghaziabad"/>
    <x v="5"/>
    <x v="5"/>
    <x v="0"/>
    <n v="30"/>
    <x v="5"/>
    <n v="15"/>
    <x v="295"/>
    <n v="18948000"/>
    <x v="2"/>
    <x v="1"/>
    <x v="0"/>
    <x v="1"/>
    <x v="3"/>
    <n v="4"/>
    <x v="3"/>
    <n v="1263200"/>
    <n v="1.89"/>
  </r>
  <r>
    <d v="2023-04-17T00:00:00"/>
    <x v="2"/>
    <s v="Noida"/>
    <x v="6"/>
    <x v="6"/>
    <x v="0"/>
    <n v="72"/>
    <x v="6"/>
    <n v="47"/>
    <x v="296"/>
    <n v="262579600"/>
    <x v="0"/>
    <x v="0"/>
    <x v="0"/>
    <x v="1"/>
    <x v="3"/>
    <n v="4"/>
    <x v="3"/>
    <n v="5586800"/>
    <n v="26.26"/>
  </r>
  <r>
    <d v="2023-04-17T00:00:00"/>
    <x v="2"/>
    <s v="Lucknow"/>
    <x v="3"/>
    <x v="3"/>
    <x v="0"/>
    <n v="3"/>
    <x v="3"/>
    <n v="144"/>
    <x v="297"/>
    <n v="16041600"/>
    <x v="1"/>
    <x v="0"/>
    <x v="0"/>
    <x v="1"/>
    <x v="3"/>
    <n v="4"/>
    <x v="3"/>
    <n v="111400"/>
    <n v="1.6"/>
  </r>
  <r>
    <d v="2023-04-17T00:00:00"/>
    <x v="5"/>
    <s v="Hubballi"/>
    <x v="9"/>
    <x v="9"/>
    <x v="0"/>
    <n v="50"/>
    <x v="9"/>
    <n v="41"/>
    <x v="298"/>
    <n v="90638700"/>
    <x v="1"/>
    <x v="0"/>
    <x v="0"/>
    <x v="1"/>
    <x v="3"/>
    <n v="4"/>
    <x v="3"/>
    <n v="2210700"/>
    <n v="9.06"/>
  </r>
  <r>
    <d v="2023-04-18T00:00:00"/>
    <x v="5"/>
    <s v="Bengaluru"/>
    <x v="14"/>
    <x v="16"/>
    <x v="0"/>
    <n v="3"/>
    <x v="15"/>
    <n v="88"/>
    <x v="299"/>
    <n v="11968000"/>
    <x v="2"/>
    <x v="1"/>
    <x v="0"/>
    <x v="1"/>
    <x v="3"/>
    <n v="4"/>
    <x v="3"/>
    <n v="136000"/>
    <n v="1.2"/>
  </r>
  <r>
    <d v="2023-04-18T00:00:00"/>
    <x v="12"/>
    <s v="Gurugram"/>
    <x v="0"/>
    <x v="0"/>
    <x v="0"/>
    <n v="82"/>
    <x v="0"/>
    <n v="10"/>
    <x v="300"/>
    <n v="66676000"/>
    <x v="1"/>
    <x v="0"/>
    <x v="0"/>
    <x v="1"/>
    <x v="3"/>
    <n v="4"/>
    <x v="3"/>
    <n v="6667600"/>
    <n v="6.67"/>
  </r>
  <r>
    <d v="2023-04-18T00:00:00"/>
    <x v="3"/>
    <s v="Nagpur"/>
    <x v="13"/>
    <x v="15"/>
    <x v="0"/>
    <n v="40"/>
    <x v="14"/>
    <n v="122"/>
    <x v="301"/>
    <n v="317370800"/>
    <x v="1"/>
    <x v="1"/>
    <x v="0"/>
    <x v="1"/>
    <x v="3"/>
    <n v="4"/>
    <x v="3"/>
    <n v="2601400"/>
    <n v="31.74"/>
  </r>
  <r>
    <d v="2023-04-18T00:00:00"/>
    <x v="3"/>
    <s v="Pune"/>
    <x v="13"/>
    <x v="19"/>
    <x v="0"/>
    <n v="24"/>
    <x v="17"/>
    <n v="62"/>
    <x v="302"/>
    <n v="87506800"/>
    <x v="1"/>
    <x v="3"/>
    <x v="0"/>
    <x v="1"/>
    <x v="3"/>
    <n v="4"/>
    <x v="3"/>
    <n v="1411400"/>
    <n v="8.75"/>
  </r>
  <r>
    <d v="2023-04-19T00:00:00"/>
    <x v="3"/>
    <s v="Mumbai"/>
    <x v="9"/>
    <x v="10"/>
    <x v="0"/>
    <n v="25"/>
    <x v="10"/>
    <n v="126"/>
    <x v="303"/>
    <n v="150910200"/>
    <x v="1"/>
    <x v="0"/>
    <x v="0"/>
    <x v="1"/>
    <x v="3"/>
    <n v="4"/>
    <x v="3"/>
    <n v="1197700"/>
    <n v="15.09"/>
  </r>
  <r>
    <d v="2023-04-19T00:00:00"/>
    <x v="7"/>
    <s v="Visakhapatnam"/>
    <x v="4"/>
    <x v="4"/>
    <x v="0"/>
    <n v="77"/>
    <x v="4"/>
    <n v="39"/>
    <x v="304"/>
    <n v="201485700"/>
    <x v="1"/>
    <x v="2"/>
    <x v="0"/>
    <x v="1"/>
    <x v="3"/>
    <n v="4"/>
    <x v="3"/>
    <n v="5166300"/>
    <n v="20.149999999999999"/>
  </r>
  <r>
    <d v="2023-04-20T00:00:00"/>
    <x v="13"/>
    <s v="Bhopal"/>
    <x v="7"/>
    <x v="7"/>
    <x v="0"/>
    <n v="3"/>
    <x v="7"/>
    <n v="140"/>
    <x v="305"/>
    <n v="20818000"/>
    <x v="2"/>
    <x v="1"/>
    <x v="0"/>
    <x v="1"/>
    <x v="3"/>
    <n v="4"/>
    <x v="3"/>
    <n v="148700"/>
    <n v="2.08"/>
  </r>
  <r>
    <d v="2023-04-21T00:00:00"/>
    <x v="2"/>
    <s v="Noida"/>
    <x v="8"/>
    <x v="20"/>
    <x v="1"/>
    <n v="84"/>
    <x v="18"/>
    <n v="8"/>
    <x v="306"/>
    <n v="55115200"/>
    <x v="0"/>
    <x v="0"/>
    <x v="0"/>
    <x v="1"/>
    <x v="3"/>
    <n v="4"/>
    <x v="3"/>
    <n v="6889400"/>
    <n v="5.51"/>
  </r>
  <r>
    <d v="2023-04-21T00:00:00"/>
    <x v="1"/>
    <s v="Dwarka"/>
    <x v="10"/>
    <x v="11"/>
    <x v="0"/>
    <n v="69"/>
    <x v="11"/>
    <n v="8"/>
    <x v="307"/>
    <n v="42000800"/>
    <x v="0"/>
    <x v="0"/>
    <x v="0"/>
    <x v="1"/>
    <x v="3"/>
    <n v="4"/>
    <x v="3"/>
    <n v="5250100"/>
    <n v="4.2"/>
  </r>
  <r>
    <d v="2023-04-22T00:00:00"/>
    <x v="14"/>
    <s v="Udaipur"/>
    <x v="4"/>
    <x v="4"/>
    <x v="0"/>
    <n v="77"/>
    <x v="4"/>
    <n v="26"/>
    <x v="308"/>
    <n v="126685000"/>
    <x v="0"/>
    <x v="0"/>
    <x v="0"/>
    <x v="1"/>
    <x v="3"/>
    <n v="4"/>
    <x v="3"/>
    <n v="4872500"/>
    <n v="12.67"/>
  </r>
  <r>
    <d v="2023-04-22T00:00:00"/>
    <x v="1"/>
    <s v="Saket"/>
    <x v="9"/>
    <x v="9"/>
    <x v="0"/>
    <n v="50"/>
    <x v="9"/>
    <n v="32"/>
    <x v="309"/>
    <n v="70080000"/>
    <x v="2"/>
    <x v="0"/>
    <x v="0"/>
    <x v="1"/>
    <x v="3"/>
    <n v="4"/>
    <x v="3"/>
    <n v="2190000"/>
    <n v="7.01"/>
  </r>
  <r>
    <d v="2023-04-23T00:00:00"/>
    <x v="0"/>
    <s v="Hyderabad"/>
    <x v="3"/>
    <x v="3"/>
    <x v="0"/>
    <n v="3"/>
    <x v="3"/>
    <n v="100"/>
    <x v="310"/>
    <n v="12550000"/>
    <x v="1"/>
    <x v="0"/>
    <x v="0"/>
    <x v="1"/>
    <x v="3"/>
    <n v="4"/>
    <x v="3"/>
    <n v="125500"/>
    <n v="1.26"/>
  </r>
  <r>
    <d v="2023-04-23T00:00:00"/>
    <x v="3"/>
    <s v="Nashik"/>
    <x v="8"/>
    <x v="20"/>
    <x v="0"/>
    <n v="84"/>
    <x v="18"/>
    <n v="63"/>
    <x v="311"/>
    <n v="504075600"/>
    <x v="1"/>
    <x v="0"/>
    <x v="0"/>
    <x v="1"/>
    <x v="3"/>
    <n v="4"/>
    <x v="3"/>
    <n v="8001200"/>
    <n v="50.41"/>
  </r>
  <r>
    <d v="2023-04-24T00:00:00"/>
    <x v="8"/>
    <s v="Durgapur"/>
    <x v="0"/>
    <x v="0"/>
    <x v="1"/>
    <n v="82"/>
    <x v="0"/>
    <n v="43"/>
    <x v="312"/>
    <n v="259728600"/>
    <x v="1"/>
    <x v="1"/>
    <x v="0"/>
    <x v="1"/>
    <x v="3"/>
    <n v="4"/>
    <x v="3"/>
    <n v="6040200"/>
    <n v="25.97"/>
  </r>
  <r>
    <d v="2023-04-24T00:00:00"/>
    <x v="5"/>
    <s v="Bengaluru"/>
    <x v="1"/>
    <x v="21"/>
    <x v="0"/>
    <n v="3"/>
    <x v="19"/>
    <n v="122"/>
    <x v="313"/>
    <n v="15201200"/>
    <x v="1"/>
    <x v="1"/>
    <x v="0"/>
    <x v="1"/>
    <x v="3"/>
    <n v="4"/>
    <x v="3"/>
    <n v="124600"/>
    <n v="1.52"/>
  </r>
  <r>
    <d v="2023-04-25T00:00:00"/>
    <x v="11"/>
    <s v="Madurai"/>
    <x v="7"/>
    <x v="7"/>
    <x v="0"/>
    <n v="3"/>
    <x v="7"/>
    <n v="141"/>
    <x v="273"/>
    <n v="20036100"/>
    <x v="1"/>
    <x v="3"/>
    <x v="0"/>
    <x v="1"/>
    <x v="3"/>
    <n v="4"/>
    <x v="3"/>
    <n v="142100"/>
    <n v="2"/>
  </r>
  <r>
    <d v="2023-04-25T00:00:00"/>
    <x v="5"/>
    <s v="Mangaluru"/>
    <x v="10"/>
    <x v="11"/>
    <x v="0"/>
    <n v="69"/>
    <x v="11"/>
    <n v="13"/>
    <x v="314"/>
    <n v="67358200"/>
    <x v="1"/>
    <x v="0"/>
    <x v="0"/>
    <x v="1"/>
    <x v="3"/>
    <n v="4"/>
    <x v="3"/>
    <n v="5181400"/>
    <n v="6.74"/>
  </r>
  <r>
    <d v="2023-04-25T00:00:00"/>
    <x v="11"/>
    <s v="Salem"/>
    <x v="10"/>
    <x v="11"/>
    <x v="1"/>
    <n v="69"/>
    <x v="11"/>
    <n v="27"/>
    <x v="315"/>
    <n v="155922300"/>
    <x v="1"/>
    <x v="0"/>
    <x v="0"/>
    <x v="1"/>
    <x v="3"/>
    <n v="4"/>
    <x v="3"/>
    <n v="5774900"/>
    <n v="15.59"/>
  </r>
  <r>
    <d v="2023-04-26T00:00:00"/>
    <x v="3"/>
    <s v="Mumbai"/>
    <x v="13"/>
    <x v="15"/>
    <x v="0"/>
    <n v="40"/>
    <x v="14"/>
    <n v="81"/>
    <x v="316"/>
    <n v="181334700"/>
    <x v="1"/>
    <x v="1"/>
    <x v="0"/>
    <x v="1"/>
    <x v="3"/>
    <n v="4"/>
    <x v="3"/>
    <n v="2238700"/>
    <n v="18.13"/>
  </r>
  <r>
    <d v="2023-04-26T00:00:00"/>
    <x v="2"/>
    <s v="Kanpur"/>
    <x v="8"/>
    <x v="20"/>
    <x v="0"/>
    <n v="84"/>
    <x v="18"/>
    <n v="48"/>
    <x v="317"/>
    <n v="420235200"/>
    <x v="1"/>
    <x v="1"/>
    <x v="0"/>
    <x v="1"/>
    <x v="3"/>
    <n v="4"/>
    <x v="3"/>
    <n v="8754900"/>
    <n v="42.02"/>
  </r>
  <r>
    <d v="2023-04-26T00:00:00"/>
    <x v="3"/>
    <s v="Nagpur"/>
    <x v="6"/>
    <x v="13"/>
    <x v="0"/>
    <n v="48"/>
    <x v="12"/>
    <n v="77"/>
    <x v="318"/>
    <n v="172626300"/>
    <x v="1"/>
    <x v="0"/>
    <x v="0"/>
    <x v="1"/>
    <x v="3"/>
    <n v="4"/>
    <x v="3"/>
    <n v="2241900"/>
    <n v="17.260000000000002"/>
  </r>
  <r>
    <d v="2023-04-26T00:00:00"/>
    <x v="12"/>
    <s v="Panipat"/>
    <x v="3"/>
    <x v="3"/>
    <x v="0"/>
    <n v="3"/>
    <x v="3"/>
    <n v="86"/>
    <x v="319"/>
    <n v="10148000"/>
    <x v="0"/>
    <x v="0"/>
    <x v="0"/>
    <x v="1"/>
    <x v="3"/>
    <n v="4"/>
    <x v="3"/>
    <n v="118000"/>
    <n v="1.01"/>
  </r>
  <r>
    <d v="2023-04-27T00:00:00"/>
    <x v="3"/>
    <s v="Nashik"/>
    <x v="7"/>
    <x v="7"/>
    <x v="0"/>
    <n v="3"/>
    <x v="7"/>
    <n v="12"/>
    <x v="320"/>
    <n v="1806000"/>
    <x v="1"/>
    <x v="0"/>
    <x v="0"/>
    <x v="1"/>
    <x v="3"/>
    <n v="4"/>
    <x v="3"/>
    <n v="150500"/>
    <n v="0.18"/>
  </r>
  <r>
    <d v="2023-04-27T00:00:00"/>
    <x v="3"/>
    <s v="Mumbai"/>
    <x v="10"/>
    <x v="11"/>
    <x v="0"/>
    <n v="69"/>
    <x v="11"/>
    <n v="21"/>
    <x v="321"/>
    <n v="115825500"/>
    <x v="0"/>
    <x v="1"/>
    <x v="0"/>
    <x v="1"/>
    <x v="3"/>
    <n v="4"/>
    <x v="3"/>
    <n v="5515500"/>
    <n v="11.58"/>
  </r>
  <r>
    <d v="2023-04-28T00:00:00"/>
    <x v="5"/>
    <s v="Mangaluru"/>
    <x v="15"/>
    <x v="17"/>
    <x v="0"/>
    <n v="5"/>
    <x v="15"/>
    <n v="116"/>
    <x v="322"/>
    <n v="19557600"/>
    <x v="1"/>
    <x v="0"/>
    <x v="0"/>
    <x v="1"/>
    <x v="3"/>
    <n v="4"/>
    <x v="3"/>
    <n v="168600"/>
    <n v="1.96"/>
  </r>
  <r>
    <d v="2023-04-28T00:00:00"/>
    <x v="4"/>
    <s v="Ludhiana"/>
    <x v="4"/>
    <x v="4"/>
    <x v="2"/>
    <n v="77"/>
    <x v="4"/>
    <n v="52"/>
    <x v="323"/>
    <n v="293784400"/>
    <x v="1"/>
    <x v="1"/>
    <x v="0"/>
    <x v="1"/>
    <x v="3"/>
    <n v="4"/>
    <x v="3"/>
    <n v="5649700"/>
    <n v="29.38"/>
  </r>
  <r>
    <d v="2023-04-28T00:00:00"/>
    <x v="14"/>
    <s v="Jodhpur"/>
    <x v="2"/>
    <x v="2"/>
    <x v="0"/>
    <n v="66"/>
    <x v="2"/>
    <n v="3"/>
    <x v="324"/>
    <n v="27729300"/>
    <x v="2"/>
    <x v="2"/>
    <x v="0"/>
    <x v="1"/>
    <x v="3"/>
    <n v="4"/>
    <x v="3"/>
    <n v="9243100"/>
    <n v="2.77"/>
  </r>
  <r>
    <d v="2023-04-28T00:00:00"/>
    <x v="4"/>
    <s v="Amritsar"/>
    <x v="13"/>
    <x v="15"/>
    <x v="0"/>
    <n v="40"/>
    <x v="14"/>
    <n v="138"/>
    <x v="325"/>
    <n v="381142200"/>
    <x v="1"/>
    <x v="0"/>
    <x v="0"/>
    <x v="1"/>
    <x v="3"/>
    <n v="4"/>
    <x v="3"/>
    <n v="2761900"/>
    <n v="38.11"/>
  </r>
  <r>
    <d v="2023-04-28T00:00:00"/>
    <x v="1"/>
    <s v="New Delhi"/>
    <x v="2"/>
    <x v="2"/>
    <x v="0"/>
    <n v="66"/>
    <x v="2"/>
    <n v="64"/>
    <x v="326"/>
    <n v="555840000"/>
    <x v="2"/>
    <x v="0"/>
    <x v="0"/>
    <x v="1"/>
    <x v="3"/>
    <n v="4"/>
    <x v="3"/>
    <n v="8685000"/>
    <n v="55.58"/>
  </r>
  <r>
    <d v="2023-04-30T00:00:00"/>
    <x v="5"/>
    <s v="Hubballi"/>
    <x v="9"/>
    <x v="9"/>
    <x v="0"/>
    <n v="50"/>
    <x v="9"/>
    <n v="167"/>
    <x v="327"/>
    <n v="344671300"/>
    <x v="1"/>
    <x v="1"/>
    <x v="0"/>
    <x v="1"/>
    <x v="3"/>
    <n v="4"/>
    <x v="3"/>
    <n v="2063900"/>
    <n v="34.47"/>
  </r>
  <r>
    <d v="2023-05-01T00:00:00"/>
    <x v="14"/>
    <s v="Kota"/>
    <x v="11"/>
    <x v="23"/>
    <x v="3"/>
    <n v="59"/>
    <x v="20"/>
    <n v="151"/>
    <x v="328"/>
    <n v="377092300"/>
    <x v="1"/>
    <x v="0"/>
    <x v="0"/>
    <x v="1"/>
    <x v="4"/>
    <n v="5"/>
    <x v="4"/>
    <n v="2497300"/>
    <n v="37.71"/>
  </r>
  <r>
    <d v="2023-05-01T00:00:00"/>
    <x v="2"/>
    <s v="Ghaziabad"/>
    <x v="3"/>
    <x v="3"/>
    <x v="0"/>
    <n v="3"/>
    <x v="3"/>
    <n v="172"/>
    <x v="329"/>
    <n v="21035600"/>
    <x v="1"/>
    <x v="0"/>
    <x v="0"/>
    <x v="1"/>
    <x v="4"/>
    <n v="5"/>
    <x v="4"/>
    <n v="122300"/>
    <n v="2.1"/>
  </r>
  <r>
    <d v="2023-05-02T00:00:00"/>
    <x v="1"/>
    <s v="New Delhi"/>
    <x v="1"/>
    <x v="21"/>
    <x v="0"/>
    <n v="3"/>
    <x v="19"/>
    <n v="72"/>
    <x v="330"/>
    <n v="8510400"/>
    <x v="1"/>
    <x v="0"/>
    <x v="0"/>
    <x v="1"/>
    <x v="4"/>
    <n v="5"/>
    <x v="4"/>
    <n v="118200"/>
    <n v="0.85"/>
  </r>
  <r>
    <d v="2023-05-02T00:00:00"/>
    <x v="5"/>
    <s v="Bengaluru"/>
    <x v="7"/>
    <x v="7"/>
    <x v="0"/>
    <n v="3"/>
    <x v="7"/>
    <n v="119"/>
    <x v="331"/>
    <n v="20670300"/>
    <x v="0"/>
    <x v="2"/>
    <x v="0"/>
    <x v="1"/>
    <x v="4"/>
    <n v="5"/>
    <x v="4"/>
    <n v="173700"/>
    <n v="2.0699999999999998"/>
  </r>
  <r>
    <d v="2023-05-02T00:00:00"/>
    <x v="2"/>
    <s v="Kanpur"/>
    <x v="0"/>
    <x v="0"/>
    <x v="0"/>
    <n v="82"/>
    <x v="0"/>
    <n v="4"/>
    <x v="332"/>
    <n v="23266800"/>
    <x v="1"/>
    <x v="0"/>
    <x v="0"/>
    <x v="1"/>
    <x v="4"/>
    <n v="5"/>
    <x v="4"/>
    <n v="5816700"/>
    <n v="2.33"/>
  </r>
  <r>
    <d v="2023-05-02T00:00:00"/>
    <x v="1"/>
    <s v="Dwarka"/>
    <x v="1"/>
    <x v="21"/>
    <x v="0"/>
    <n v="3"/>
    <x v="19"/>
    <n v="37"/>
    <x v="333"/>
    <n v="3851700"/>
    <x v="1"/>
    <x v="3"/>
    <x v="0"/>
    <x v="1"/>
    <x v="4"/>
    <n v="5"/>
    <x v="4"/>
    <n v="104100"/>
    <n v="0.39"/>
  </r>
  <r>
    <d v="2023-05-02T00:00:00"/>
    <x v="2"/>
    <s v="Noida"/>
    <x v="5"/>
    <x v="5"/>
    <x v="0"/>
    <n v="30"/>
    <x v="5"/>
    <n v="19"/>
    <x v="334"/>
    <n v="31097300"/>
    <x v="1"/>
    <x v="0"/>
    <x v="0"/>
    <x v="1"/>
    <x v="4"/>
    <n v="5"/>
    <x v="4"/>
    <n v="1636700"/>
    <n v="3.11"/>
  </r>
  <r>
    <d v="2023-05-02T00:00:00"/>
    <x v="10"/>
    <s v="Kochi"/>
    <x v="2"/>
    <x v="2"/>
    <x v="0"/>
    <n v="66"/>
    <x v="2"/>
    <n v="19"/>
    <x v="335"/>
    <n v="147576800"/>
    <x v="0"/>
    <x v="3"/>
    <x v="0"/>
    <x v="1"/>
    <x v="4"/>
    <n v="5"/>
    <x v="4"/>
    <n v="7767200"/>
    <n v="14.76"/>
  </r>
  <r>
    <d v="2023-05-03T00:00:00"/>
    <x v="1"/>
    <s v="Rohini"/>
    <x v="11"/>
    <x v="23"/>
    <x v="0"/>
    <n v="59"/>
    <x v="20"/>
    <n v="44"/>
    <x v="336"/>
    <n v="104812400"/>
    <x v="1"/>
    <x v="0"/>
    <x v="0"/>
    <x v="1"/>
    <x v="4"/>
    <n v="5"/>
    <x v="4"/>
    <n v="2382100"/>
    <n v="10.48"/>
  </r>
  <r>
    <d v="2023-05-03T00:00:00"/>
    <x v="5"/>
    <s v="Bengaluru"/>
    <x v="4"/>
    <x v="4"/>
    <x v="2"/>
    <n v="77"/>
    <x v="4"/>
    <n v="72"/>
    <x v="337"/>
    <n v="351972000"/>
    <x v="1"/>
    <x v="1"/>
    <x v="0"/>
    <x v="1"/>
    <x v="4"/>
    <n v="5"/>
    <x v="4"/>
    <n v="4888500"/>
    <n v="35.200000000000003"/>
  </r>
  <r>
    <d v="2023-05-03T00:00:00"/>
    <x v="3"/>
    <s v="Nagpur"/>
    <x v="3"/>
    <x v="3"/>
    <x v="0"/>
    <n v="3"/>
    <x v="3"/>
    <n v="21"/>
    <x v="338"/>
    <n v="2782500"/>
    <x v="1"/>
    <x v="2"/>
    <x v="0"/>
    <x v="1"/>
    <x v="4"/>
    <n v="5"/>
    <x v="4"/>
    <n v="132500"/>
    <n v="0.28000000000000003"/>
  </r>
  <r>
    <d v="2023-05-04T00:00:00"/>
    <x v="11"/>
    <s v="Madurai"/>
    <x v="0"/>
    <x v="0"/>
    <x v="2"/>
    <n v="82"/>
    <x v="0"/>
    <n v="22"/>
    <x v="339"/>
    <n v="129395200"/>
    <x v="1"/>
    <x v="0"/>
    <x v="0"/>
    <x v="1"/>
    <x v="4"/>
    <n v="5"/>
    <x v="4"/>
    <n v="5881600"/>
    <n v="12.94"/>
  </r>
  <r>
    <d v="2023-05-05T00:00:00"/>
    <x v="13"/>
    <s v="Indore"/>
    <x v="0"/>
    <x v="0"/>
    <x v="0"/>
    <n v="82"/>
    <x v="0"/>
    <n v="7"/>
    <x v="340"/>
    <n v="42366100"/>
    <x v="0"/>
    <x v="2"/>
    <x v="0"/>
    <x v="1"/>
    <x v="4"/>
    <n v="5"/>
    <x v="4"/>
    <n v="6052300"/>
    <n v="4.24"/>
  </r>
  <r>
    <d v="2023-05-06T00:00:00"/>
    <x v="0"/>
    <s v="Hyderabad"/>
    <x v="10"/>
    <x v="11"/>
    <x v="0"/>
    <n v="69"/>
    <x v="11"/>
    <n v="21"/>
    <x v="341"/>
    <n v="112746900"/>
    <x v="0"/>
    <x v="2"/>
    <x v="0"/>
    <x v="1"/>
    <x v="4"/>
    <n v="5"/>
    <x v="4"/>
    <n v="5368900"/>
    <n v="11.27"/>
  </r>
  <r>
    <d v="2023-05-07T00:00:00"/>
    <x v="1"/>
    <s v="New Delhi"/>
    <x v="11"/>
    <x v="12"/>
    <x v="1"/>
    <n v="40"/>
    <x v="12"/>
    <n v="25"/>
    <x v="342"/>
    <n v="50107500"/>
    <x v="2"/>
    <x v="2"/>
    <x v="0"/>
    <x v="1"/>
    <x v="4"/>
    <n v="5"/>
    <x v="4"/>
    <n v="2004300"/>
    <n v="5.01"/>
  </r>
  <r>
    <d v="2023-05-08T00:00:00"/>
    <x v="12"/>
    <s v="Faridabad"/>
    <x v="13"/>
    <x v="19"/>
    <x v="0"/>
    <n v="24"/>
    <x v="17"/>
    <n v="93"/>
    <x v="343"/>
    <n v="124062000"/>
    <x v="1"/>
    <x v="1"/>
    <x v="0"/>
    <x v="1"/>
    <x v="4"/>
    <n v="5"/>
    <x v="4"/>
    <n v="1334000"/>
    <n v="12.41"/>
  </r>
  <r>
    <d v="2023-05-08T00:00:00"/>
    <x v="12"/>
    <s v="Hisar"/>
    <x v="0"/>
    <x v="0"/>
    <x v="1"/>
    <n v="82"/>
    <x v="0"/>
    <n v="70"/>
    <x v="344"/>
    <n v="436373000"/>
    <x v="1"/>
    <x v="0"/>
    <x v="0"/>
    <x v="1"/>
    <x v="4"/>
    <n v="5"/>
    <x v="4"/>
    <n v="6233900"/>
    <n v="43.64"/>
  </r>
  <r>
    <d v="2023-05-08T00:00:00"/>
    <x v="6"/>
    <s v="Rajkot"/>
    <x v="5"/>
    <x v="5"/>
    <x v="3"/>
    <n v="30"/>
    <x v="5"/>
    <n v="40"/>
    <x v="345"/>
    <n v="53200000"/>
    <x v="1"/>
    <x v="1"/>
    <x v="0"/>
    <x v="1"/>
    <x v="4"/>
    <n v="5"/>
    <x v="4"/>
    <n v="1330000"/>
    <n v="5.32"/>
  </r>
  <r>
    <d v="2023-05-09T00:00:00"/>
    <x v="3"/>
    <s v="Mumbai"/>
    <x v="6"/>
    <x v="13"/>
    <x v="1"/>
    <n v="48"/>
    <x v="12"/>
    <n v="124"/>
    <x v="346"/>
    <n v="323925200"/>
    <x v="1"/>
    <x v="0"/>
    <x v="0"/>
    <x v="1"/>
    <x v="4"/>
    <n v="5"/>
    <x v="4"/>
    <n v="2612300"/>
    <n v="32.39"/>
  </r>
  <r>
    <d v="2023-05-09T00:00:00"/>
    <x v="3"/>
    <s v="Pune"/>
    <x v="1"/>
    <x v="21"/>
    <x v="0"/>
    <n v="3"/>
    <x v="19"/>
    <n v="134"/>
    <x v="347"/>
    <n v="13895800"/>
    <x v="0"/>
    <x v="2"/>
    <x v="0"/>
    <x v="1"/>
    <x v="4"/>
    <n v="5"/>
    <x v="4"/>
    <n v="103700"/>
    <n v="1.39"/>
  </r>
  <r>
    <d v="2023-05-09T00:00:00"/>
    <x v="2"/>
    <s v="Kanpur"/>
    <x v="4"/>
    <x v="4"/>
    <x v="0"/>
    <n v="77"/>
    <x v="4"/>
    <n v="77"/>
    <x v="348"/>
    <n v="436597700"/>
    <x v="1"/>
    <x v="1"/>
    <x v="0"/>
    <x v="1"/>
    <x v="4"/>
    <n v="5"/>
    <x v="4"/>
    <n v="5670100"/>
    <n v="43.66"/>
  </r>
  <r>
    <d v="2023-05-09T00:00:00"/>
    <x v="1"/>
    <s v="Dwarka"/>
    <x v="9"/>
    <x v="10"/>
    <x v="0"/>
    <n v="25"/>
    <x v="10"/>
    <n v="35"/>
    <x v="349"/>
    <n v="45304000"/>
    <x v="0"/>
    <x v="2"/>
    <x v="0"/>
    <x v="1"/>
    <x v="4"/>
    <n v="5"/>
    <x v="4"/>
    <n v="1294400"/>
    <n v="4.53"/>
  </r>
  <r>
    <d v="2023-05-09T00:00:00"/>
    <x v="6"/>
    <s v="Ahmedabad"/>
    <x v="12"/>
    <x v="14"/>
    <x v="0"/>
    <n v="82"/>
    <x v="13"/>
    <n v="3"/>
    <x v="350"/>
    <n v="14572800"/>
    <x v="0"/>
    <x v="0"/>
    <x v="0"/>
    <x v="1"/>
    <x v="4"/>
    <n v="5"/>
    <x v="4"/>
    <n v="4857600"/>
    <n v="1.46"/>
  </r>
  <r>
    <d v="2023-05-09T00:00:00"/>
    <x v="1"/>
    <s v="Rohini"/>
    <x v="2"/>
    <x v="2"/>
    <x v="0"/>
    <n v="66"/>
    <x v="2"/>
    <n v="10"/>
    <x v="351"/>
    <n v="70338000"/>
    <x v="0"/>
    <x v="2"/>
    <x v="0"/>
    <x v="1"/>
    <x v="4"/>
    <n v="5"/>
    <x v="4"/>
    <n v="7033800"/>
    <n v="7.03"/>
  </r>
  <r>
    <d v="2023-05-10T00:00:00"/>
    <x v="6"/>
    <s v="Surat"/>
    <x v="3"/>
    <x v="3"/>
    <x v="0"/>
    <n v="3"/>
    <x v="3"/>
    <n v="164"/>
    <x v="352"/>
    <n v="18089200"/>
    <x v="1"/>
    <x v="0"/>
    <x v="0"/>
    <x v="1"/>
    <x v="4"/>
    <n v="5"/>
    <x v="4"/>
    <n v="110300"/>
    <n v="1.81"/>
  </r>
  <r>
    <d v="2023-05-10T00:00:00"/>
    <x v="2"/>
    <s v="Lucknow"/>
    <x v="9"/>
    <x v="9"/>
    <x v="2"/>
    <n v="50"/>
    <x v="9"/>
    <n v="98"/>
    <x v="353"/>
    <n v="228389000"/>
    <x v="1"/>
    <x v="0"/>
    <x v="0"/>
    <x v="1"/>
    <x v="4"/>
    <n v="5"/>
    <x v="4"/>
    <n v="2330500"/>
    <n v="22.84"/>
  </r>
  <r>
    <d v="2023-05-11T00:00:00"/>
    <x v="3"/>
    <s v="Nagpur"/>
    <x v="15"/>
    <x v="17"/>
    <x v="0"/>
    <n v="5"/>
    <x v="15"/>
    <n v="111"/>
    <x v="354"/>
    <n v="19391700"/>
    <x v="1"/>
    <x v="0"/>
    <x v="0"/>
    <x v="1"/>
    <x v="4"/>
    <n v="5"/>
    <x v="4"/>
    <n v="174700"/>
    <n v="1.94"/>
  </r>
  <r>
    <d v="2023-05-12T00:00:00"/>
    <x v="11"/>
    <s v="Salem"/>
    <x v="6"/>
    <x v="13"/>
    <x v="1"/>
    <n v="48"/>
    <x v="12"/>
    <n v="124"/>
    <x v="355"/>
    <n v="330298800"/>
    <x v="0"/>
    <x v="0"/>
    <x v="0"/>
    <x v="1"/>
    <x v="4"/>
    <n v="5"/>
    <x v="4"/>
    <n v="2663700"/>
    <n v="33.03"/>
  </r>
  <r>
    <d v="2023-05-12T00:00:00"/>
    <x v="5"/>
    <s v="Bengaluru"/>
    <x v="10"/>
    <x v="11"/>
    <x v="0"/>
    <n v="69"/>
    <x v="11"/>
    <n v="39"/>
    <x v="356"/>
    <n v="222046500"/>
    <x v="0"/>
    <x v="2"/>
    <x v="0"/>
    <x v="1"/>
    <x v="4"/>
    <n v="5"/>
    <x v="4"/>
    <n v="5693500"/>
    <n v="22.2"/>
  </r>
  <r>
    <d v="2023-05-13T00:00:00"/>
    <x v="0"/>
    <s v="Warangal"/>
    <x v="0"/>
    <x v="0"/>
    <x v="0"/>
    <n v="82"/>
    <x v="0"/>
    <n v="79"/>
    <x v="357"/>
    <n v="525484300"/>
    <x v="0"/>
    <x v="0"/>
    <x v="0"/>
    <x v="1"/>
    <x v="4"/>
    <n v="5"/>
    <x v="4"/>
    <n v="6651700"/>
    <n v="52.55"/>
  </r>
  <r>
    <d v="2023-05-13T00:00:00"/>
    <x v="0"/>
    <s v="Hyderabad"/>
    <x v="12"/>
    <x v="14"/>
    <x v="3"/>
    <n v="82"/>
    <x v="13"/>
    <n v="58"/>
    <x v="358"/>
    <n v="325751200"/>
    <x v="2"/>
    <x v="2"/>
    <x v="0"/>
    <x v="1"/>
    <x v="4"/>
    <n v="5"/>
    <x v="4"/>
    <n v="5616400"/>
    <n v="32.58"/>
  </r>
  <r>
    <d v="2023-05-13T00:00:00"/>
    <x v="5"/>
    <s v="Mysuru"/>
    <x v="3"/>
    <x v="3"/>
    <x v="0"/>
    <n v="3"/>
    <x v="3"/>
    <n v="16"/>
    <x v="297"/>
    <n v="1782400"/>
    <x v="1"/>
    <x v="2"/>
    <x v="0"/>
    <x v="1"/>
    <x v="4"/>
    <n v="5"/>
    <x v="4"/>
    <n v="111400"/>
    <n v="0.18"/>
  </r>
  <r>
    <d v="2023-05-13T00:00:00"/>
    <x v="3"/>
    <s v="Pune"/>
    <x v="4"/>
    <x v="4"/>
    <x v="0"/>
    <n v="77"/>
    <x v="4"/>
    <n v="39"/>
    <x v="359"/>
    <n v="173019600"/>
    <x v="1"/>
    <x v="0"/>
    <x v="0"/>
    <x v="1"/>
    <x v="4"/>
    <n v="5"/>
    <x v="4"/>
    <n v="4436400"/>
    <n v="17.3"/>
  </r>
  <r>
    <d v="2023-05-13T00:00:00"/>
    <x v="5"/>
    <s v="Bengaluru"/>
    <x v="3"/>
    <x v="3"/>
    <x v="0"/>
    <n v="3"/>
    <x v="3"/>
    <n v="40"/>
    <x v="360"/>
    <n v="4948000"/>
    <x v="2"/>
    <x v="0"/>
    <x v="0"/>
    <x v="1"/>
    <x v="4"/>
    <n v="5"/>
    <x v="4"/>
    <n v="123700"/>
    <n v="0.49"/>
  </r>
  <r>
    <d v="2023-05-14T00:00:00"/>
    <x v="5"/>
    <s v="Mysuru"/>
    <x v="1"/>
    <x v="1"/>
    <x v="0"/>
    <n v="4"/>
    <x v="1"/>
    <n v="57"/>
    <x v="361"/>
    <n v="8453100"/>
    <x v="1"/>
    <x v="2"/>
    <x v="0"/>
    <x v="1"/>
    <x v="4"/>
    <n v="5"/>
    <x v="4"/>
    <n v="148300"/>
    <n v="0.85"/>
  </r>
  <r>
    <d v="2023-05-15T00:00:00"/>
    <x v="1"/>
    <s v="New Delhi"/>
    <x v="5"/>
    <x v="5"/>
    <x v="1"/>
    <n v="30"/>
    <x v="5"/>
    <n v="30"/>
    <x v="362"/>
    <n v="38154000"/>
    <x v="1"/>
    <x v="0"/>
    <x v="0"/>
    <x v="1"/>
    <x v="4"/>
    <n v="5"/>
    <x v="4"/>
    <n v="1271800"/>
    <n v="3.82"/>
  </r>
  <r>
    <d v="2023-05-15T00:00:00"/>
    <x v="13"/>
    <s v="Indore"/>
    <x v="9"/>
    <x v="9"/>
    <x v="0"/>
    <n v="50"/>
    <x v="9"/>
    <n v="59"/>
    <x v="363"/>
    <n v="120531100"/>
    <x v="1"/>
    <x v="1"/>
    <x v="0"/>
    <x v="1"/>
    <x v="4"/>
    <n v="5"/>
    <x v="4"/>
    <n v="2042900"/>
    <n v="12.05"/>
  </r>
  <r>
    <d v="2023-05-15T00:00:00"/>
    <x v="2"/>
    <s v="Kanpur"/>
    <x v="13"/>
    <x v="22"/>
    <x v="0"/>
    <n v="35"/>
    <x v="10"/>
    <n v="149"/>
    <x v="364"/>
    <n v="307074100"/>
    <x v="1"/>
    <x v="0"/>
    <x v="0"/>
    <x v="1"/>
    <x v="4"/>
    <n v="5"/>
    <x v="4"/>
    <n v="2060900"/>
    <n v="30.71"/>
  </r>
  <r>
    <d v="2023-05-15T00:00:00"/>
    <x v="3"/>
    <s v="Nagpur"/>
    <x v="5"/>
    <x v="5"/>
    <x v="0"/>
    <n v="30"/>
    <x v="5"/>
    <n v="3"/>
    <x v="365"/>
    <n v="3798900"/>
    <x v="1"/>
    <x v="0"/>
    <x v="0"/>
    <x v="1"/>
    <x v="4"/>
    <n v="5"/>
    <x v="4"/>
    <n v="1266300"/>
    <n v="0.38"/>
  </r>
  <r>
    <d v="2023-05-16T00:00:00"/>
    <x v="12"/>
    <s v="Hisar"/>
    <x v="13"/>
    <x v="15"/>
    <x v="2"/>
    <n v="40"/>
    <x v="14"/>
    <n v="40"/>
    <x v="366"/>
    <n v="108244000"/>
    <x v="2"/>
    <x v="0"/>
    <x v="0"/>
    <x v="1"/>
    <x v="4"/>
    <n v="5"/>
    <x v="4"/>
    <n v="2706100"/>
    <n v="10.82"/>
  </r>
  <r>
    <d v="2023-05-16T00:00:00"/>
    <x v="4"/>
    <s v="Ludhiana"/>
    <x v="15"/>
    <x v="17"/>
    <x v="0"/>
    <n v="5"/>
    <x v="15"/>
    <n v="29"/>
    <x v="70"/>
    <n v="4596500"/>
    <x v="0"/>
    <x v="2"/>
    <x v="0"/>
    <x v="1"/>
    <x v="4"/>
    <n v="5"/>
    <x v="4"/>
    <n v="158500"/>
    <n v="0.46"/>
  </r>
  <r>
    <d v="2023-05-17T00:00:00"/>
    <x v="14"/>
    <s v="Jaipur"/>
    <x v="4"/>
    <x v="4"/>
    <x v="0"/>
    <n v="77"/>
    <x v="4"/>
    <n v="51"/>
    <x v="367"/>
    <n v="254025900"/>
    <x v="1"/>
    <x v="2"/>
    <x v="0"/>
    <x v="1"/>
    <x v="4"/>
    <n v="5"/>
    <x v="4"/>
    <n v="4980900"/>
    <n v="25.4"/>
  </r>
  <r>
    <d v="2023-05-17T00:00:00"/>
    <x v="3"/>
    <s v="Nashik"/>
    <x v="3"/>
    <x v="3"/>
    <x v="0"/>
    <n v="3"/>
    <x v="3"/>
    <n v="159"/>
    <x v="234"/>
    <n v="19095900"/>
    <x v="1"/>
    <x v="1"/>
    <x v="0"/>
    <x v="1"/>
    <x v="4"/>
    <n v="5"/>
    <x v="4"/>
    <n v="120100"/>
    <n v="1.91"/>
  </r>
  <r>
    <d v="2023-05-17T00:00:00"/>
    <x v="3"/>
    <s v="Nagpur"/>
    <x v="11"/>
    <x v="12"/>
    <x v="0"/>
    <n v="40"/>
    <x v="12"/>
    <n v="45"/>
    <x v="368"/>
    <n v="95773500"/>
    <x v="2"/>
    <x v="1"/>
    <x v="0"/>
    <x v="1"/>
    <x v="4"/>
    <n v="5"/>
    <x v="4"/>
    <n v="2128300"/>
    <n v="9.58"/>
  </r>
  <r>
    <d v="2023-05-17T00:00:00"/>
    <x v="1"/>
    <s v="Dwarka"/>
    <x v="10"/>
    <x v="11"/>
    <x v="0"/>
    <n v="69"/>
    <x v="11"/>
    <n v="4"/>
    <x v="369"/>
    <n v="22153200"/>
    <x v="1"/>
    <x v="0"/>
    <x v="0"/>
    <x v="1"/>
    <x v="4"/>
    <n v="5"/>
    <x v="4"/>
    <n v="5538300"/>
    <n v="2.2200000000000002"/>
  </r>
  <r>
    <d v="2023-05-18T00:00:00"/>
    <x v="14"/>
    <s v="Udaipur"/>
    <x v="8"/>
    <x v="8"/>
    <x v="0"/>
    <n v="66"/>
    <x v="8"/>
    <n v="23"/>
    <x v="370"/>
    <n v="135690800"/>
    <x v="1"/>
    <x v="0"/>
    <x v="0"/>
    <x v="1"/>
    <x v="4"/>
    <n v="5"/>
    <x v="4"/>
    <n v="5899600"/>
    <n v="13.57"/>
  </r>
  <r>
    <d v="2023-05-20T00:00:00"/>
    <x v="3"/>
    <s v="Nashik"/>
    <x v="2"/>
    <x v="2"/>
    <x v="0"/>
    <n v="66"/>
    <x v="2"/>
    <n v="18"/>
    <x v="371"/>
    <n v="165079800"/>
    <x v="0"/>
    <x v="1"/>
    <x v="0"/>
    <x v="1"/>
    <x v="4"/>
    <n v="5"/>
    <x v="4"/>
    <n v="9171100"/>
    <n v="16.510000000000002"/>
  </r>
  <r>
    <d v="2023-05-20T00:00:00"/>
    <x v="8"/>
    <s v="Kolkata"/>
    <x v="8"/>
    <x v="8"/>
    <x v="0"/>
    <n v="66"/>
    <x v="8"/>
    <n v="14"/>
    <x v="372"/>
    <n v="93294600"/>
    <x v="1"/>
    <x v="0"/>
    <x v="0"/>
    <x v="1"/>
    <x v="4"/>
    <n v="5"/>
    <x v="4"/>
    <n v="6663900"/>
    <n v="9.33"/>
  </r>
  <r>
    <d v="2023-05-20T00:00:00"/>
    <x v="3"/>
    <s v="Nashik"/>
    <x v="4"/>
    <x v="4"/>
    <x v="1"/>
    <n v="77"/>
    <x v="4"/>
    <n v="7"/>
    <x v="373"/>
    <n v="38953600"/>
    <x v="0"/>
    <x v="0"/>
    <x v="0"/>
    <x v="1"/>
    <x v="4"/>
    <n v="5"/>
    <x v="4"/>
    <n v="5564800"/>
    <n v="3.9"/>
  </r>
  <r>
    <d v="2023-05-20T00:00:00"/>
    <x v="0"/>
    <s v="Nizamabad"/>
    <x v="8"/>
    <x v="20"/>
    <x v="2"/>
    <n v="84"/>
    <x v="18"/>
    <n v="16"/>
    <x v="374"/>
    <n v="128204800"/>
    <x v="1"/>
    <x v="0"/>
    <x v="0"/>
    <x v="1"/>
    <x v="4"/>
    <n v="5"/>
    <x v="4"/>
    <n v="8012800"/>
    <n v="12.82"/>
  </r>
  <r>
    <d v="2023-05-21T00:00:00"/>
    <x v="2"/>
    <s v="Noida"/>
    <x v="0"/>
    <x v="0"/>
    <x v="0"/>
    <n v="82"/>
    <x v="0"/>
    <n v="41"/>
    <x v="375"/>
    <n v="303301600"/>
    <x v="1"/>
    <x v="0"/>
    <x v="0"/>
    <x v="1"/>
    <x v="4"/>
    <n v="5"/>
    <x v="4"/>
    <n v="7397600"/>
    <n v="30.33"/>
  </r>
  <r>
    <d v="2023-05-21T00:00:00"/>
    <x v="6"/>
    <s v="Ahmedabad"/>
    <x v="4"/>
    <x v="4"/>
    <x v="0"/>
    <n v="77"/>
    <x v="4"/>
    <n v="78"/>
    <x v="376"/>
    <n v="382488600"/>
    <x v="1"/>
    <x v="0"/>
    <x v="0"/>
    <x v="1"/>
    <x v="4"/>
    <n v="5"/>
    <x v="4"/>
    <n v="4903700"/>
    <n v="38.25"/>
  </r>
  <r>
    <d v="2023-05-22T00:00:00"/>
    <x v="13"/>
    <s v="Indore"/>
    <x v="13"/>
    <x v="15"/>
    <x v="0"/>
    <n v="40"/>
    <x v="14"/>
    <n v="149"/>
    <x v="377"/>
    <n v="401525200"/>
    <x v="1"/>
    <x v="2"/>
    <x v="0"/>
    <x v="1"/>
    <x v="4"/>
    <n v="5"/>
    <x v="4"/>
    <n v="2694800"/>
    <n v="40.15"/>
  </r>
  <r>
    <d v="2023-05-22T00:00:00"/>
    <x v="2"/>
    <s v="Kanpur"/>
    <x v="4"/>
    <x v="4"/>
    <x v="2"/>
    <n v="77"/>
    <x v="4"/>
    <n v="32"/>
    <x v="378"/>
    <n v="141267200"/>
    <x v="0"/>
    <x v="1"/>
    <x v="0"/>
    <x v="1"/>
    <x v="4"/>
    <n v="5"/>
    <x v="4"/>
    <n v="4414600"/>
    <n v="14.13"/>
  </r>
  <r>
    <d v="2023-05-23T00:00:00"/>
    <x v="12"/>
    <s v="Faridabad"/>
    <x v="15"/>
    <x v="17"/>
    <x v="0"/>
    <n v="5"/>
    <x v="15"/>
    <n v="170"/>
    <x v="379"/>
    <n v="28458000"/>
    <x v="1"/>
    <x v="0"/>
    <x v="0"/>
    <x v="1"/>
    <x v="4"/>
    <n v="5"/>
    <x v="4"/>
    <n v="167400"/>
    <n v="2.85"/>
  </r>
  <r>
    <d v="2023-05-23T00:00:00"/>
    <x v="11"/>
    <s v="Salem"/>
    <x v="4"/>
    <x v="4"/>
    <x v="0"/>
    <n v="77"/>
    <x v="4"/>
    <n v="55"/>
    <x v="380"/>
    <n v="314132500"/>
    <x v="1"/>
    <x v="1"/>
    <x v="0"/>
    <x v="1"/>
    <x v="4"/>
    <n v="5"/>
    <x v="4"/>
    <n v="5711500"/>
    <n v="31.41"/>
  </r>
  <r>
    <d v="2023-05-23T00:00:00"/>
    <x v="5"/>
    <s v="Hubballi"/>
    <x v="13"/>
    <x v="15"/>
    <x v="1"/>
    <n v="40"/>
    <x v="14"/>
    <n v="117"/>
    <x v="381"/>
    <n v="281654100"/>
    <x v="0"/>
    <x v="1"/>
    <x v="0"/>
    <x v="1"/>
    <x v="4"/>
    <n v="5"/>
    <x v="4"/>
    <n v="2407300"/>
    <n v="28.17"/>
  </r>
  <r>
    <d v="2023-05-23T00:00:00"/>
    <x v="8"/>
    <s v="Durgapur"/>
    <x v="6"/>
    <x v="13"/>
    <x v="1"/>
    <n v="48"/>
    <x v="12"/>
    <n v="55"/>
    <x v="382"/>
    <n v="123970000"/>
    <x v="2"/>
    <x v="0"/>
    <x v="0"/>
    <x v="1"/>
    <x v="4"/>
    <n v="5"/>
    <x v="4"/>
    <n v="2254000"/>
    <n v="12.4"/>
  </r>
  <r>
    <d v="2023-05-23T00:00:00"/>
    <x v="0"/>
    <s v="Warangal"/>
    <x v="12"/>
    <x v="18"/>
    <x v="2"/>
    <n v="60"/>
    <x v="16"/>
    <n v="9"/>
    <x v="383"/>
    <n v="30429900"/>
    <x v="0"/>
    <x v="0"/>
    <x v="0"/>
    <x v="1"/>
    <x v="4"/>
    <n v="5"/>
    <x v="4"/>
    <n v="3381100"/>
    <n v="3.04"/>
  </r>
  <r>
    <d v="2023-05-25T00:00:00"/>
    <x v="6"/>
    <s v="Surat"/>
    <x v="6"/>
    <x v="13"/>
    <x v="2"/>
    <n v="48"/>
    <x v="12"/>
    <n v="85"/>
    <x v="384"/>
    <n v="221867000"/>
    <x v="1"/>
    <x v="0"/>
    <x v="0"/>
    <x v="1"/>
    <x v="4"/>
    <n v="5"/>
    <x v="4"/>
    <n v="2610200"/>
    <n v="22.19"/>
  </r>
  <r>
    <d v="2023-05-25T00:00:00"/>
    <x v="5"/>
    <s v="Mangaluru"/>
    <x v="12"/>
    <x v="14"/>
    <x v="1"/>
    <n v="82"/>
    <x v="13"/>
    <n v="31"/>
    <x v="385"/>
    <n v="171265700"/>
    <x v="1"/>
    <x v="0"/>
    <x v="0"/>
    <x v="1"/>
    <x v="4"/>
    <n v="5"/>
    <x v="4"/>
    <n v="5524700"/>
    <n v="17.13"/>
  </r>
  <r>
    <d v="2023-05-25T00:00:00"/>
    <x v="13"/>
    <s v="Gwalior"/>
    <x v="9"/>
    <x v="9"/>
    <x v="0"/>
    <n v="50"/>
    <x v="9"/>
    <n v="66"/>
    <x v="386"/>
    <n v="181889400"/>
    <x v="0"/>
    <x v="0"/>
    <x v="0"/>
    <x v="1"/>
    <x v="4"/>
    <n v="5"/>
    <x v="4"/>
    <n v="2755900"/>
    <n v="18.190000000000001"/>
  </r>
  <r>
    <d v="2023-05-26T00:00:00"/>
    <x v="2"/>
    <s v="Kanpur"/>
    <x v="6"/>
    <x v="6"/>
    <x v="1"/>
    <n v="72"/>
    <x v="6"/>
    <n v="130"/>
    <x v="387"/>
    <n v="686556000"/>
    <x v="1"/>
    <x v="1"/>
    <x v="0"/>
    <x v="1"/>
    <x v="4"/>
    <n v="5"/>
    <x v="4"/>
    <n v="5281200"/>
    <n v="68.66"/>
  </r>
  <r>
    <d v="2023-05-26T00:00:00"/>
    <x v="12"/>
    <s v="Panipat"/>
    <x v="13"/>
    <x v="19"/>
    <x v="0"/>
    <n v="24"/>
    <x v="17"/>
    <n v="18"/>
    <x v="388"/>
    <n v="26488800"/>
    <x v="2"/>
    <x v="1"/>
    <x v="0"/>
    <x v="1"/>
    <x v="4"/>
    <n v="5"/>
    <x v="4"/>
    <n v="1471600"/>
    <n v="2.65"/>
  </r>
  <r>
    <d v="2023-05-26T00:00:00"/>
    <x v="3"/>
    <s v="Mumbai"/>
    <x v="5"/>
    <x v="5"/>
    <x v="0"/>
    <n v="30"/>
    <x v="5"/>
    <n v="10"/>
    <x v="389"/>
    <n v="15684000"/>
    <x v="1"/>
    <x v="2"/>
    <x v="0"/>
    <x v="1"/>
    <x v="4"/>
    <n v="5"/>
    <x v="4"/>
    <n v="1568400"/>
    <n v="1.57"/>
  </r>
  <r>
    <d v="2023-05-26T00:00:00"/>
    <x v="14"/>
    <s v="Kota"/>
    <x v="6"/>
    <x v="13"/>
    <x v="0"/>
    <n v="48"/>
    <x v="12"/>
    <n v="44"/>
    <x v="390"/>
    <n v="88013200"/>
    <x v="0"/>
    <x v="0"/>
    <x v="0"/>
    <x v="1"/>
    <x v="4"/>
    <n v="5"/>
    <x v="4"/>
    <n v="2000300"/>
    <n v="8.8000000000000007"/>
  </r>
  <r>
    <d v="2023-05-26T00:00:00"/>
    <x v="11"/>
    <s v="Madurai"/>
    <x v="14"/>
    <x v="16"/>
    <x v="0"/>
    <n v="3"/>
    <x v="15"/>
    <n v="161"/>
    <x v="391"/>
    <n v="27643700"/>
    <x v="0"/>
    <x v="0"/>
    <x v="0"/>
    <x v="1"/>
    <x v="4"/>
    <n v="5"/>
    <x v="4"/>
    <n v="171700"/>
    <n v="2.76"/>
  </r>
  <r>
    <d v="2023-05-27T00:00:00"/>
    <x v="0"/>
    <s v="Warangal"/>
    <x v="13"/>
    <x v="22"/>
    <x v="3"/>
    <n v="35"/>
    <x v="10"/>
    <n v="150"/>
    <x v="392"/>
    <n v="283980000"/>
    <x v="1"/>
    <x v="2"/>
    <x v="0"/>
    <x v="1"/>
    <x v="4"/>
    <n v="5"/>
    <x v="4"/>
    <n v="1893200"/>
    <n v="28.4"/>
  </r>
  <r>
    <d v="2023-05-27T00:00:00"/>
    <x v="2"/>
    <s v="Kanpur"/>
    <x v="8"/>
    <x v="20"/>
    <x v="0"/>
    <n v="84"/>
    <x v="18"/>
    <n v="42"/>
    <x v="393"/>
    <n v="364602000"/>
    <x v="1"/>
    <x v="1"/>
    <x v="0"/>
    <x v="1"/>
    <x v="4"/>
    <n v="5"/>
    <x v="4"/>
    <n v="8681000"/>
    <n v="36.46"/>
  </r>
  <r>
    <d v="2023-05-27T00:00:00"/>
    <x v="0"/>
    <s v="Warangal"/>
    <x v="11"/>
    <x v="23"/>
    <x v="0"/>
    <n v="59"/>
    <x v="20"/>
    <n v="56"/>
    <x v="394"/>
    <n v="147352800"/>
    <x v="1"/>
    <x v="1"/>
    <x v="0"/>
    <x v="1"/>
    <x v="4"/>
    <n v="5"/>
    <x v="4"/>
    <n v="2631300"/>
    <n v="14.74"/>
  </r>
  <r>
    <d v="2023-05-28T00:00:00"/>
    <x v="1"/>
    <s v="New Delhi"/>
    <x v="0"/>
    <x v="0"/>
    <x v="0"/>
    <n v="82"/>
    <x v="0"/>
    <n v="44"/>
    <x v="395"/>
    <n v="337638400"/>
    <x v="0"/>
    <x v="2"/>
    <x v="0"/>
    <x v="1"/>
    <x v="4"/>
    <n v="5"/>
    <x v="4"/>
    <n v="7673600"/>
    <n v="33.76"/>
  </r>
  <r>
    <d v="2023-05-29T00:00:00"/>
    <x v="6"/>
    <s v="Rajkot"/>
    <x v="11"/>
    <x v="12"/>
    <x v="1"/>
    <n v="40"/>
    <x v="12"/>
    <n v="62"/>
    <x v="396"/>
    <n v="160561400"/>
    <x v="1"/>
    <x v="0"/>
    <x v="0"/>
    <x v="1"/>
    <x v="4"/>
    <n v="5"/>
    <x v="4"/>
    <n v="2589700"/>
    <n v="16.059999999999999"/>
  </r>
  <r>
    <d v="2023-05-30T00:00:00"/>
    <x v="14"/>
    <s v="Jodhpur"/>
    <x v="3"/>
    <x v="3"/>
    <x v="0"/>
    <n v="3"/>
    <x v="3"/>
    <n v="167"/>
    <x v="397"/>
    <n v="19522300"/>
    <x v="0"/>
    <x v="2"/>
    <x v="0"/>
    <x v="1"/>
    <x v="4"/>
    <n v="5"/>
    <x v="4"/>
    <n v="116900"/>
    <n v="1.95"/>
  </r>
  <r>
    <d v="2023-05-31T00:00:00"/>
    <x v="3"/>
    <s v="Nashik"/>
    <x v="3"/>
    <x v="3"/>
    <x v="0"/>
    <n v="3"/>
    <x v="3"/>
    <n v="133"/>
    <x v="398"/>
    <n v="14058100"/>
    <x v="1"/>
    <x v="3"/>
    <x v="0"/>
    <x v="1"/>
    <x v="4"/>
    <n v="5"/>
    <x v="4"/>
    <n v="105700"/>
    <n v="1.41"/>
  </r>
  <r>
    <d v="2023-06-01T00:00:00"/>
    <x v="12"/>
    <s v="Panipat"/>
    <x v="11"/>
    <x v="12"/>
    <x v="2"/>
    <n v="40"/>
    <x v="12"/>
    <n v="57"/>
    <x v="399"/>
    <n v="124619100"/>
    <x v="0"/>
    <x v="0"/>
    <x v="0"/>
    <x v="1"/>
    <x v="5"/>
    <n v="6"/>
    <x v="5"/>
    <n v="2186300"/>
    <n v="12.46"/>
  </r>
  <r>
    <d v="2023-06-02T00:00:00"/>
    <x v="12"/>
    <s v="Hisar"/>
    <x v="3"/>
    <x v="3"/>
    <x v="0"/>
    <n v="3"/>
    <x v="3"/>
    <n v="151"/>
    <x v="400"/>
    <n v="20581300"/>
    <x v="0"/>
    <x v="0"/>
    <x v="0"/>
    <x v="1"/>
    <x v="5"/>
    <n v="6"/>
    <x v="5"/>
    <n v="136300"/>
    <n v="2.06"/>
  </r>
  <r>
    <d v="2023-06-03T00:00:00"/>
    <x v="11"/>
    <s v="Coimbatore"/>
    <x v="4"/>
    <x v="4"/>
    <x v="0"/>
    <n v="77"/>
    <x v="4"/>
    <n v="52"/>
    <x v="401"/>
    <n v="287856400"/>
    <x v="0"/>
    <x v="2"/>
    <x v="0"/>
    <x v="1"/>
    <x v="5"/>
    <n v="6"/>
    <x v="5"/>
    <n v="5535700"/>
    <n v="28.79"/>
  </r>
  <r>
    <d v="2023-06-03T00:00:00"/>
    <x v="3"/>
    <s v="Nashik"/>
    <x v="13"/>
    <x v="19"/>
    <x v="0"/>
    <n v="24"/>
    <x v="17"/>
    <n v="137"/>
    <x v="402"/>
    <n v="206445300"/>
    <x v="1"/>
    <x v="0"/>
    <x v="0"/>
    <x v="1"/>
    <x v="5"/>
    <n v="6"/>
    <x v="5"/>
    <n v="1506900"/>
    <n v="20.64"/>
  </r>
  <r>
    <d v="2023-06-03T00:00:00"/>
    <x v="1"/>
    <s v="Dwarka"/>
    <x v="6"/>
    <x v="13"/>
    <x v="0"/>
    <n v="48"/>
    <x v="12"/>
    <n v="172"/>
    <x v="403"/>
    <n v="353047200"/>
    <x v="1"/>
    <x v="0"/>
    <x v="0"/>
    <x v="1"/>
    <x v="5"/>
    <n v="6"/>
    <x v="5"/>
    <n v="2052600"/>
    <n v="35.299999999999997"/>
  </r>
  <r>
    <d v="2023-06-03T00:00:00"/>
    <x v="11"/>
    <s v="Salem"/>
    <x v="11"/>
    <x v="12"/>
    <x v="0"/>
    <n v="40"/>
    <x v="12"/>
    <n v="134"/>
    <x v="404"/>
    <n v="341150600"/>
    <x v="1"/>
    <x v="0"/>
    <x v="0"/>
    <x v="1"/>
    <x v="5"/>
    <n v="6"/>
    <x v="5"/>
    <n v="2545900"/>
    <n v="34.119999999999997"/>
  </r>
  <r>
    <d v="2023-06-03T00:00:00"/>
    <x v="5"/>
    <s v="Mysuru"/>
    <x v="0"/>
    <x v="0"/>
    <x v="0"/>
    <n v="82"/>
    <x v="0"/>
    <n v="7"/>
    <x v="405"/>
    <n v="47214300"/>
    <x v="1"/>
    <x v="0"/>
    <x v="0"/>
    <x v="1"/>
    <x v="5"/>
    <n v="6"/>
    <x v="5"/>
    <n v="6744900"/>
    <n v="4.72"/>
  </r>
  <r>
    <d v="2023-06-03T00:00:00"/>
    <x v="1"/>
    <s v="Saket"/>
    <x v="7"/>
    <x v="7"/>
    <x v="0"/>
    <n v="3"/>
    <x v="7"/>
    <n v="45"/>
    <x v="406"/>
    <n v="7015500"/>
    <x v="0"/>
    <x v="0"/>
    <x v="0"/>
    <x v="1"/>
    <x v="5"/>
    <n v="6"/>
    <x v="5"/>
    <n v="155900"/>
    <n v="0.7"/>
  </r>
  <r>
    <d v="2023-06-04T00:00:00"/>
    <x v="3"/>
    <s v="Nashik"/>
    <x v="14"/>
    <x v="16"/>
    <x v="0"/>
    <n v="3"/>
    <x v="15"/>
    <n v="76"/>
    <x v="407"/>
    <n v="10784400"/>
    <x v="0"/>
    <x v="0"/>
    <x v="0"/>
    <x v="1"/>
    <x v="5"/>
    <n v="6"/>
    <x v="5"/>
    <n v="141900"/>
    <n v="1.08"/>
  </r>
  <r>
    <d v="2023-06-05T00:00:00"/>
    <x v="11"/>
    <s v="Chennai"/>
    <x v="0"/>
    <x v="0"/>
    <x v="0"/>
    <n v="82"/>
    <x v="0"/>
    <n v="21"/>
    <x v="408"/>
    <n v="136728900"/>
    <x v="0"/>
    <x v="0"/>
    <x v="0"/>
    <x v="1"/>
    <x v="5"/>
    <n v="6"/>
    <x v="5"/>
    <n v="6510900"/>
    <n v="13.67"/>
  </r>
  <r>
    <d v="2023-06-05T00:00:00"/>
    <x v="5"/>
    <s v="Bengaluru"/>
    <x v="11"/>
    <x v="23"/>
    <x v="0"/>
    <n v="59"/>
    <x v="20"/>
    <n v="177"/>
    <x v="409"/>
    <n v="516450600"/>
    <x v="1"/>
    <x v="0"/>
    <x v="0"/>
    <x v="1"/>
    <x v="5"/>
    <n v="6"/>
    <x v="5"/>
    <n v="2917800"/>
    <n v="51.65"/>
  </r>
  <r>
    <d v="2023-06-06T00:00:00"/>
    <x v="12"/>
    <s v="Hisar"/>
    <x v="6"/>
    <x v="6"/>
    <x v="0"/>
    <n v="72"/>
    <x v="6"/>
    <n v="84"/>
    <x v="410"/>
    <n v="414321600"/>
    <x v="1"/>
    <x v="0"/>
    <x v="0"/>
    <x v="1"/>
    <x v="5"/>
    <n v="6"/>
    <x v="5"/>
    <n v="4932400"/>
    <n v="41.43"/>
  </r>
  <r>
    <d v="2023-06-06T00:00:00"/>
    <x v="5"/>
    <s v="Hubballi"/>
    <x v="0"/>
    <x v="0"/>
    <x v="3"/>
    <n v="82"/>
    <x v="0"/>
    <n v="24"/>
    <x v="411"/>
    <n v="143155200"/>
    <x v="1"/>
    <x v="1"/>
    <x v="0"/>
    <x v="1"/>
    <x v="5"/>
    <n v="6"/>
    <x v="5"/>
    <n v="5964800"/>
    <n v="14.32"/>
  </r>
  <r>
    <d v="2023-06-07T00:00:00"/>
    <x v="11"/>
    <s v="Salem"/>
    <x v="7"/>
    <x v="7"/>
    <x v="0"/>
    <n v="3"/>
    <x v="7"/>
    <n v="88"/>
    <x v="412"/>
    <n v="13455200"/>
    <x v="1"/>
    <x v="1"/>
    <x v="0"/>
    <x v="1"/>
    <x v="5"/>
    <n v="6"/>
    <x v="5"/>
    <n v="152900"/>
    <n v="1.35"/>
  </r>
  <r>
    <d v="2023-06-07T00:00:00"/>
    <x v="10"/>
    <s v="Thiruvananthapuram"/>
    <x v="0"/>
    <x v="0"/>
    <x v="3"/>
    <n v="82"/>
    <x v="0"/>
    <n v="49"/>
    <x v="413"/>
    <n v="311983000"/>
    <x v="1"/>
    <x v="0"/>
    <x v="0"/>
    <x v="1"/>
    <x v="5"/>
    <n v="6"/>
    <x v="5"/>
    <n v="6367000"/>
    <n v="31.2"/>
  </r>
  <r>
    <d v="2023-06-08T00:00:00"/>
    <x v="3"/>
    <s v="Nagpur"/>
    <x v="0"/>
    <x v="0"/>
    <x v="0"/>
    <n v="82"/>
    <x v="0"/>
    <n v="9"/>
    <x v="414"/>
    <n v="61054200"/>
    <x v="0"/>
    <x v="2"/>
    <x v="0"/>
    <x v="1"/>
    <x v="5"/>
    <n v="6"/>
    <x v="5"/>
    <n v="6783800"/>
    <n v="6.11"/>
  </r>
  <r>
    <d v="2023-06-09T00:00:00"/>
    <x v="0"/>
    <s v="Warangal"/>
    <x v="11"/>
    <x v="23"/>
    <x v="1"/>
    <n v="59"/>
    <x v="20"/>
    <n v="179"/>
    <x v="415"/>
    <n v="535639600"/>
    <x v="0"/>
    <x v="2"/>
    <x v="0"/>
    <x v="1"/>
    <x v="5"/>
    <n v="6"/>
    <x v="5"/>
    <n v="2992400"/>
    <n v="53.56"/>
  </r>
  <r>
    <d v="2023-06-09T00:00:00"/>
    <x v="7"/>
    <s v="Vijayawada"/>
    <x v="10"/>
    <x v="11"/>
    <x v="0"/>
    <n v="69"/>
    <x v="11"/>
    <n v="41"/>
    <x v="416"/>
    <n v="246742100"/>
    <x v="1"/>
    <x v="1"/>
    <x v="0"/>
    <x v="1"/>
    <x v="5"/>
    <n v="6"/>
    <x v="5"/>
    <n v="6018100"/>
    <n v="24.67"/>
  </r>
  <r>
    <d v="2023-06-09T00:00:00"/>
    <x v="12"/>
    <s v="Hisar"/>
    <x v="2"/>
    <x v="2"/>
    <x v="0"/>
    <n v="66"/>
    <x v="2"/>
    <n v="9"/>
    <x v="417"/>
    <n v="73529100"/>
    <x v="1"/>
    <x v="1"/>
    <x v="0"/>
    <x v="1"/>
    <x v="5"/>
    <n v="6"/>
    <x v="5"/>
    <n v="8169900"/>
    <n v="7.35"/>
  </r>
  <r>
    <d v="2023-06-10T00:00:00"/>
    <x v="0"/>
    <s v="Nizamabad"/>
    <x v="1"/>
    <x v="1"/>
    <x v="0"/>
    <n v="4"/>
    <x v="1"/>
    <n v="18"/>
    <x v="418"/>
    <n v="2556000"/>
    <x v="1"/>
    <x v="2"/>
    <x v="0"/>
    <x v="1"/>
    <x v="5"/>
    <n v="6"/>
    <x v="5"/>
    <n v="142000"/>
    <n v="0.26"/>
  </r>
  <r>
    <d v="2023-06-10T00:00:00"/>
    <x v="4"/>
    <s v="Jalandhar"/>
    <x v="15"/>
    <x v="17"/>
    <x v="0"/>
    <n v="5"/>
    <x v="15"/>
    <n v="83"/>
    <x v="419"/>
    <n v="12350400"/>
    <x v="0"/>
    <x v="0"/>
    <x v="0"/>
    <x v="1"/>
    <x v="5"/>
    <n v="6"/>
    <x v="5"/>
    <n v="148800"/>
    <n v="1.24"/>
  </r>
  <r>
    <d v="2023-06-10T00:00:00"/>
    <x v="13"/>
    <s v="Indore"/>
    <x v="11"/>
    <x v="23"/>
    <x v="2"/>
    <n v="59"/>
    <x v="20"/>
    <n v="26"/>
    <x v="420"/>
    <n v="64279800"/>
    <x v="1"/>
    <x v="0"/>
    <x v="0"/>
    <x v="1"/>
    <x v="5"/>
    <n v="6"/>
    <x v="5"/>
    <n v="2472300"/>
    <n v="6.43"/>
  </r>
  <r>
    <d v="2023-06-11T00:00:00"/>
    <x v="13"/>
    <s v="Gwalior"/>
    <x v="9"/>
    <x v="10"/>
    <x v="0"/>
    <n v="25"/>
    <x v="10"/>
    <n v="49"/>
    <x v="421"/>
    <n v="60309200"/>
    <x v="1"/>
    <x v="0"/>
    <x v="0"/>
    <x v="1"/>
    <x v="5"/>
    <n v="6"/>
    <x v="5"/>
    <n v="1230800"/>
    <n v="6.03"/>
  </r>
  <r>
    <d v="2023-06-11T00:00:00"/>
    <x v="6"/>
    <s v="Ahmedabad"/>
    <x v="5"/>
    <x v="5"/>
    <x v="1"/>
    <n v="30"/>
    <x v="5"/>
    <n v="70"/>
    <x v="422"/>
    <n v="108857000"/>
    <x v="0"/>
    <x v="0"/>
    <x v="0"/>
    <x v="1"/>
    <x v="5"/>
    <n v="6"/>
    <x v="5"/>
    <n v="1555100"/>
    <n v="10.89"/>
  </r>
  <r>
    <d v="2023-06-11T00:00:00"/>
    <x v="0"/>
    <s v="Hyderabad"/>
    <x v="11"/>
    <x v="12"/>
    <x v="0"/>
    <n v="40"/>
    <x v="12"/>
    <n v="156"/>
    <x v="423"/>
    <n v="283654800"/>
    <x v="1"/>
    <x v="0"/>
    <x v="0"/>
    <x v="1"/>
    <x v="5"/>
    <n v="6"/>
    <x v="5"/>
    <n v="1818300"/>
    <n v="28.37"/>
  </r>
  <r>
    <d v="2023-06-12T00:00:00"/>
    <x v="9"/>
    <s v="Patna"/>
    <x v="2"/>
    <x v="2"/>
    <x v="0"/>
    <n v="66"/>
    <x v="2"/>
    <n v="73"/>
    <x v="424"/>
    <n v="685265600"/>
    <x v="1"/>
    <x v="0"/>
    <x v="0"/>
    <x v="1"/>
    <x v="5"/>
    <n v="6"/>
    <x v="5"/>
    <n v="9387200"/>
    <n v="68.53"/>
  </r>
  <r>
    <d v="2023-06-12T00:00:00"/>
    <x v="12"/>
    <s v="Panipat"/>
    <x v="5"/>
    <x v="5"/>
    <x v="0"/>
    <n v="30"/>
    <x v="5"/>
    <n v="78"/>
    <x v="425"/>
    <n v="116547600"/>
    <x v="1"/>
    <x v="3"/>
    <x v="0"/>
    <x v="1"/>
    <x v="5"/>
    <n v="6"/>
    <x v="5"/>
    <n v="1494200"/>
    <n v="11.65"/>
  </r>
  <r>
    <d v="2023-06-12T00:00:00"/>
    <x v="5"/>
    <s v="Bengaluru"/>
    <x v="5"/>
    <x v="5"/>
    <x v="0"/>
    <n v="30"/>
    <x v="5"/>
    <n v="17"/>
    <x v="426"/>
    <n v="21586600"/>
    <x v="0"/>
    <x v="0"/>
    <x v="0"/>
    <x v="1"/>
    <x v="5"/>
    <n v="6"/>
    <x v="5"/>
    <n v="1269800"/>
    <n v="2.16"/>
  </r>
  <r>
    <d v="2023-06-12T00:00:00"/>
    <x v="12"/>
    <s v="Hisar"/>
    <x v="10"/>
    <x v="11"/>
    <x v="2"/>
    <n v="69"/>
    <x v="11"/>
    <n v="70"/>
    <x v="427"/>
    <n v="358169000"/>
    <x v="1"/>
    <x v="0"/>
    <x v="0"/>
    <x v="1"/>
    <x v="5"/>
    <n v="6"/>
    <x v="5"/>
    <n v="5116700"/>
    <n v="35.82"/>
  </r>
  <r>
    <d v="2023-06-12T00:00:00"/>
    <x v="14"/>
    <s v="Udaipur"/>
    <x v="8"/>
    <x v="8"/>
    <x v="2"/>
    <n v="66"/>
    <x v="8"/>
    <n v="70"/>
    <x v="428"/>
    <n v="390516000"/>
    <x v="0"/>
    <x v="2"/>
    <x v="0"/>
    <x v="1"/>
    <x v="5"/>
    <n v="6"/>
    <x v="5"/>
    <n v="5578800"/>
    <n v="39.049999999999997"/>
  </r>
  <r>
    <d v="2023-06-13T00:00:00"/>
    <x v="6"/>
    <s v="Surat"/>
    <x v="0"/>
    <x v="0"/>
    <x v="0"/>
    <n v="82"/>
    <x v="0"/>
    <n v="71"/>
    <x v="429"/>
    <n v="508317400"/>
    <x v="0"/>
    <x v="2"/>
    <x v="0"/>
    <x v="1"/>
    <x v="5"/>
    <n v="6"/>
    <x v="5"/>
    <n v="7159400"/>
    <n v="50.83"/>
  </r>
  <r>
    <d v="2023-06-13T00:00:00"/>
    <x v="4"/>
    <s v="Ludhiana"/>
    <x v="1"/>
    <x v="21"/>
    <x v="0"/>
    <n v="3"/>
    <x v="19"/>
    <n v="55"/>
    <x v="164"/>
    <n v="6545000"/>
    <x v="1"/>
    <x v="2"/>
    <x v="0"/>
    <x v="1"/>
    <x v="5"/>
    <n v="6"/>
    <x v="5"/>
    <n v="119000"/>
    <n v="0.65"/>
  </r>
  <r>
    <d v="2023-06-13T00:00:00"/>
    <x v="5"/>
    <s v="Mysuru"/>
    <x v="5"/>
    <x v="5"/>
    <x v="0"/>
    <n v="30"/>
    <x v="5"/>
    <n v="38"/>
    <x v="430"/>
    <n v="50619800"/>
    <x v="1"/>
    <x v="1"/>
    <x v="0"/>
    <x v="1"/>
    <x v="5"/>
    <n v="6"/>
    <x v="5"/>
    <n v="1332100"/>
    <n v="5.0599999999999996"/>
  </r>
  <r>
    <d v="2023-06-13T00:00:00"/>
    <x v="0"/>
    <s v="Warangal"/>
    <x v="4"/>
    <x v="4"/>
    <x v="0"/>
    <n v="77"/>
    <x v="4"/>
    <n v="18"/>
    <x v="431"/>
    <n v="85919400"/>
    <x v="1"/>
    <x v="2"/>
    <x v="0"/>
    <x v="1"/>
    <x v="5"/>
    <n v="6"/>
    <x v="5"/>
    <n v="4773300"/>
    <n v="8.59"/>
  </r>
  <r>
    <d v="2023-06-14T00:00:00"/>
    <x v="3"/>
    <s v="Nashik"/>
    <x v="13"/>
    <x v="22"/>
    <x v="1"/>
    <n v="35"/>
    <x v="10"/>
    <n v="35"/>
    <x v="432"/>
    <n v="64456000"/>
    <x v="1"/>
    <x v="2"/>
    <x v="0"/>
    <x v="1"/>
    <x v="5"/>
    <n v="6"/>
    <x v="5"/>
    <n v="1841600"/>
    <n v="6.45"/>
  </r>
  <r>
    <d v="2023-06-14T00:00:00"/>
    <x v="2"/>
    <s v="Kanpur"/>
    <x v="12"/>
    <x v="14"/>
    <x v="1"/>
    <n v="82"/>
    <x v="13"/>
    <n v="66"/>
    <x v="433"/>
    <n v="325617600"/>
    <x v="2"/>
    <x v="0"/>
    <x v="0"/>
    <x v="1"/>
    <x v="5"/>
    <n v="6"/>
    <x v="5"/>
    <n v="4933600"/>
    <n v="32.56"/>
  </r>
  <r>
    <d v="2023-06-14T00:00:00"/>
    <x v="13"/>
    <s v="Indore"/>
    <x v="0"/>
    <x v="0"/>
    <x v="2"/>
    <n v="82"/>
    <x v="0"/>
    <n v="42"/>
    <x v="434"/>
    <n v="285868800"/>
    <x v="1"/>
    <x v="0"/>
    <x v="0"/>
    <x v="1"/>
    <x v="5"/>
    <n v="6"/>
    <x v="5"/>
    <n v="6806400"/>
    <n v="28.59"/>
  </r>
  <r>
    <d v="2023-06-14T00:00:00"/>
    <x v="12"/>
    <s v="Faridabad"/>
    <x v="15"/>
    <x v="17"/>
    <x v="0"/>
    <n v="5"/>
    <x v="15"/>
    <n v="99"/>
    <x v="435"/>
    <n v="13968900"/>
    <x v="1"/>
    <x v="0"/>
    <x v="0"/>
    <x v="1"/>
    <x v="5"/>
    <n v="6"/>
    <x v="5"/>
    <n v="141100"/>
    <n v="1.4"/>
  </r>
  <r>
    <d v="2023-06-14T00:00:00"/>
    <x v="1"/>
    <s v="Saket"/>
    <x v="7"/>
    <x v="7"/>
    <x v="0"/>
    <n v="3"/>
    <x v="7"/>
    <n v="16"/>
    <x v="436"/>
    <n v="2475200"/>
    <x v="1"/>
    <x v="2"/>
    <x v="0"/>
    <x v="1"/>
    <x v="5"/>
    <n v="6"/>
    <x v="5"/>
    <n v="154700"/>
    <n v="0.25"/>
  </r>
  <r>
    <d v="2023-06-14T00:00:00"/>
    <x v="6"/>
    <s v="Vadodara"/>
    <x v="12"/>
    <x v="14"/>
    <x v="0"/>
    <n v="82"/>
    <x v="13"/>
    <n v="14"/>
    <x v="437"/>
    <n v="81127200"/>
    <x v="1"/>
    <x v="0"/>
    <x v="0"/>
    <x v="1"/>
    <x v="5"/>
    <n v="6"/>
    <x v="5"/>
    <n v="5794800"/>
    <n v="8.11"/>
  </r>
  <r>
    <d v="2023-06-15T00:00:00"/>
    <x v="10"/>
    <s v="Kozhikode"/>
    <x v="0"/>
    <x v="0"/>
    <x v="1"/>
    <n v="82"/>
    <x v="0"/>
    <n v="75"/>
    <x v="438"/>
    <n v="545692500"/>
    <x v="0"/>
    <x v="0"/>
    <x v="0"/>
    <x v="1"/>
    <x v="5"/>
    <n v="6"/>
    <x v="5"/>
    <n v="7275900"/>
    <n v="54.57"/>
  </r>
  <r>
    <d v="2023-06-15T00:00:00"/>
    <x v="0"/>
    <s v="Hyderabad"/>
    <x v="6"/>
    <x v="6"/>
    <x v="0"/>
    <n v="72"/>
    <x v="6"/>
    <n v="129"/>
    <x v="439"/>
    <n v="732578100"/>
    <x v="2"/>
    <x v="0"/>
    <x v="0"/>
    <x v="1"/>
    <x v="5"/>
    <n v="6"/>
    <x v="5"/>
    <n v="5678900"/>
    <n v="73.260000000000005"/>
  </r>
  <r>
    <d v="2023-06-16T00:00:00"/>
    <x v="13"/>
    <s v="Indore"/>
    <x v="2"/>
    <x v="2"/>
    <x v="1"/>
    <n v="66"/>
    <x v="2"/>
    <n v="30"/>
    <x v="440"/>
    <n v="236118000"/>
    <x v="1"/>
    <x v="1"/>
    <x v="0"/>
    <x v="1"/>
    <x v="5"/>
    <n v="6"/>
    <x v="5"/>
    <n v="7870600"/>
    <n v="23.61"/>
  </r>
  <r>
    <d v="2023-06-16T00:00:00"/>
    <x v="1"/>
    <s v="Saket"/>
    <x v="2"/>
    <x v="2"/>
    <x v="2"/>
    <n v="66"/>
    <x v="2"/>
    <n v="11"/>
    <x v="441"/>
    <n v="87683200"/>
    <x v="1"/>
    <x v="1"/>
    <x v="0"/>
    <x v="1"/>
    <x v="5"/>
    <n v="6"/>
    <x v="5"/>
    <n v="7971200"/>
    <n v="8.77"/>
  </r>
  <r>
    <d v="2023-06-17T00:00:00"/>
    <x v="3"/>
    <s v="Nagpur"/>
    <x v="13"/>
    <x v="15"/>
    <x v="2"/>
    <n v="40"/>
    <x v="14"/>
    <n v="143"/>
    <x v="442"/>
    <n v="368196400"/>
    <x v="1"/>
    <x v="3"/>
    <x v="0"/>
    <x v="1"/>
    <x v="5"/>
    <n v="6"/>
    <x v="5"/>
    <n v="2574800"/>
    <n v="36.82"/>
  </r>
  <r>
    <d v="2023-06-17T00:00:00"/>
    <x v="2"/>
    <s v="Noida"/>
    <x v="11"/>
    <x v="12"/>
    <x v="0"/>
    <n v="40"/>
    <x v="12"/>
    <n v="151"/>
    <x v="443"/>
    <n v="290176700"/>
    <x v="2"/>
    <x v="0"/>
    <x v="0"/>
    <x v="1"/>
    <x v="5"/>
    <n v="6"/>
    <x v="5"/>
    <n v="1921700"/>
    <n v="29.02"/>
  </r>
  <r>
    <d v="2023-06-17T00:00:00"/>
    <x v="8"/>
    <s v="Durgapur"/>
    <x v="15"/>
    <x v="17"/>
    <x v="0"/>
    <n v="5"/>
    <x v="15"/>
    <n v="108"/>
    <x v="444"/>
    <n v="15627600"/>
    <x v="1"/>
    <x v="0"/>
    <x v="0"/>
    <x v="1"/>
    <x v="5"/>
    <n v="6"/>
    <x v="5"/>
    <n v="144700"/>
    <n v="1.56"/>
  </r>
  <r>
    <d v="2023-06-17T00:00:00"/>
    <x v="7"/>
    <s v="Vijayawada"/>
    <x v="4"/>
    <x v="4"/>
    <x v="0"/>
    <n v="77"/>
    <x v="4"/>
    <n v="41"/>
    <x v="445"/>
    <n v="187218300"/>
    <x v="1"/>
    <x v="1"/>
    <x v="0"/>
    <x v="1"/>
    <x v="5"/>
    <n v="6"/>
    <x v="5"/>
    <n v="4566300"/>
    <n v="18.72"/>
  </r>
  <r>
    <d v="2023-06-18T00:00:00"/>
    <x v="14"/>
    <s v="Jodhpur"/>
    <x v="0"/>
    <x v="0"/>
    <x v="0"/>
    <n v="82"/>
    <x v="0"/>
    <n v="54"/>
    <x v="446"/>
    <n v="331257600"/>
    <x v="2"/>
    <x v="0"/>
    <x v="0"/>
    <x v="1"/>
    <x v="5"/>
    <n v="6"/>
    <x v="5"/>
    <n v="6134400"/>
    <n v="33.130000000000003"/>
  </r>
  <r>
    <d v="2023-06-19T00:00:00"/>
    <x v="2"/>
    <s v="Kanpur"/>
    <x v="5"/>
    <x v="5"/>
    <x v="2"/>
    <n v="30"/>
    <x v="5"/>
    <n v="59"/>
    <x v="447"/>
    <n v="83361100"/>
    <x v="1"/>
    <x v="0"/>
    <x v="0"/>
    <x v="1"/>
    <x v="5"/>
    <n v="6"/>
    <x v="5"/>
    <n v="1412900"/>
    <n v="8.34"/>
  </r>
  <r>
    <d v="2023-06-20T00:00:00"/>
    <x v="2"/>
    <s v="Lucknow"/>
    <x v="8"/>
    <x v="8"/>
    <x v="0"/>
    <n v="66"/>
    <x v="8"/>
    <n v="17"/>
    <x v="448"/>
    <n v="90399200"/>
    <x v="0"/>
    <x v="2"/>
    <x v="0"/>
    <x v="1"/>
    <x v="5"/>
    <n v="6"/>
    <x v="5"/>
    <n v="5317600"/>
    <n v="9.0399999999999991"/>
  </r>
  <r>
    <d v="2023-06-20T00:00:00"/>
    <x v="3"/>
    <s v="Nashik"/>
    <x v="12"/>
    <x v="14"/>
    <x v="0"/>
    <n v="82"/>
    <x v="13"/>
    <n v="42"/>
    <x v="449"/>
    <n v="213305400"/>
    <x v="1"/>
    <x v="2"/>
    <x v="0"/>
    <x v="1"/>
    <x v="5"/>
    <n v="6"/>
    <x v="5"/>
    <n v="5078700"/>
    <n v="21.33"/>
  </r>
  <r>
    <d v="2023-06-20T00:00:00"/>
    <x v="3"/>
    <s v="Nagpur"/>
    <x v="6"/>
    <x v="13"/>
    <x v="1"/>
    <n v="48"/>
    <x v="12"/>
    <n v="176"/>
    <x v="450"/>
    <n v="445192000"/>
    <x v="0"/>
    <x v="0"/>
    <x v="0"/>
    <x v="1"/>
    <x v="5"/>
    <n v="6"/>
    <x v="5"/>
    <n v="2529500"/>
    <n v="44.52"/>
  </r>
  <r>
    <d v="2023-06-20T00:00:00"/>
    <x v="5"/>
    <s v="Mysuru"/>
    <x v="3"/>
    <x v="3"/>
    <x v="0"/>
    <n v="3"/>
    <x v="3"/>
    <n v="169"/>
    <x v="451"/>
    <n v="18201300"/>
    <x v="1"/>
    <x v="0"/>
    <x v="0"/>
    <x v="1"/>
    <x v="5"/>
    <n v="6"/>
    <x v="5"/>
    <n v="107700"/>
    <n v="1.82"/>
  </r>
  <r>
    <d v="2023-06-20T00:00:00"/>
    <x v="3"/>
    <s v="Mumbai"/>
    <x v="3"/>
    <x v="3"/>
    <x v="0"/>
    <n v="3"/>
    <x v="3"/>
    <n v="38"/>
    <x v="452"/>
    <n v="4419400"/>
    <x v="1"/>
    <x v="2"/>
    <x v="0"/>
    <x v="1"/>
    <x v="5"/>
    <n v="6"/>
    <x v="5"/>
    <n v="116300"/>
    <n v="0.44"/>
  </r>
  <r>
    <d v="2023-06-21T00:00:00"/>
    <x v="14"/>
    <s v="Jodhpur"/>
    <x v="8"/>
    <x v="8"/>
    <x v="2"/>
    <n v="66"/>
    <x v="8"/>
    <n v="38"/>
    <x v="453"/>
    <n v="216676000"/>
    <x v="1"/>
    <x v="0"/>
    <x v="0"/>
    <x v="1"/>
    <x v="5"/>
    <n v="6"/>
    <x v="5"/>
    <n v="5702000"/>
    <n v="21.67"/>
  </r>
  <r>
    <d v="2023-06-21T00:00:00"/>
    <x v="14"/>
    <s v="Udaipur"/>
    <x v="3"/>
    <x v="3"/>
    <x v="0"/>
    <n v="3"/>
    <x v="3"/>
    <n v="144"/>
    <x v="454"/>
    <n v="17827200"/>
    <x v="0"/>
    <x v="3"/>
    <x v="0"/>
    <x v="1"/>
    <x v="5"/>
    <n v="6"/>
    <x v="5"/>
    <n v="123800"/>
    <n v="1.78"/>
  </r>
  <r>
    <d v="2023-06-21T00:00:00"/>
    <x v="2"/>
    <s v="Ghaziabad"/>
    <x v="4"/>
    <x v="4"/>
    <x v="1"/>
    <n v="77"/>
    <x v="4"/>
    <n v="72"/>
    <x v="455"/>
    <n v="312307200"/>
    <x v="1"/>
    <x v="0"/>
    <x v="0"/>
    <x v="1"/>
    <x v="5"/>
    <n v="6"/>
    <x v="5"/>
    <n v="4337600"/>
    <n v="31.23"/>
  </r>
  <r>
    <d v="2023-06-22T00:00:00"/>
    <x v="5"/>
    <s v="Hubballi"/>
    <x v="0"/>
    <x v="0"/>
    <x v="0"/>
    <n v="82"/>
    <x v="0"/>
    <n v="39"/>
    <x v="456"/>
    <n v="289426800"/>
    <x v="1"/>
    <x v="2"/>
    <x v="0"/>
    <x v="1"/>
    <x v="5"/>
    <n v="6"/>
    <x v="5"/>
    <n v="7421200"/>
    <n v="28.94"/>
  </r>
  <r>
    <d v="2023-06-23T00:00:00"/>
    <x v="0"/>
    <s v="Warangal"/>
    <x v="14"/>
    <x v="16"/>
    <x v="0"/>
    <n v="3"/>
    <x v="15"/>
    <n v="57"/>
    <x v="457"/>
    <n v="9291000"/>
    <x v="1"/>
    <x v="2"/>
    <x v="0"/>
    <x v="1"/>
    <x v="5"/>
    <n v="6"/>
    <x v="5"/>
    <n v="163000"/>
    <n v="0.93"/>
  </r>
  <r>
    <d v="2023-06-24T00:00:00"/>
    <x v="6"/>
    <s v="Ahmedabad"/>
    <x v="12"/>
    <x v="14"/>
    <x v="0"/>
    <n v="82"/>
    <x v="13"/>
    <n v="19"/>
    <x v="458"/>
    <n v="107847800"/>
    <x v="1"/>
    <x v="0"/>
    <x v="0"/>
    <x v="1"/>
    <x v="5"/>
    <n v="6"/>
    <x v="5"/>
    <n v="5676200"/>
    <n v="10.78"/>
  </r>
  <r>
    <d v="2023-06-24T00:00:00"/>
    <x v="0"/>
    <s v="Warangal"/>
    <x v="3"/>
    <x v="3"/>
    <x v="0"/>
    <n v="3"/>
    <x v="3"/>
    <n v="77"/>
    <x v="459"/>
    <n v="8431500"/>
    <x v="0"/>
    <x v="1"/>
    <x v="0"/>
    <x v="1"/>
    <x v="5"/>
    <n v="6"/>
    <x v="5"/>
    <n v="109500"/>
    <n v="0.84"/>
  </r>
  <r>
    <d v="2023-06-24T00:00:00"/>
    <x v="13"/>
    <s v="Gwalior"/>
    <x v="10"/>
    <x v="11"/>
    <x v="0"/>
    <n v="69"/>
    <x v="11"/>
    <n v="25"/>
    <x v="460"/>
    <n v="143277500"/>
    <x v="1"/>
    <x v="2"/>
    <x v="0"/>
    <x v="1"/>
    <x v="5"/>
    <n v="6"/>
    <x v="5"/>
    <n v="5731100"/>
    <n v="14.33"/>
  </r>
  <r>
    <d v="2023-06-24T00:00:00"/>
    <x v="14"/>
    <s v="Jodhpur"/>
    <x v="15"/>
    <x v="17"/>
    <x v="0"/>
    <n v="5"/>
    <x v="15"/>
    <n v="87"/>
    <x v="461"/>
    <n v="13032600"/>
    <x v="0"/>
    <x v="0"/>
    <x v="0"/>
    <x v="1"/>
    <x v="5"/>
    <n v="6"/>
    <x v="5"/>
    <n v="149800"/>
    <n v="1.3"/>
  </r>
  <r>
    <d v="2023-06-25T00:00:00"/>
    <x v="3"/>
    <s v="Pune"/>
    <x v="11"/>
    <x v="12"/>
    <x v="0"/>
    <n v="40"/>
    <x v="12"/>
    <n v="157"/>
    <x v="462"/>
    <n v="357536100"/>
    <x v="1"/>
    <x v="1"/>
    <x v="0"/>
    <x v="1"/>
    <x v="5"/>
    <n v="6"/>
    <x v="5"/>
    <n v="2277300"/>
    <n v="35.75"/>
  </r>
  <r>
    <d v="2023-06-25T00:00:00"/>
    <x v="10"/>
    <s v="Kozhikode"/>
    <x v="14"/>
    <x v="16"/>
    <x v="0"/>
    <n v="3"/>
    <x v="15"/>
    <n v="167"/>
    <x v="463"/>
    <n v="29392000"/>
    <x v="1"/>
    <x v="0"/>
    <x v="0"/>
    <x v="1"/>
    <x v="5"/>
    <n v="6"/>
    <x v="5"/>
    <n v="176000"/>
    <n v="2.94"/>
  </r>
  <r>
    <d v="2023-06-26T00:00:00"/>
    <x v="5"/>
    <s v="Mangaluru"/>
    <x v="1"/>
    <x v="1"/>
    <x v="0"/>
    <n v="4"/>
    <x v="1"/>
    <n v="41"/>
    <x v="464"/>
    <n v="4936400"/>
    <x v="1"/>
    <x v="0"/>
    <x v="0"/>
    <x v="1"/>
    <x v="5"/>
    <n v="6"/>
    <x v="5"/>
    <n v="120400"/>
    <n v="0.49"/>
  </r>
  <r>
    <d v="2023-06-27T00:00:00"/>
    <x v="11"/>
    <s v="Coimbatore"/>
    <x v="12"/>
    <x v="18"/>
    <x v="0"/>
    <n v="60"/>
    <x v="16"/>
    <n v="27"/>
    <x v="465"/>
    <n v="82941300"/>
    <x v="1"/>
    <x v="2"/>
    <x v="0"/>
    <x v="1"/>
    <x v="5"/>
    <n v="6"/>
    <x v="5"/>
    <n v="3071900"/>
    <n v="8.2899999999999991"/>
  </r>
  <r>
    <d v="2023-06-27T00:00:00"/>
    <x v="0"/>
    <s v="Warangal"/>
    <x v="14"/>
    <x v="16"/>
    <x v="0"/>
    <n v="3"/>
    <x v="15"/>
    <n v="16"/>
    <x v="412"/>
    <n v="2446400"/>
    <x v="0"/>
    <x v="0"/>
    <x v="0"/>
    <x v="1"/>
    <x v="5"/>
    <n v="6"/>
    <x v="5"/>
    <n v="152900"/>
    <n v="0.24"/>
  </r>
  <r>
    <d v="2023-06-27T00:00:00"/>
    <x v="1"/>
    <s v="Dwarka"/>
    <x v="1"/>
    <x v="21"/>
    <x v="0"/>
    <n v="3"/>
    <x v="19"/>
    <n v="124"/>
    <x v="466"/>
    <n v="15673600"/>
    <x v="0"/>
    <x v="0"/>
    <x v="0"/>
    <x v="1"/>
    <x v="5"/>
    <n v="6"/>
    <x v="5"/>
    <n v="126400"/>
    <n v="1.57"/>
  </r>
  <r>
    <d v="2023-06-27T00:00:00"/>
    <x v="5"/>
    <s v="Mangaluru"/>
    <x v="6"/>
    <x v="6"/>
    <x v="3"/>
    <n v="72"/>
    <x v="6"/>
    <n v="152"/>
    <x v="467"/>
    <n v="693439200"/>
    <x v="0"/>
    <x v="1"/>
    <x v="0"/>
    <x v="1"/>
    <x v="5"/>
    <n v="6"/>
    <x v="5"/>
    <n v="4562100"/>
    <n v="69.34"/>
  </r>
  <r>
    <d v="2023-06-27T00:00:00"/>
    <x v="1"/>
    <s v="Dwarka"/>
    <x v="1"/>
    <x v="1"/>
    <x v="0"/>
    <n v="4"/>
    <x v="1"/>
    <n v="148"/>
    <x v="468"/>
    <n v="22318400"/>
    <x v="1"/>
    <x v="0"/>
    <x v="0"/>
    <x v="1"/>
    <x v="5"/>
    <n v="6"/>
    <x v="5"/>
    <n v="150800"/>
    <n v="2.23"/>
  </r>
  <r>
    <d v="2023-06-28T00:00:00"/>
    <x v="3"/>
    <s v="Pune"/>
    <x v="1"/>
    <x v="1"/>
    <x v="0"/>
    <n v="4"/>
    <x v="1"/>
    <n v="128"/>
    <x v="469"/>
    <n v="18547200"/>
    <x v="1"/>
    <x v="3"/>
    <x v="0"/>
    <x v="1"/>
    <x v="5"/>
    <n v="6"/>
    <x v="5"/>
    <n v="144900"/>
    <n v="1.85"/>
  </r>
  <r>
    <d v="2023-06-28T00:00:00"/>
    <x v="5"/>
    <s v="Mangaluru"/>
    <x v="10"/>
    <x v="11"/>
    <x v="2"/>
    <n v="69"/>
    <x v="11"/>
    <n v="72"/>
    <x v="470"/>
    <n v="410191200"/>
    <x v="1"/>
    <x v="0"/>
    <x v="0"/>
    <x v="1"/>
    <x v="5"/>
    <n v="6"/>
    <x v="5"/>
    <n v="5697100"/>
    <n v="41.02"/>
  </r>
  <r>
    <d v="2023-06-28T00:00:00"/>
    <x v="2"/>
    <s v="Kanpur"/>
    <x v="0"/>
    <x v="0"/>
    <x v="1"/>
    <n v="82"/>
    <x v="0"/>
    <n v="70"/>
    <x v="471"/>
    <n v="474551000"/>
    <x v="1"/>
    <x v="0"/>
    <x v="0"/>
    <x v="1"/>
    <x v="5"/>
    <n v="6"/>
    <x v="5"/>
    <n v="6779300"/>
    <n v="47.46"/>
  </r>
  <r>
    <d v="2023-06-29T00:00:00"/>
    <x v="13"/>
    <s v="Gwalior"/>
    <x v="11"/>
    <x v="23"/>
    <x v="2"/>
    <n v="59"/>
    <x v="20"/>
    <n v="23"/>
    <x v="472"/>
    <n v="63735300"/>
    <x v="0"/>
    <x v="3"/>
    <x v="0"/>
    <x v="1"/>
    <x v="5"/>
    <n v="6"/>
    <x v="5"/>
    <n v="2771100"/>
    <n v="6.37"/>
  </r>
  <r>
    <d v="2023-06-29T00:00:00"/>
    <x v="3"/>
    <s v="Nagpur"/>
    <x v="8"/>
    <x v="8"/>
    <x v="0"/>
    <n v="66"/>
    <x v="8"/>
    <n v="7"/>
    <x v="473"/>
    <n v="46492600"/>
    <x v="1"/>
    <x v="0"/>
    <x v="0"/>
    <x v="1"/>
    <x v="5"/>
    <n v="6"/>
    <x v="5"/>
    <n v="6641800"/>
    <n v="4.6500000000000004"/>
  </r>
  <r>
    <d v="2023-06-29T00:00:00"/>
    <x v="3"/>
    <s v="Pune"/>
    <x v="3"/>
    <x v="3"/>
    <x v="0"/>
    <n v="3"/>
    <x v="3"/>
    <n v="43"/>
    <x v="474"/>
    <n v="5482500"/>
    <x v="0"/>
    <x v="3"/>
    <x v="0"/>
    <x v="1"/>
    <x v="5"/>
    <n v="6"/>
    <x v="5"/>
    <n v="127500"/>
    <n v="0.55000000000000004"/>
  </r>
  <r>
    <d v="2023-06-29T00:00:00"/>
    <x v="0"/>
    <s v="Hyderabad"/>
    <x v="8"/>
    <x v="8"/>
    <x v="2"/>
    <n v="66"/>
    <x v="8"/>
    <n v="69"/>
    <x v="475"/>
    <n v="465529200"/>
    <x v="1"/>
    <x v="0"/>
    <x v="0"/>
    <x v="1"/>
    <x v="5"/>
    <n v="6"/>
    <x v="5"/>
    <n v="6746800"/>
    <n v="46.55"/>
  </r>
  <r>
    <d v="2023-06-29T00:00:00"/>
    <x v="5"/>
    <s v="Hubballi"/>
    <x v="4"/>
    <x v="4"/>
    <x v="0"/>
    <n v="77"/>
    <x v="4"/>
    <n v="19"/>
    <x v="476"/>
    <n v="94705500"/>
    <x v="1"/>
    <x v="3"/>
    <x v="0"/>
    <x v="1"/>
    <x v="5"/>
    <n v="6"/>
    <x v="5"/>
    <n v="4984500"/>
    <n v="9.4700000000000006"/>
  </r>
  <r>
    <d v="2023-06-29T00:00:00"/>
    <x v="12"/>
    <s v="Panipat"/>
    <x v="4"/>
    <x v="4"/>
    <x v="1"/>
    <n v="77"/>
    <x v="4"/>
    <n v="43"/>
    <x v="477"/>
    <n v="205540000"/>
    <x v="1"/>
    <x v="0"/>
    <x v="0"/>
    <x v="1"/>
    <x v="5"/>
    <n v="6"/>
    <x v="5"/>
    <n v="4780000"/>
    <n v="20.55"/>
  </r>
  <r>
    <d v="2023-06-29T00:00:00"/>
    <x v="12"/>
    <s v="Gurugram"/>
    <x v="14"/>
    <x v="16"/>
    <x v="0"/>
    <n v="3"/>
    <x v="15"/>
    <n v="61"/>
    <x v="478"/>
    <n v="10388300"/>
    <x v="1"/>
    <x v="0"/>
    <x v="0"/>
    <x v="1"/>
    <x v="5"/>
    <n v="6"/>
    <x v="5"/>
    <n v="170300"/>
    <n v="1.04"/>
  </r>
  <r>
    <d v="2023-06-30T00:00:00"/>
    <x v="3"/>
    <s v="Nashik"/>
    <x v="12"/>
    <x v="14"/>
    <x v="0"/>
    <n v="82"/>
    <x v="13"/>
    <n v="6"/>
    <x v="479"/>
    <n v="34992600"/>
    <x v="1"/>
    <x v="2"/>
    <x v="0"/>
    <x v="1"/>
    <x v="5"/>
    <n v="6"/>
    <x v="5"/>
    <n v="5832100"/>
    <n v="3.5"/>
  </r>
  <r>
    <d v="2023-06-30T00:00:00"/>
    <x v="1"/>
    <s v="Saket"/>
    <x v="9"/>
    <x v="9"/>
    <x v="0"/>
    <n v="50"/>
    <x v="9"/>
    <n v="59"/>
    <x v="480"/>
    <n v="161960900"/>
    <x v="0"/>
    <x v="0"/>
    <x v="0"/>
    <x v="1"/>
    <x v="5"/>
    <n v="6"/>
    <x v="5"/>
    <n v="2745100"/>
    <n v="16.2"/>
  </r>
  <r>
    <d v="2023-06-30T00:00:00"/>
    <x v="6"/>
    <s v="Ahmedabad"/>
    <x v="12"/>
    <x v="18"/>
    <x v="0"/>
    <n v="60"/>
    <x v="16"/>
    <n v="3"/>
    <x v="481"/>
    <n v="10635300"/>
    <x v="1"/>
    <x v="2"/>
    <x v="0"/>
    <x v="1"/>
    <x v="5"/>
    <n v="6"/>
    <x v="5"/>
    <n v="3545100"/>
    <n v="1.06"/>
  </r>
  <r>
    <d v="2023-06-30T00:00:00"/>
    <x v="8"/>
    <s v="Durgapur"/>
    <x v="10"/>
    <x v="11"/>
    <x v="3"/>
    <n v="69"/>
    <x v="11"/>
    <n v="62"/>
    <x v="482"/>
    <n v="363493600"/>
    <x v="1"/>
    <x v="0"/>
    <x v="0"/>
    <x v="1"/>
    <x v="5"/>
    <n v="6"/>
    <x v="5"/>
    <n v="5862800"/>
    <n v="36.35"/>
  </r>
  <r>
    <d v="2023-06-30T00:00:00"/>
    <x v="6"/>
    <s v="Vadodara"/>
    <x v="6"/>
    <x v="13"/>
    <x v="0"/>
    <n v="48"/>
    <x v="12"/>
    <n v="101"/>
    <x v="483"/>
    <n v="238955900"/>
    <x v="0"/>
    <x v="0"/>
    <x v="0"/>
    <x v="1"/>
    <x v="5"/>
    <n v="6"/>
    <x v="5"/>
    <n v="2365900"/>
    <n v="23.9"/>
  </r>
  <r>
    <d v="2023-07-01T00:00:00"/>
    <x v="11"/>
    <s v="Salem"/>
    <x v="9"/>
    <x v="9"/>
    <x v="0"/>
    <n v="50"/>
    <x v="9"/>
    <n v="11"/>
    <x v="484"/>
    <n v="26371400"/>
    <x v="0"/>
    <x v="2"/>
    <x v="0"/>
    <x v="2"/>
    <x v="6"/>
    <n v="7"/>
    <x v="6"/>
    <n v="2397400"/>
    <n v="2.64"/>
  </r>
  <r>
    <d v="2023-07-01T00:00:00"/>
    <x v="3"/>
    <s v="Nashik"/>
    <x v="12"/>
    <x v="14"/>
    <x v="0"/>
    <n v="82"/>
    <x v="13"/>
    <n v="33"/>
    <x v="485"/>
    <n v="170223900"/>
    <x v="2"/>
    <x v="1"/>
    <x v="0"/>
    <x v="2"/>
    <x v="6"/>
    <n v="7"/>
    <x v="6"/>
    <n v="5158300"/>
    <n v="17.02"/>
  </r>
  <r>
    <d v="2023-07-01T00:00:00"/>
    <x v="0"/>
    <s v="Hyderabad"/>
    <x v="0"/>
    <x v="0"/>
    <x v="2"/>
    <n v="82"/>
    <x v="0"/>
    <n v="56"/>
    <x v="486"/>
    <n v="325404800"/>
    <x v="1"/>
    <x v="0"/>
    <x v="0"/>
    <x v="2"/>
    <x v="6"/>
    <n v="7"/>
    <x v="6"/>
    <n v="5810800"/>
    <n v="32.54"/>
  </r>
  <r>
    <d v="2023-07-02T00:00:00"/>
    <x v="14"/>
    <s v="Jaipur"/>
    <x v="3"/>
    <x v="3"/>
    <x v="0"/>
    <n v="3"/>
    <x v="3"/>
    <n v="121"/>
    <x v="487"/>
    <n v="14350600"/>
    <x v="1"/>
    <x v="2"/>
    <x v="0"/>
    <x v="2"/>
    <x v="6"/>
    <n v="7"/>
    <x v="6"/>
    <n v="118600"/>
    <n v="1.44"/>
  </r>
  <r>
    <d v="2023-07-02T00:00:00"/>
    <x v="5"/>
    <s v="Bengaluru"/>
    <x v="5"/>
    <x v="5"/>
    <x v="0"/>
    <n v="30"/>
    <x v="5"/>
    <n v="49"/>
    <x v="488"/>
    <n v="64204700"/>
    <x v="2"/>
    <x v="1"/>
    <x v="0"/>
    <x v="2"/>
    <x v="6"/>
    <n v="7"/>
    <x v="6"/>
    <n v="1310300"/>
    <n v="6.42"/>
  </r>
  <r>
    <d v="2023-07-02T00:00:00"/>
    <x v="8"/>
    <s v="Siliguri"/>
    <x v="12"/>
    <x v="18"/>
    <x v="0"/>
    <n v="60"/>
    <x v="16"/>
    <n v="73"/>
    <x v="489"/>
    <n v="229198100"/>
    <x v="1"/>
    <x v="1"/>
    <x v="0"/>
    <x v="2"/>
    <x v="6"/>
    <n v="7"/>
    <x v="6"/>
    <n v="3139700"/>
    <n v="22.92"/>
  </r>
  <r>
    <d v="2023-07-02T00:00:00"/>
    <x v="3"/>
    <s v="Pune"/>
    <x v="8"/>
    <x v="20"/>
    <x v="0"/>
    <n v="84"/>
    <x v="18"/>
    <n v="47"/>
    <x v="490"/>
    <n v="360377200"/>
    <x v="1"/>
    <x v="1"/>
    <x v="0"/>
    <x v="2"/>
    <x v="6"/>
    <n v="7"/>
    <x v="6"/>
    <n v="7667600"/>
    <n v="36.04"/>
  </r>
  <r>
    <d v="2023-07-03T00:00:00"/>
    <x v="5"/>
    <s v="Mysuru"/>
    <x v="15"/>
    <x v="17"/>
    <x v="0"/>
    <n v="5"/>
    <x v="15"/>
    <n v="155"/>
    <x v="491"/>
    <n v="27605500"/>
    <x v="1"/>
    <x v="0"/>
    <x v="0"/>
    <x v="2"/>
    <x v="6"/>
    <n v="7"/>
    <x v="6"/>
    <n v="178100"/>
    <n v="2.76"/>
  </r>
  <r>
    <d v="2023-07-03T00:00:00"/>
    <x v="13"/>
    <s v="Indore"/>
    <x v="14"/>
    <x v="16"/>
    <x v="0"/>
    <n v="3"/>
    <x v="15"/>
    <n v="21"/>
    <x v="492"/>
    <n v="3769500"/>
    <x v="1"/>
    <x v="2"/>
    <x v="0"/>
    <x v="2"/>
    <x v="6"/>
    <n v="7"/>
    <x v="6"/>
    <n v="179500"/>
    <n v="0.38"/>
  </r>
  <r>
    <d v="2023-07-03T00:00:00"/>
    <x v="8"/>
    <s v="Asansol"/>
    <x v="5"/>
    <x v="5"/>
    <x v="0"/>
    <n v="30"/>
    <x v="5"/>
    <n v="62"/>
    <x v="493"/>
    <n v="88833600"/>
    <x v="1"/>
    <x v="2"/>
    <x v="0"/>
    <x v="2"/>
    <x v="6"/>
    <n v="7"/>
    <x v="6"/>
    <n v="1432800"/>
    <n v="8.8800000000000008"/>
  </r>
  <r>
    <d v="2023-07-03T00:00:00"/>
    <x v="5"/>
    <s v="Hubballi"/>
    <x v="4"/>
    <x v="4"/>
    <x v="0"/>
    <n v="77"/>
    <x v="4"/>
    <n v="60"/>
    <x v="494"/>
    <n v="339642000"/>
    <x v="1"/>
    <x v="2"/>
    <x v="0"/>
    <x v="2"/>
    <x v="6"/>
    <n v="7"/>
    <x v="6"/>
    <n v="5660700"/>
    <n v="33.96"/>
  </r>
  <r>
    <d v="2023-07-04T00:00:00"/>
    <x v="9"/>
    <s v="Muzaffarpur"/>
    <x v="6"/>
    <x v="13"/>
    <x v="0"/>
    <n v="48"/>
    <x v="12"/>
    <n v="130"/>
    <x v="495"/>
    <n v="348816000"/>
    <x v="1"/>
    <x v="2"/>
    <x v="0"/>
    <x v="2"/>
    <x v="6"/>
    <n v="7"/>
    <x v="6"/>
    <n v="2683200"/>
    <n v="34.880000000000003"/>
  </r>
  <r>
    <d v="2023-07-04T00:00:00"/>
    <x v="10"/>
    <s v="Kochi"/>
    <x v="14"/>
    <x v="16"/>
    <x v="0"/>
    <n v="3"/>
    <x v="15"/>
    <n v="89"/>
    <x v="496"/>
    <n v="12077300"/>
    <x v="1"/>
    <x v="0"/>
    <x v="0"/>
    <x v="2"/>
    <x v="6"/>
    <n v="7"/>
    <x v="6"/>
    <n v="135700"/>
    <n v="1.21"/>
  </r>
  <r>
    <d v="2023-07-04T00:00:00"/>
    <x v="14"/>
    <s v="Jodhpur"/>
    <x v="9"/>
    <x v="9"/>
    <x v="2"/>
    <n v="50"/>
    <x v="9"/>
    <n v="89"/>
    <x v="497"/>
    <n v="237033700"/>
    <x v="2"/>
    <x v="0"/>
    <x v="0"/>
    <x v="2"/>
    <x v="6"/>
    <n v="7"/>
    <x v="6"/>
    <n v="2663300"/>
    <n v="23.7"/>
  </r>
  <r>
    <d v="2023-07-05T00:00:00"/>
    <x v="5"/>
    <s v="Mangaluru"/>
    <x v="7"/>
    <x v="7"/>
    <x v="0"/>
    <n v="3"/>
    <x v="7"/>
    <n v="37"/>
    <x v="498"/>
    <n v="5324300"/>
    <x v="1"/>
    <x v="0"/>
    <x v="0"/>
    <x v="2"/>
    <x v="6"/>
    <n v="7"/>
    <x v="6"/>
    <n v="143900"/>
    <n v="0.53"/>
  </r>
  <r>
    <d v="2023-07-05T00:00:00"/>
    <x v="11"/>
    <s v="Salem"/>
    <x v="13"/>
    <x v="22"/>
    <x v="1"/>
    <n v="35"/>
    <x v="10"/>
    <n v="142"/>
    <x v="499"/>
    <n v="279413400"/>
    <x v="2"/>
    <x v="2"/>
    <x v="0"/>
    <x v="2"/>
    <x v="6"/>
    <n v="7"/>
    <x v="6"/>
    <n v="1967700"/>
    <n v="27.94"/>
  </r>
  <r>
    <d v="2023-07-05T00:00:00"/>
    <x v="3"/>
    <s v="Nashik"/>
    <x v="5"/>
    <x v="5"/>
    <x v="0"/>
    <n v="30"/>
    <x v="5"/>
    <n v="37"/>
    <x v="500"/>
    <n v="45432300"/>
    <x v="0"/>
    <x v="0"/>
    <x v="0"/>
    <x v="2"/>
    <x v="6"/>
    <n v="7"/>
    <x v="6"/>
    <n v="1227900"/>
    <n v="4.54"/>
  </r>
  <r>
    <d v="2023-07-05T00:00:00"/>
    <x v="5"/>
    <s v="Mysuru"/>
    <x v="3"/>
    <x v="3"/>
    <x v="0"/>
    <n v="3"/>
    <x v="3"/>
    <n v="60"/>
    <x v="501"/>
    <n v="7962000"/>
    <x v="1"/>
    <x v="2"/>
    <x v="0"/>
    <x v="2"/>
    <x v="6"/>
    <n v="7"/>
    <x v="6"/>
    <n v="132700"/>
    <n v="0.8"/>
  </r>
  <r>
    <d v="2023-07-05T00:00:00"/>
    <x v="3"/>
    <s v="Mumbai"/>
    <x v="7"/>
    <x v="7"/>
    <x v="0"/>
    <n v="3"/>
    <x v="7"/>
    <n v="71"/>
    <x v="502"/>
    <n v="12410800"/>
    <x v="1"/>
    <x v="3"/>
    <x v="0"/>
    <x v="2"/>
    <x v="6"/>
    <n v="7"/>
    <x v="6"/>
    <n v="174800"/>
    <n v="1.24"/>
  </r>
  <r>
    <d v="2023-07-06T00:00:00"/>
    <x v="0"/>
    <s v="Hyderabad"/>
    <x v="9"/>
    <x v="10"/>
    <x v="0"/>
    <n v="25"/>
    <x v="10"/>
    <n v="171"/>
    <x v="503"/>
    <n v="182200500"/>
    <x v="1"/>
    <x v="0"/>
    <x v="0"/>
    <x v="2"/>
    <x v="6"/>
    <n v="7"/>
    <x v="6"/>
    <n v="1065500"/>
    <n v="18.22"/>
  </r>
  <r>
    <d v="2023-07-06T00:00:00"/>
    <x v="2"/>
    <s v="Noida"/>
    <x v="12"/>
    <x v="18"/>
    <x v="1"/>
    <n v="60"/>
    <x v="16"/>
    <n v="48"/>
    <x v="504"/>
    <n v="159537600"/>
    <x v="0"/>
    <x v="2"/>
    <x v="0"/>
    <x v="2"/>
    <x v="6"/>
    <n v="7"/>
    <x v="6"/>
    <n v="3323700"/>
    <n v="15.95"/>
  </r>
  <r>
    <d v="2023-07-07T00:00:00"/>
    <x v="4"/>
    <s v="Amritsar"/>
    <x v="12"/>
    <x v="18"/>
    <x v="0"/>
    <n v="60"/>
    <x v="16"/>
    <n v="66"/>
    <x v="505"/>
    <n v="195069600"/>
    <x v="1"/>
    <x v="0"/>
    <x v="0"/>
    <x v="2"/>
    <x v="6"/>
    <n v="7"/>
    <x v="6"/>
    <n v="2955600"/>
    <n v="19.510000000000002"/>
  </r>
  <r>
    <d v="2023-07-07T00:00:00"/>
    <x v="0"/>
    <s v="Warangal"/>
    <x v="8"/>
    <x v="20"/>
    <x v="0"/>
    <n v="84"/>
    <x v="18"/>
    <n v="70"/>
    <x v="506"/>
    <n v="505498000"/>
    <x v="1"/>
    <x v="3"/>
    <x v="0"/>
    <x v="2"/>
    <x v="6"/>
    <n v="7"/>
    <x v="6"/>
    <n v="7221400"/>
    <n v="50.55"/>
  </r>
  <r>
    <d v="2023-07-07T00:00:00"/>
    <x v="0"/>
    <s v="Hyderabad"/>
    <x v="0"/>
    <x v="0"/>
    <x v="2"/>
    <n v="82"/>
    <x v="0"/>
    <n v="63"/>
    <x v="507"/>
    <n v="374509800"/>
    <x v="1"/>
    <x v="1"/>
    <x v="0"/>
    <x v="2"/>
    <x v="6"/>
    <n v="7"/>
    <x v="6"/>
    <n v="5944600"/>
    <n v="37.450000000000003"/>
  </r>
  <r>
    <d v="2023-07-08T00:00:00"/>
    <x v="5"/>
    <s v="Mysuru"/>
    <x v="8"/>
    <x v="20"/>
    <x v="1"/>
    <n v="84"/>
    <x v="18"/>
    <n v="39"/>
    <x v="508"/>
    <n v="291166200"/>
    <x v="0"/>
    <x v="2"/>
    <x v="0"/>
    <x v="2"/>
    <x v="6"/>
    <n v="7"/>
    <x v="6"/>
    <n v="7465800"/>
    <n v="29.12"/>
  </r>
  <r>
    <d v="2023-07-09T00:00:00"/>
    <x v="2"/>
    <s v="Noida"/>
    <x v="5"/>
    <x v="5"/>
    <x v="0"/>
    <n v="30"/>
    <x v="5"/>
    <n v="6"/>
    <x v="509"/>
    <n v="9084600"/>
    <x v="1"/>
    <x v="0"/>
    <x v="0"/>
    <x v="2"/>
    <x v="6"/>
    <n v="7"/>
    <x v="6"/>
    <n v="1514100"/>
    <n v="0.91"/>
  </r>
  <r>
    <d v="2023-07-09T00:00:00"/>
    <x v="3"/>
    <s v="Nagpur"/>
    <x v="7"/>
    <x v="7"/>
    <x v="0"/>
    <n v="3"/>
    <x v="7"/>
    <n v="64"/>
    <x v="201"/>
    <n v="9600000"/>
    <x v="2"/>
    <x v="0"/>
    <x v="0"/>
    <x v="2"/>
    <x v="6"/>
    <n v="7"/>
    <x v="6"/>
    <n v="150000"/>
    <n v="0.96"/>
  </r>
  <r>
    <d v="2023-07-10T00:00:00"/>
    <x v="11"/>
    <s v="Coimbatore"/>
    <x v="6"/>
    <x v="13"/>
    <x v="0"/>
    <n v="48"/>
    <x v="12"/>
    <n v="97"/>
    <x v="510"/>
    <n v="256691100"/>
    <x v="1"/>
    <x v="0"/>
    <x v="0"/>
    <x v="2"/>
    <x v="6"/>
    <n v="7"/>
    <x v="6"/>
    <n v="2646300"/>
    <n v="25.67"/>
  </r>
  <r>
    <d v="2023-07-10T00:00:00"/>
    <x v="1"/>
    <s v="Saket"/>
    <x v="2"/>
    <x v="2"/>
    <x v="0"/>
    <n v="66"/>
    <x v="2"/>
    <n v="23"/>
    <x v="511"/>
    <n v="214760200"/>
    <x v="1"/>
    <x v="2"/>
    <x v="0"/>
    <x v="2"/>
    <x v="6"/>
    <n v="7"/>
    <x v="6"/>
    <n v="9337400"/>
    <n v="21.48"/>
  </r>
  <r>
    <d v="2023-07-10T00:00:00"/>
    <x v="2"/>
    <s v="Ghaziabad"/>
    <x v="13"/>
    <x v="22"/>
    <x v="1"/>
    <n v="35"/>
    <x v="10"/>
    <n v="115"/>
    <x v="512"/>
    <n v="212416500"/>
    <x v="1"/>
    <x v="1"/>
    <x v="0"/>
    <x v="2"/>
    <x v="6"/>
    <n v="7"/>
    <x v="6"/>
    <n v="1847100"/>
    <n v="21.24"/>
  </r>
  <r>
    <d v="2023-07-11T00:00:00"/>
    <x v="12"/>
    <s v="Gurugram"/>
    <x v="4"/>
    <x v="4"/>
    <x v="0"/>
    <n v="77"/>
    <x v="4"/>
    <n v="64"/>
    <x v="513"/>
    <n v="316704000"/>
    <x v="0"/>
    <x v="1"/>
    <x v="0"/>
    <x v="2"/>
    <x v="6"/>
    <n v="7"/>
    <x v="6"/>
    <n v="4948500"/>
    <n v="31.67"/>
  </r>
  <r>
    <d v="2023-07-11T00:00:00"/>
    <x v="9"/>
    <s v="Muzaffarpur"/>
    <x v="13"/>
    <x v="22"/>
    <x v="0"/>
    <n v="35"/>
    <x v="10"/>
    <n v="98"/>
    <x v="514"/>
    <n v="187660200"/>
    <x v="1"/>
    <x v="2"/>
    <x v="0"/>
    <x v="2"/>
    <x v="6"/>
    <n v="7"/>
    <x v="6"/>
    <n v="1914900"/>
    <n v="18.77"/>
  </r>
  <r>
    <d v="2023-07-11T00:00:00"/>
    <x v="5"/>
    <s v="Hubballi"/>
    <x v="7"/>
    <x v="7"/>
    <x v="0"/>
    <n v="3"/>
    <x v="7"/>
    <n v="147"/>
    <x v="515"/>
    <n v="20727000"/>
    <x v="1"/>
    <x v="0"/>
    <x v="0"/>
    <x v="2"/>
    <x v="6"/>
    <n v="7"/>
    <x v="6"/>
    <n v="141000"/>
    <n v="2.0699999999999998"/>
  </r>
  <r>
    <d v="2023-07-12T00:00:00"/>
    <x v="1"/>
    <s v="New Delhi"/>
    <x v="15"/>
    <x v="17"/>
    <x v="0"/>
    <n v="5"/>
    <x v="15"/>
    <n v="102"/>
    <x v="273"/>
    <n v="14494200"/>
    <x v="2"/>
    <x v="0"/>
    <x v="0"/>
    <x v="2"/>
    <x v="6"/>
    <n v="7"/>
    <x v="6"/>
    <n v="142100"/>
    <n v="1.45"/>
  </r>
  <r>
    <d v="2023-07-12T00:00:00"/>
    <x v="14"/>
    <s v="Jaipur"/>
    <x v="8"/>
    <x v="8"/>
    <x v="0"/>
    <n v="66"/>
    <x v="8"/>
    <n v="12"/>
    <x v="516"/>
    <n v="63582000"/>
    <x v="1"/>
    <x v="2"/>
    <x v="0"/>
    <x v="2"/>
    <x v="6"/>
    <n v="7"/>
    <x v="6"/>
    <n v="5298500"/>
    <n v="6.36"/>
  </r>
  <r>
    <d v="2023-07-13T00:00:00"/>
    <x v="11"/>
    <s v="Madurai"/>
    <x v="13"/>
    <x v="22"/>
    <x v="0"/>
    <n v="35"/>
    <x v="10"/>
    <n v="72"/>
    <x v="517"/>
    <n v="136670400"/>
    <x v="1"/>
    <x v="0"/>
    <x v="0"/>
    <x v="2"/>
    <x v="6"/>
    <n v="7"/>
    <x v="6"/>
    <n v="1898200"/>
    <n v="13.67"/>
  </r>
  <r>
    <d v="2023-07-13T00:00:00"/>
    <x v="3"/>
    <s v="Nagpur"/>
    <x v="8"/>
    <x v="8"/>
    <x v="0"/>
    <n v="66"/>
    <x v="8"/>
    <n v="6"/>
    <x v="518"/>
    <n v="39010200"/>
    <x v="1"/>
    <x v="0"/>
    <x v="0"/>
    <x v="2"/>
    <x v="6"/>
    <n v="7"/>
    <x v="6"/>
    <n v="6501700"/>
    <n v="3.9"/>
  </r>
  <r>
    <d v="2023-07-14T00:00:00"/>
    <x v="5"/>
    <s v="Mysuru"/>
    <x v="8"/>
    <x v="8"/>
    <x v="0"/>
    <n v="66"/>
    <x v="8"/>
    <n v="70"/>
    <x v="519"/>
    <n v="384692000"/>
    <x v="1"/>
    <x v="2"/>
    <x v="0"/>
    <x v="2"/>
    <x v="6"/>
    <n v="7"/>
    <x v="6"/>
    <n v="5495600"/>
    <n v="38.47"/>
  </r>
  <r>
    <d v="2023-07-14T00:00:00"/>
    <x v="12"/>
    <s v="Faridabad"/>
    <x v="5"/>
    <x v="5"/>
    <x v="1"/>
    <n v="30"/>
    <x v="5"/>
    <n v="31"/>
    <x v="520"/>
    <n v="48880800"/>
    <x v="1"/>
    <x v="0"/>
    <x v="0"/>
    <x v="2"/>
    <x v="6"/>
    <n v="7"/>
    <x v="6"/>
    <n v="1576800"/>
    <n v="4.8899999999999997"/>
  </r>
  <r>
    <d v="2023-07-14T00:00:00"/>
    <x v="4"/>
    <s v="Jalandhar"/>
    <x v="15"/>
    <x v="17"/>
    <x v="0"/>
    <n v="5"/>
    <x v="15"/>
    <n v="49"/>
    <x v="104"/>
    <n v="6948200"/>
    <x v="0"/>
    <x v="2"/>
    <x v="0"/>
    <x v="2"/>
    <x v="6"/>
    <n v="7"/>
    <x v="6"/>
    <n v="141800"/>
    <n v="0.69"/>
  </r>
  <r>
    <d v="2023-07-14T00:00:00"/>
    <x v="1"/>
    <s v="Dwarka"/>
    <x v="14"/>
    <x v="16"/>
    <x v="0"/>
    <n v="3"/>
    <x v="15"/>
    <n v="102"/>
    <x v="521"/>
    <n v="15402000"/>
    <x v="1"/>
    <x v="1"/>
    <x v="0"/>
    <x v="2"/>
    <x v="6"/>
    <n v="7"/>
    <x v="6"/>
    <n v="151000"/>
    <n v="1.54"/>
  </r>
  <r>
    <d v="2023-07-14T00:00:00"/>
    <x v="11"/>
    <s v="Salem"/>
    <x v="15"/>
    <x v="17"/>
    <x v="0"/>
    <n v="5"/>
    <x v="15"/>
    <n v="125"/>
    <x v="522"/>
    <n v="23175000"/>
    <x v="0"/>
    <x v="0"/>
    <x v="0"/>
    <x v="2"/>
    <x v="6"/>
    <n v="7"/>
    <x v="6"/>
    <n v="185400"/>
    <n v="2.3199999999999998"/>
  </r>
  <r>
    <d v="2023-07-15T00:00:00"/>
    <x v="14"/>
    <s v="Jodhpur"/>
    <x v="9"/>
    <x v="10"/>
    <x v="0"/>
    <n v="25"/>
    <x v="10"/>
    <n v="142"/>
    <x v="523"/>
    <n v="145379600"/>
    <x v="2"/>
    <x v="0"/>
    <x v="0"/>
    <x v="2"/>
    <x v="6"/>
    <n v="7"/>
    <x v="6"/>
    <n v="1023800"/>
    <n v="14.54"/>
  </r>
  <r>
    <d v="2023-07-15T00:00:00"/>
    <x v="8"/>
    <s v="Kolkata"/>
    <x v="15"/>
    <x v="17"/>
    <x v="0"/>
    <n v="5"/>
    <x v="15"/>
    <n v="102"/>
    <x v="524"/>
    <n v="16136400"/>
    <x v="2"/>
    <x v="0"/>
    <x v="0"/>
    <x v="2"/>
    <x v="6"/>
    <n v="7"/>
    <x v="6"/>
    <n v="158200"/>
    <n v="1.61"/>
  </r>
  <r>
    <d v="2023-07-15T00:00:00"/>
    <x v="11"/>
    <s v="Salem"/>
    <x v="7"/>
    <x v="7"/>
    <x v="0"/>
    <n v="3"/>
    <x v="7"/>
    <n v="179"/>
    <x v="525"/>
    <n v="27709200"/>
    <x v="2"/>
    <x v="2"/>
    <x v="0"/>
    <x v="2"/>
    <x v="6"/>
    <n v="7"/>
    <x v="6"/>
    <n v="154800"/>
    <n v="2.77"/>
  </r>
  <r>
    <d v="2023-07-16T00:00:00"/>
    <x v="3"/>
    <s v="Pune"/>
    <x v="2"/>
    <x v="2"/>
    <x v="0"/>
    <n v="66"/>
    <x v="2"/>
    <n v="15"/>
    <x v="526"/>
    <n v="130479000"/>
    <x v="1"/>
    <x v="0"/>
    <x v="0"/>
    <x v="2"/>
    <x v="6"/>
    <n v="7"/>
    <x v="6"/>
    <n v="8698600"/>
    <n v="13.05"/>
  </r>
  <r>
    <d v="2023-07-16T00:00:00"/>
    <x v="1"/>
    <s v="Saket"/>
    <x v="1"/>
    <x v="1"/>
    <x v="0"/>
    <n v="4"/>
    <x v="1"/>
    <n v="105"/>
    <x v="527"/>
    <n v="15718500"/>
    <x v="1"/>
    <x v="0"/>
    <x v="0"/>
    <x v="2"/>
    <x v="6"/>
    <n v="7"/>
    <x v="6"/>
    <n v="149700"/>
    <n v="1.57"/>
  </r>
  <r>
    <d v="2023-07-16T00:00:00"/>
    <x v="8"/>
    <s v="Asansol"/>
    <x v="1"/>
    <x v="21"/>
    <x v="0"/>
    <n v="3"/>
    <x v="19"/>
    <n v="48"/>
    <x v="528"/>
    <n v="5630400"/>
    <x v="1"/>
    <x v="2"/>
    <x v="0"/>
    <x v="2"/>
    <x v="6"/>
    <n v="7"/>
    <x v="6"/>
    <n v="117300"/>
    <n v="0.56000000000000005"/>
  </r>
  <r>
    <d v="2023-07-16T00:00:00"/>
    <x v="5"/>
    <s v="Hubballi"/>
    <x v="9"/>
    <x v="10"/>
    <x v="1"/>
    <n v="25"/>
    <x v="10"/>
    <n v="42"/>
    <x v="529"/>
    <n v="50719200"/>
    <x v="1"/>
    <x v="0"/>
    <x v="0"/>
    <x v="2"/>
    <x v="6"/>
    <n v="7"/>
    <x v="6"/>
    <n v="1207600"/>
    <n v="5.07"/>
  </r>
  <r>
    <d v="2023-07-17T00:00:00"/>
    <x v="12"/>
    <s v="Gurugram"/>
    <x v="0"/>
    <x v="0"/>
    <x v="0"/>
    <n v="82"/>
    <x v="0"/>
    <n v="17"/>
    <x v="530"/>
    <n v="104660500"/>
    <x v="1"/>
    <x v="1"/>
    <x v="0"/>
    <x v="2"/>
    <x v="6"/>
    <n v="7"/>
    <x v="6"/>
    <n v="6156500"/>
    <n v="10.47"/>
  </r>
  <r>
    <d v="2023-07-17T00:00:00"/>
    <x v="3"/>
    <s v="Nagpur"/>
    <x v="2"/>
    <x v="2"/>
    <x v="0"/>
    <n v="66"/>
    <x v="2"/>
    <n v="39"/>
    <x v="531"/>
    <n v="342720300"/>
    <x v="1"/>
    <x v="0"/>
    <x v="0"/>
    <x v="2"/>
    <x v="6"/>
    <n v="7"/>
    <x v="6"/>
    <n v="8787700"/>
    <n v="34.270000000000003"/>
  </r>
  <r>
    <d v="2023-07-17T00:00:00"/>
    <x v="11"/>
    <s v="Salem"/>
    <x v="15"/>
    <x v="17"/>
    <x v="0"/>
    <n v="5"/>
    <x v="15"/>
    <n v="26"/>
    <x v="532"/>
    <n v="4269200"/>
    <x v="0"/>
    <x v="0"/>
    <x v="0"/>
    <x v="2"/>
    <x v="6"/>
    <n v="7"/>
    <x v="6"/>
    <n v="164200"/>
    <n v="0.43"/>
  </r>
  <r>
    <d v="2023-07-18T00:00:00"/>
    <x v="8"/>
    <s v="Asansol"/>
    <x v="6"/>
    <x v="6"/>
    <x v="0"/>
    <n v="72"/>
    <x v="6"/>
    <n v="32"/>
    <x v="533"/>
    <n v="182710400"/>
    <x v="1"/>
    <x v="0"/>
    <x v="0"/>
    <x v="2"/>
    <x v="6"/>
    <n v="7"/>
    <x v="6"/>
    <n v="5709700"/>
    <n v="18.27"/>
  </r>
  <r>
    <d v="2023-07-18T00:00:00"/>
    <x v="8"/>
    <s v="Kolkata"/>
    <x v="3"/>
    <x v="3"/>
    <x v="0"/>
    <n v="3"/>
    <x v="3"/>
    <n v="161"/>
    <x v="534"/>
    <n v="19497100"/>
    <x v="1"/>
    <x v="3"/>
    <x v="0"/>
    <x v="2"/>
    <x v="6"/>
    <n v="7"/>
    <x v="6"/>
    <n v="121100"/>
    <n v="1.95"/>
  </r>
  <r>
    <d v="2023-07-18T00:00:00"/>
    <x v="0"/>
    <s v="Hyderabad"/>
    <x v="0"/>
    <x v="0"/>
    <x v="2"/>
    <n v="82"/>
    <x v="0"/>
    <n v="26"/>
    <x v="535"/>
    <n v="166095800"/>
    <x v="0"/>
    <x v="2"/>
    <x v="0"/>
    <x v="2"/>
    <x v="6"/>
    <n v="7"/>
    <x v="6"/>
    <n v="6388300"/>
    <n v="16.61"/>
  </r>
  <r>
    <d v="2023-07-19T00:00:00"/>
    <x v="14"/>
    <s v="Udaipur"/>
    <x v="13"/>
    <x v="22"/>
    <x v="0"/>
    <n v="35"/>
    <x v="10"/>
    <n v="145"/>
    <x v="536"/>
    <n v="311271500"/>
    <x v="1"/>
    <x v="2"/>
    <x v="0"/>
    <x v="2"/>
    <x v="6"/>
    <n v="7"/>
    <x v="6"/>
    <n v="2146700"/>
    <n v="31.13"/>
  </r>
  <r>
    <d v="2023-07-19T00:00:00"/>
    <x v="3"/>
    <s v="Pune"/>
    <x v="1"/>
    <x v="1"/>
    <x v="0"/>
    <n v="4"/>
    <x v="1"/>
    <n v="80"/>
    <x v="537"/>
    <n v="12008000"/>
    <x v="1"/>
    <x v="0"/>
    <x v="0"/>
    <x v="2"/>
    <x v="6"/>
    <n v="7"/>
    <x v="6"/>
    <n v="150100"/>
    <n v="1.2"/>
  </r>
  <r>
    <d v="2023-07-19T00:00:00"/>
    <x v="4"/>
    <s v="Jalandhar"/>
    <x v="11"/>
    <x v="23"/>
    <x v="0"/>
    <n v="59"/>
    <x v="20"/>
    <n v="152"/>
    <x v="538"/>
    <n v="338838400"/>
    <x v="0"/>
    <x v="0"/>
    <x v="0"/>
    <x v="2"/>
    <x v="6"/>
    <n v="7"/>
    <x v="6"/>
    <n v="2229200"/>
    <n v="33.880000000000003"/>
  </r>
  <r>
    <d v="2023-07-20T00:00:00"/>
    <x v="10"/>
    <s v="Kochi"/>
    <x v="11"/>
    <x v="12"/>
    <x v="2"/>
    <n v="40"/>
    <x v="12"/>
    <n v="156"/>
    <x v="539"/>
    <n v="329175600"/>
    <x v="1"/>
    <x v="3"/>
    <x v="0"/>
    <x v="2"/>
    <x v="6"/>
    <n v="7"/>
    <x v="6"/>
    <n v="2110100"/>
    <n v="32.92"/>
  </r>
  <r>
    <d v="2023-07-20T00:00:00"/>
    <x v="2"/>
    <s v="Ghaziabad"/>
    <x v="9"/>
    <x v="10"/>
    <x v="0"/>
    <n v="25"/>
    <x v="10"/>
    <n v="117"/>
    <x v="540"/>
    <n v="118766700"/>
    <x v="0"/>
    <x v="2"/>
    <x v="0"/>
    <x v="2"/>
    <x v="6"/>
    <n v="7"/>
    <x v="6"/>
    <n v="1015100"/>
    <n v="11.88"/>
  </r>
  <r>
    <d v="2023-07-21T00:00:00"/>
    <x v="8"/>
    <s v="Siliguri"/>
    <x v="3"/>
    <x v="3"/>
    <x v="0"/>
    <n v="3"/>
    <x v="3"/>
    <n v="75"/>
    <x v="541"/>
    <n v="10020000"/>
    <x v="1"/>
    <x v="0"/>
    <x v="0"/>
    <x v="2"/>
    <x v="6"/>
    <n v="7"/>
    <x v="6"/>
    <n v="133600"/>
    <n v="1"/>
  </r>
  <r>
    <d v="2023-07-21T00:00:00"/>
    <x v="6"/>
    <s v="Vadodara"/>
    <x v="6"/>
    <x v="13"/>
    <x v="1"/>
    <n v="48"/>
    <x v="12"/>
    <n v="123"/>
    <x v="542"/>
    <n v="262998600"/>
    <x v="0"/>
    <x v="0"/>
    <x v="0"/>
    <x v="2"/>
    <x v="6"/>
    <n v="7"/>
    <x v="6"/>
    <n v="2138200"/>
    <n v="26.3"/>
  </r>
  <r>
    <d v="2023-07-21T00:00:00"/>
    <x v="12"/>
    <s v="Hisar"/>
    <x v="7"/>
    <x v="7"/>
    <x v="0"/>
    <n v="3"/>
    <x v="7"/>
    <n v="150"/>
    <x v="543"/>
    <n v="23550000"/>
    <x v="1"/>
    <x v="0"/>
    <x v="0"/>
    <x v="2"/>
    <x v="6"/>
    <n v="7"/>
    <x v="6"/>
    <n v="157000"/>
    <n v="2.36"/>
  </r>
  <r>
    <d v="2023-07-22T00:00:00"/>
    <x v="2"/>
    <s v="Noida"/>
    <x v="3"/>
    <x v="3"/>
    <x v="0"/>
    <n v="3"/>
    <x v="3"/>
    <n v="62"/>
    <x v="544"/>
    <n v="7173400"/>
    <x v="1"/>
    <x v="0"/>
    <x v="0"/>
    <x v="2"/>
    <x v="6"/>
    <n v="7"/>
    <x v="6"/>
    <n v="115700"/>
    <n v="0.72"/>
  </r>
  <r>
    <d v="2023-07-22T00:00:00"/>
    <x v="8"/>
    <s v="Siliguri"/>
    <x v="2"/>
    <x v="2"/>
    <x v="2"/>
    <n v="66"/>
    <x v="2"/>
    <n v="30"/>
    <x v="545"/>
    <n v="277761000"/>
    <x v="1"/>
    <x v="2"/>
    <x v="0"/>
    <x v="2"/>
    <x v="6"/>
    <n v="7"/>
    <x v="6"/>
    <n v="9258700"/>
    <n v="27.78"/>
  </r>
  <r>
    <d v="2023-07-22T00:00:00"/>
    <x v="3"/>
    <s v="Pune"/>
    <x v="13"/>
    <x v="19"/>
    <x v="0"/>
    <n v="24"/>
    <x v="17"/>
    <n v="88"/>
    <x v="546"/>
    <n v="145736800"/>
    <x v="1"/>
    <x v="0"/>
    <x v="0"/>
    <x v="2"/>
    <x v="6"/>
    <n v="7"/>
    <x v="6"/>
    <n v="1656100"/>
    <n v="14.57"/>
  </r>
  <r>
    <d v="2023-07-23T00:00:00"/>
    <x v="3"/>
    <s v="Pune"/>
    <x v="13"/>
    <x v="22"/>
    <x v="0"/>
    <n v="35"/>
    <x v="10"/>
    <n v="155"/>
    <x v="547"/>
    <n v="255982500"/>
    <x v="0"/>
    <x v="2"/>
    <x v="0"/>
    <x v="2"/>
    <x v="6"/>
    <n v="7"/>
    <x v="6"/>
    <n v="1651500"/>
    <n v="25.6"/>
  </r>
  <r>
    <d v="2023-07-23T00:00:00"/>
    <x v="3"/>
    <s v="Nagpur"/>
    <x v="8"/>
    <x v="20"/>
    <x v="1"/>
    <n v="84"/>
    <x v="18"/>
    <n v="17"/>
    <x v="548"/>
    <n v="143357600"/>
    <x v="1"/>
    <x v="2"/>
    <x v="0"/>
    <x v="2"/>
    <x v="6"/>
    <n v="7"/>
    <x v="6"/>
    <n v="8432800"/>
    <n v="14.34"/>
  </r>
  <r>
    <d v="2023-07-24T00:00:00"/>
    <x v="9"/>
    <s v="Gaya"/>
    <x v="10"/>
    <x v="11"/>
    <x v="1"/>
    <n v="69"/>
    <x v="11"/>
    <n v="26"/>
    <x v="549"/>
    <n v="140423400"/>
    <x v="1"/>
    <x v="0"/>
    <x v="0"/>
    <x v="2"/>
    <x v="6"/>
    <n v="7"/>
    <x v="6"/>
    <n v="5400900"/>
    <n v="14.04"/>
  </r>
  <r>
    <d v="2023-07-25T00:00:00"/>
    <x v="6"/>
    <s v="Surat"/>
    <x v="2"/>
    <x v="2"/>
    <x v="0"/>
    <n v="66"/>
    <x v="2"/>
    <n v="40"/>
    <x v="550"/>
    <n v="352856000"/>
    <x v="1"/>
    <x v="2"/>
    <x v="0"/>
    <x v="2"/>
    <x v="6"/>
    <n v="7"/>
    <x v="6"/>
    <n v="8821400"/>
    <n v="35.29"/>
  </r>
  <r>
    <d v="2023-07-25T00:00:00"/>
    <x v="1"/>
    <s v="Saket"/>
    <x v="0"/>
    <x v="0"/>
    <x v="0"/>
    <n v="82"/>
    <x v="0"/>
    <n v="41"/>
    <x v="551"/>
    <n v="311759900"/>
    <x v="1"/>
    <x v="2"/>
    <x v="0"/>
    <x v="2"/>
    <x v="6"/>
    <n v="7"/>
    <x v="6"/>
    <n v="7603900"/>
    <n v="31.18"/>
  </r>
  <r>
    <d v="2023-07-25T00:00:00"/>
    <x v="2"/>
    <s v="Noida"/>
    <x v="12"/>
    <x v="18"/>
    <x v="0"/>
    <n v="60"/>
    <x v="16"/>
    <n v="33"/>
    <x v="552"/>
    <n v="97396200"/>
    <x v="2"/>
    <x v="0"/>
    <x v="0"/>
    <x v="2"/>
    <x v="6"/>
    <n v="7"/>
    <x v="6"/>
    <n v="2951400"/>
    <n v="9.74"/>
  </r>
  <r>
    <d v="2023-07-25T00:00:00"/>
    <x v="0"/>
    <s v="Warangal"/>
    <x v="7"/>
    <x v="7"/>
    <x v="0"/>
    <n v="3"/>
    <x v="7"/>
    <n v="18"/>
    <x v="553"/>
    <n v="3137400"/>
    <x v="1"/>
    <x v="0"/>
    <x v="0"/>
    <x v="2"/>
    <x v="6"/>
    <n v="7"/>
    <x v="6"/>
    <n v="174300"/>
    <n v="0.31"/>
  </r>
  <r>
    <d v="2023-07-26T00:00:00"/>
    <x v="11"/>
    <s v="Salem"/>
    <x v="1"/>
    <x v="21"/>
    <x v="0"/>
    <n v="3"/>
    <x v="19"/>
    <n v="60"/>
    <x v="554"/>
    <n v="5670000"/>
    <x v="1"/>
    <x v="2"/>
    <x v="0"/>
    <x v="2"/>
    <x v="6"/>
    <n v="7"/>
    <x v="6"/>
    <n v="94500"/>
    <n v="0.56999999999999995"/>
  </r>
  <r>
    <d v="2023-07-26T00:00:00"/>
    <x v="5"/>
    <s v="Mysuru"/>
    <x v="0"/>
    <x v="0"/>
    <x v="0"/>
    <n v="82"/>
    <x v="0"/>
    <n v="11"/>
    <x v="555"/>
    <n v="68435400"/>
    <x v="1"/>
    <x v="1"/>
    <x v="0"/>
    <x v="2"/>
    <x v="6"/>
    <n v="7"/>
    <x v="6"/>
    <n v="6221400"/>
    <n v="6.84"/>
  </r>
  <r>
    <d v="2023-07-26T00:00:00"/>
    <x v="11"/>
    <s v="Salem"/>
    <x v="7"/>
    <x v="7"/>
    <x v="0"/>
    <n v="3"/>
    <x v="7"/>
    <n v="51"/>
    <x v="556"/>
    <n v="7262400"/>
    <x v="0"/>
    <x v="0"/>
    <x v="0"/>
    <x v="2"/>
    <x v="6"/>
    <n v="7"/>
    <x v="6"/>
    <n v="142400"/>
    <n v="0.73"/>
  </r>
  <r>
    <d v="2023-07-26T00:00:00"/>
    <x v="1"/>
    <s v="Rohini"/>
    <x v="2"/>
    <x v="2"/>
    <x v="0"/>
    <n v="66"/>
    <x v="2"/>
    <n v="3"/>
    <x v="557"/>
    <n v="23321700"/>
    <x v="0"/>
    <x v="1"/>
    <x v="0"/>
    <x v="2"/>
    <x v="6"/>
    <n v="7"/>
    <x v="6"/>
    <n v="7773900"/>
    <n v="2.33"/>
  </r>
  <r>
    <d v="2023-07-27T00:00:00"/>
    <x v="1"/>
    <s v="Saket"/>
    <x v="0"/>
    <x v="0"/>
    <x v="0"/>
    <n v="82"/>
    <x v="0"/>
    <n v="46"/>
    <x v="558"/>
    <n v="274813200"/>
    <x v="1"/>
    <x v="2"/>
    <x v="0"/>
    <x v="2"/>
    <x v="6"/>
    <n v="7"/>
    <x v="6"/>
    <n v="5974200"/>
    <n v="27.48"/>
  </r>
  <r>
    <d v="2023-07-27T00:00:00"/>
    <x v="12"/>
    <s v="Panipat"/>
    <x v="2"/>
    <x v="2"/>
    <x v="0"/>
    <n v="66"/>
    <x v="2"/>
    <n v="24"/>
    <x v="559"/>
    <n v="205828800"/>
    <x v="1"/>
    <x v="2"/>
    <x v="0"/>
    <x v="2"/>
    <x v="6"/>
    <n v="7"/>
    <x v="6"/>
    <n v="8576200"/>
    <n v="20.58"/>
  </r>
  <r>
    <d v="2023-07-27T00:00:00"/>
    <x v="2"/>
    <s v="Noida"/>
    <x v="5"/>
    <x v="5"/>
    <x v="0"/>
    <n v="30"/>
    <x v="5"/>
    <n v="15"/>
    <x v="560"/>
    <n v="18388500"/>
    <x v="1"/>
    <x v="0"/>
    <x v="0"/>
    <x v="2"/>
    <x v="6"/>
    <n v="7"/>
    <x v="6"/>
    <n v="1225900"/>
    <n v="1.84"/>
  </r>
  <r>
    <d v="2023-07-27T00:00:00"/>
    <x v="14"/>
    <s v="Jodhpur"/>
    <x v="0"/>
    <x v="0"/>
    <x v="0"/>
    <n v="82"/>
    <x v="0"/>
    <n v="16"/>
    <x v="561"/>
    <n v="111099200"/>
    <x v="1"/>
    <x v="1"/>
    <x v="0"/>
    <x v="2"/>
    <x v="6"/>
    <n v="7"/>
    <x v="6"/>
    <n v="6943700"/>
    <n v="11.11"/>
  </r>
  <r>
    <d v="2023-07-27T00:00:00"/>
    <x v="13"/>
    <s v="Bhopal"/>
    <x v="2"/>
    <x v="2"/>
    <x v="0"/>
    <n v="66"/>
    <x v="2"/>
    <n v="35"/>
    <x v="562"/>
    <n v="278978000"/>
    <x v="1"/>
    <x v="0"/>
    <x v="0"/>
    <x v="2"/>
    <x v="6"/>
    <n v="7"/>
    <x v="6"/>
    <n v="7970800"/>
    <n v="27.9"/>
  </r>
  <r>
    <d v="2023-07-28T00:00:00"/>
    <x v="5"/>
    <s v="Mysuru"/>
    <x v="11"/>
    <x v="23"/>
    <x v="0"/>
    <n v="59"/>
    <x v="20"/>
    <n v="143"/>
    <x v="563"/>
    <n v="437236800"/>
    <x v="1"/>
    <x v="0"/>
    <x v="0"/>
    <x v="2"/>
    <x v="6"/>
    <n v="7"/>
    <x v="6"/>
    <n v="3057600"/>
    <n v="43.72"/>
  </r>
  <r>
    <d v="2023-07-28T00:00:00"/>
    <x v="3"/>
    <s v="Mumbai"/>
    <x v="11"/>
    <x v="12"/>
    <x v="0"/>
    <n v="40"/>
    <x v="12"/>
    <n v="14"/>
    <x v="564"/>
    <n v="35124600"/>
    <x v="1"/>
    <x v="2"/>
    <x v="0"/>
    <x v="2"/>
    <x v="6"/>
    <n v="7"/>
    <x v="6"/>
    <n v="2508900"/>
    <n v="3.51"/>
  </r>
  <r>
    <d v="2023-07-29T00:00:00"/>
    <x v="11"/>
    <s v="Madurai"/>
    <x v="1"/>
    <x v="21"/>
    <x v="0"/>
    <n v="3"/>
    <x v="19"/>
    <n v="166"/>
    <x v="565"/>
    <n v="19920000"/>
    <x v="1"/>
    <x v="0"/>
    <x v="0"/>
    <x v="2"/>
    <x v="6"/>
    <n v="7"/>
    <x v="6"/>
    <n v="120000"/>
    <n v="1.99"/>
  </r>
  <r>
    <d v="2023-07-30T00:00:00"/>
    <x v="9"/>
    <s v="Gaya"/>
    <x v="6"/>
    <x v="13"/>
    <x v="0"/>
    <n v="48"/>
    <x v="12"/>
    <n v="29"/>
    <x v="566"/>
    <n v="65508100"/>
    <x v="0"/>
    <x v="0"/>
    <x v="0"/>
    <x v="2"/>
    <x v="6"/>
    <n v="7"/>
    <x v="6"/>
    <n v="2258900"/>
    <n v="6.55"/>
  </r>
  <r>
    <d v="2023-07-30T00:00:00"/>
    <x v="14"/>
    <s v="Udaipur"/>
    <x v="3"/>
    <x v="3"/>
    <x v="0"/>
    <n v="3"/>
    <x v="3"/>
    <n v="71"/>
    <x v="454"/>
    <n v="8789800"/>
    <x v="1"/>
    <x v="2"/>
    <x v="0"/>
    <x v="2"/>
    <x v="6"/>
    <n v="7"/>
    <x v="6"/>
    <n v="123800"/>
    <n v="0.88"/>
  </r>
  <r>
    <d v="2023-07-30T00:00:00"/>
    <x v="2"/>
    <s v="Noida"/>
    <x v="6"/>
    <x v="13"/>
    <x v="0"/>
    <n v="48"/>
    <x v="12"/>
    <n v="118"/>
    <x v="567"/>
    <n v="241900000"/>
    <x v="1"/>
    <x v="0"/>
    <x v="0"/>
    <x v="2"/>
    <x v="6"/>
    <n v="7"/>
    <x v="6"/>
    <n v="2050000"/>
    <n v="24.19"/>
  </r>
  <r>
    <d v="2023-07-30T00:00:00"/>
    <x v="12"/>
    <s v="Hisar"/>
    <x v="7"/>
    <x v="7"/>
    <x v="0"/>
    <n v="3"/>
    <x v="7"/>
    <n v="33"/>
    <x v="568"/>
    <n v="4930200"/>
    <x v="1"/>
    <x v="3"/>
    <x v="0"/>
    <x v="2"/>
    <x v="6"/>
    <n v="7"/>
    <x v="6"/>
    <n v="149400"/>
    <n v="0.49"/>
  </r>
  <r>
    <d v="2023-07-31T00:00:00"/>
    <x v="11"/>
    <s v="Coimbatore"/>
    <x v="9"/>
    <x v="10"/>
    <x v="1"/>
    <n v="25"/>
    <x v="10"/>
    <n v="118"/>
    <x v="569"/>
    <n v="132797200"/>
    <x v="1"/>
    <x v="3"/>
    <x v="0"/>
    <x v="2"/>
    <x v="6"/>
    <n v="7"/>
    <x v="6"/>
    <n v="1125400"/>
    <n v="13.28"/>
  </r>
  <r>
    <d v="2023-07-31T00:00:00"/>
    <x v="12"/>
    <s v="Gurugram"/>
    <x v="5"/>
    <x v="5"/>
    <x v="2"/>
    <n v="30"/>
    <x v="5"/>
    <n v="6"/>
    <x v="570"/>
    <n v="8108400"/>
    <x v="1"/>
    <x v="1"/>
    <x v="0"/>
    <x v="2"/>
    <x v="6"/>
    <n v="7"/>
    <x v="6"/>
    <n v="1351400"/>
    <n v="0.81"/>
  </r>
  <r>
    <d v="2023-08-01T00:00:00"/>
    <x v="12"/>
    <s v="Panipat"/>
    <x v="0"/>
    <x v="0"/>
    <x v="1"/>
    <n v="82"/>
    <x v="0"/>
    <n v="79"/>
    <x v="571"/>
    <n v="523793700"/>
    <x v="0"/>
    <x v="2"/>
    <x v="0"/>
    <x v="2"/>
    <x v="7"/>
    <n v="8"/>
    <x v="7"/>
    <n v="6630300"/>
    <n v="52.38"/>
  </r>
  <r>
    <d v="2023-08-01T00:00:00"/>
    <x v="4"/>
    <s v="Amritsar"/>
    <x v="5"/>
    <x v="5"/>
    <x v="0"/>
    <n v="30"/>
    <x v="5"/>
    <n v="13"/>
    <x v="572"/>
    <n v="16725800"/>
    <x v="1"/>
    <x v="2"/>
    <x v="0"/>
    <x v="2"/>
    <x v="7"/>
    <n v="8"/>
    <x v="7"/>
    <n v="1286600"/>
    <n v="1.67"/>
  </r>
  <r>
    <d v="2023-08-01T00:00:00"/>
    <x v="6"/>
    <s v="Ahmedabad"/>
    <x v="2"/>
    <x v="2"/>
    <x v="0"/>
    <n v="66"/>
    <x v="2"/>
    <n v="51"/>
    <x v="573"/>
    <n v="447545400"/>
    <x v="0"/>
    <x v="2"/>
    <x v="0"/>
    <x v="2"/>
    <x v="7"/>
    <n v="8"/>
    <x v="7"/>
    <n v="8775400"/>
    <n v="44.75"/>
  </r>
  <r>
    <d v="2023-08-02T00:00:00"/>
    <x v="14"/>
    <s v="Kota"/>
    <x v="10"/>
    <x v="11"/>
    <x v="0"/>
    <n v="69"/>
    <x v="11"/>
    <n v="48"/>
    <x v="574"/>
    <n v="251313600"/>
    <x v="1"/>
    <x v="0"/>
    <x v="0"/>
    <x v="2"/>
    <x v="7"/>
    <n v="8"/>
    <x v="7"/>
    <n v="5235700"/>
    <n v="25.13"/>
  </r>
  <r>
    <d v="2023-08-02T00:00:00"/>
    <x v="0"/>
    <s v="Nizamabad"/>
    <x v="5"/>
    <x v="5"/>
    <x v="0"/>
    <n v="30"/>
    <x v="5"/>
    <n v="74"/>
    <x v="575"/>
    <n v="112628000"/>
    <x v="1"/>
    <x v="2"/>
    <x v="0"/>
    <x v="2"/>
    <x v="7"/>
    <n v="8"/>
    <x v="7"/>
    <n v="1522000"/>
    <n v="11.26"/>
  </r>
  <r>
    <d v="2023-08-02T00:00:00"/>
    <x v="12"/>
    <s v="Panipat"/>
    <x v="9"/>
    <x v="9"/>
    <x v="0"/>
    <n v="50"/>
    <x v="9"/>
    <n v="133"/>
    <x v="576"/>
    <n v="372054200"/>
    <x v="1"/>
    <x v="2"/>
    <x v="0"/>
    <x v="2"/>
    <x v="7"/>
    <n v="8"/>
    <x v="7"/>
    <n v="2797400"/>
    <n v="37.21"/>
  </r>
  <r>
    <d v="2023-08-02T00:00:00"/>
    <x v="6"/>
    <s v="Rajkot"/>
    <x v="11"/>
    <x v="23"/>
    <x v="1"/>
    <n v="59"/>
    <x v="20"/>
    <n v="168"/>
    <x v="577"/>
    <n v="446292000"/>
    <x v="1"/>
    <x v="0"/>
    <x v="0"/>
    <x v="2"/>
    <x v="7"/>
    <n v="8"/>
    <x v="7"/>
    <n v="2656500"/>
    <n v="44.63"/>
  </r>
  <r>
    <d v="2023-08-02T00:00:00"/>
    <x v="11"/>
    <s v="Salem"/>
    <x v="12"/>
    <x v="18"/>
    <x v="0"/>
    <n v="60"/>
    <x v="16"/>
    <n v="21"/>
    <x v="578"/>
    <n v="60219600"/>
    <x v="2"/>
    <x v="0"/>
    <x v="0"/>
    <x v="2"/>
    <x v="7"/>
    <n v="8"/>
    <x v="7"/>
    <n v="2867600"/>
    <n v="6.02"/>
  </r>
  <r>
    <d v="2023-08-02T00:00:00"/>
    <x v="7"/>
    <s v="Tirupati"/>
    <x v="8"/>
    <x v="8"/>
    <x v="1"/>
    <n v="66"/>
    <x v="8"/>
    <n v="66"/>
    <x v="579"/>
    <n v="370702200"/>
    <x v="1"/>
    <x v="0"/>
    <x v="0"/>
    <x v="2"/>
    <x v="7"/>
    <n v="8"/>
    <x v="7"/>
    <n v="5616700"/>
    <n v="37.07"/>
  </r>
  <r>
    <d v="2023-08-03T00:00:00"/>
    <x v="2"/>
    <s v="Kanpur"/>
    <x v="5"/>
    <x v="5"/>
    <x v="0"/>
    <n v="30"/>
    <x v="5"/>
    <n v="56"/>
    <x v="580"/>
    <n v="91554400"/>
    <x v="1"/>
    <x v="0"/>
    <x v="0"/>
    <x v="2"/>
    <x v="7"/>
    <n v="8"/>
    <x v="7"/>
    <n v="1634900"/>
    <n v="9.16"/>
  </r>
  <r>
    <d v="2023-08-03T00:00:00"/>
    <x v="6"/>
    <s v="Surat"/>
    <x v="1"/>
    <x v="21"/>
    <x v="0"/>
    <n v="3"/>
    <x v="19"/>
    <n v="28"/>
    <x v="581"/>
    <n v="3446800"/>
    <x v="1"/>
    <x v="3"/>
    <x v="0"/>
    <x v="2"/>
    <x v="7"/>
    <n v="8"/>
    <x v="7"/>
    <n v="123100"/>
    <n v="0.34"/>
  </r>
  <r>
    <d v="2023-08-03T00:00:00"/>
    <x v="6"/>
    <s v="Ahmedabad"/>
    <x v="4"/>
    <x v="4"/>
    <x v="0"/>
    <n v="77"/>
    <x v="4"/>
    <n v="22"/>
    <x v="582"/>
    <n v="115759600"/>
    <x v="1"/>
    <x v="0"/>
    <x v="0"/>
    <x v="2"/>
    <x v="7"/>
    <n v="8"/>
    <x v="7"/>
    <n v="5261800"/>
    <n v="11.58"/>
  </r>
  <r>
    <d v="2023-08-04T00:00:00"/>
    <x v="10"/>
    <s v="Kozhikode"/>
    <x v="15"/>
    <x v="17"/>
    <x v="0"/>
    <n v="5"/>
    <x v="15"/>
    <n v="76"/>
    <x v="583"/>
    <n v="12350000"/>
    <x v="0"/>
    <x v="0"/>
    <x v="0"/>
    <x v="2"/>
    <x v="7"/>
    <n v="8"/>
    <x v="7"/>
    <n v="162500"/>
    <n v="1.24"/>
  </r>
  <r>
    <d v="2023-08-05T00:00:00"/>
    <x v="5"/>
    <s v="Hubballi"/>
    <x v="15"/>
    <x v="17"/>
    <x v="0"/>
    <n v="5"/>
    <x v="15"/>
    <n v="166"/>
    <x v="584"/>
    <n v="25530800"/>
    <x v="0"/>
    <x v="0"/>
    <x v="0"/>
    <x v="2"/>
    <x v="7"/>
    <n v="8"/>
    <x v="7"/>
    <n v="153800"/>
    <n v="2.5499999999999998"/>
  </r>
  <r>
    <d v="2023-08-05T00:00:00"/>
    <x v="12"/>
    <s v="Panipat"/>
    <x v="0"/>
    <x v="0"/>
    <x v="0"/>
    <n v="82"/>
    <x v="0"/>
    <n v="50"/>
    <x v="585"/>
    <n v="339585000"/>
    <x v="0"/>
    <x v="2"/>
    <x v="0"/>
    <x v="2"/>
    <x v="7"/>
    <n v="8"/>
    <x v="7"/>
    <n v="6791700"/>
    <n v="33.96"/>
  </r>
  <r>
    <d v="2023-08-05T00:00:00"/>
    <x v="11"/>
    <s v="Coimbatore"/>
    <x v="9"/>
    <x v="10"/>
    <x v="1"/>
    <n v="25"/>
    <x v="10"/>
    <n v="35"/>
    <x v="586"/>
    <n v="44744000"/>
    <x v="2"/>
    <x v="0"/>
    <x v="0"/>
    <x v="2"/>
    <x v="7"/>
    <n v="8"/>
    <x v="7"/>
    <n v="1278400"/>
    <n v="4.47"/>
  </r>
  <r>
    <d v="2023-08-05T00:00:00"/>
    <x v="12"/>
    <s v="Hisar"/>
    <x v="10"/>
    <x v="11"/>
    <x v="0"/>
    <n v="69"/>
    <x v="11"/>
    <n v="58"/>
    <x v="587"/>
    <n v="338963600"/>
    <x v="1"/>
    <x v="0"/>
    <x v="0"/>
    <x v="2"/>
    <x v="7"/>
    <n v="8"/>
    <x v="7"/>
    <n v="5844200"/>
    <n v="33.9"/>
  </r>
  <r>
    <d v="2023-08-05T00:00:00"/>
    <x v="14"/>
    <s v="Udaipur"/>
    <x v="4"/>
    <x v="4"/>
    <x v="0"/>
    <n v="77"/>
    <x v="4"/>
    <n v="32"/>
    <x v="588"/>
    <n v="142652800"/>
    <x v="1"/>
    <x v="0"/>
    <x v="0"/>
    <x v="2"/>
    <x v="7"/>
    <n v="8"/>
    <x v="7"/>
    <n v="4457900"/>
    <n v="14.27"/>
  </r>
  <r>
    <d v="2023-08-06T00:00:00"/>
    <x v="10"/>
    <s v="Kozhikode"/>
    <x v="15"/>
    <x v="17"/>
    <x v="0"/>
    <n v="5"/>
    <x v="15"/>
    <n v="126"/>
    <x v="589"/>
    <n v="18421200"/>
    <x v="0"/>
    <x v="0"/>
    <x v="0"/>
    <x v="2"/>
    <x v="7"/>
    <n v="8"/>
    <x v="7"/>
    <n v="146200"/>
    <n v="1.84"/>
  </r>
  <r>
    <d v="2023-08-06T00:00:00"/>
    <x v="0"/>
    <s v="Warangal"/>
    <x v="2"/>
    <x v="2"/>
    <x v="0"/>
    <n v="66"/>
    <x v="2"/>
    <n v="7"/>
    <x v="590"/>
    <n v="64837500"/>
    <x v="1"/>
    <x v="2"/>
    <x v="0"/>
    <x v="2"/>
    <x v="7"/>
    <n v="8"/>
    <x v="7"/>
    <n v="9262500"/>
    <n v="6.48"/>
  </r>
  <r>
    <d v="2023-08-06T00:00:00"/>
    <x v="5"/>
    <s v="Mangaluru"/>
    <x v="7"/>
    <x v="7"/>
    <x v="0"/>
    <n v="3"/>
    <x v="7"/>
    <n v="146"/>
    <x v="591"/>
    <n v="24046200"/>
    <x v="1"/>
    <x v="0"/>
    <x v="0"/>
    <x v="2"/>
    <x v="7"/>
    <n v="8"/>
    <x v="7"/>
    <n v="164700"/>
    <n v="2.4"/>
  </r>
  <r>
    <d v="2023-08-06T00:00:00"/>
    <x v="7"/>
    <s v="Visakhapatnam"/>
    <x v="13"/>
    <x v="15"/>
    <x v="0"/>
    <n v="40"/>
    <x v="14"/>
    <n v="178"/>
    <x v="592"/>
    <n v="461073400"/>
    <x v="0"/>
    <x v="0"/>
    <x v="0"/>
    <x v="2"/>
    <x v="7"/>
    <n v="8"/>
    <x v="7"/>
    <n v="2590300"/>
    <n v="46.11"/>
  </r>
  <r>
    <d v="2023-08-08T00:00:00"/>
    <x v="13"/>
    <s v="Gwalior"/>
    <x v="8"/>
    <x v="8"/>
    <x v="0"/>
    <n v="66"/>
    <x v="8"/>
    <n v="41"/>
    <x v="593"/>
    <n v="263617700"/>
    <x v="1"/>
    <x v="1"/>
    <x v="0"/>
    <x v="2"/>
    <x v="7"/>
    <n v="8"/>
    <x v="7"/>
    <n v="6429700"/>
    <n v="26.36"/>
  </r>
  <r>
    <d v="2023-08-08T00:00:00"/>
    <x v="1"/>
    <s v="Dwarka"/>
    <x v="0"/>
    <x v="0"/>
    <x v="0"/>
    <n v="82"/>
    <x v="0"/>
    <n v="34"/>
    <x v="594"/>
    <n v="221931600"/>
    <x v="1"/>
    <x v="0"/>
    <x v="0"/>
    <x v="2"/>
    <x v="7"/>
    <n v="8"/>
    <x v="7"/>
    <n v="6527400"/>
    <n v="22.19"/>
  </r>
  <r>
    <d v="2023-08-08T00:00:00"/>
    <x v="13"/>
    <s v="Gwalior"/>
    <x v="4"/>
    <x v="4"/>
    <x v="0"/>
    <n v="77"/>
    <x v="4"/>
    <n v="70"/>
    <x v="595"/>
    <n v="386722000"/>
    <x v="0"/>
    <x v="2"/>
    <x v="0"/>
    <x v="2"/>
    <x v="7"/>
    <n v="8"/>
    <x v="7"/>
    <n v="5524600"/>
    <n v="38.67"/>
  </r>
  <r>
    <d v="2023-08-08T00:00:00"/>
    <x v="11"/>
    <s v="Chennai"/>
    <x v="15"/>
    <x v="17"/>
    <x v="0"/>
    <n v="5"/>
    <x v="15"/>
    <n v="29"/>
    <x v="273"/>
    <n v="4120900"/>
    <x v="0"/>
    <x v="2"/>
    <x v="0"/>
    <x v="2"/>
    <x v="7"/>
    <n v="8"/>
    <x v="7"/>
    <n v="142100"/>
    <n v="0.41"/>
  </r>
  <r>
    <d v="2023-08-08T00:00:00"/>
    <x v="10"/>
    <s v="Kochi"/>
    <x v="15"/>
    <x v="17"/>
    <x v="0"/>
    <n v="5"/>
    <x v="15"/>
    <n v="136"/>
    <x v="596"/>
    <n v="25472800"/>
    <x v="1"/>
    <x v="2"/>
    <x v="0"/>
    <x v="2"/>
    <x v="7"/>
    <n v="8"/>
    <x v="7"/>
    <n v="187300"/>
    <n v="2.5499999999999998"/>
  </r>
  <r>
    <d v="2023-08-08T00:00:00"/>
    <x v="5"/>
    <s v="Bengaluru"/>
    <x v="12"/>
    <x v="18"/>
    <x v="0"/>
    <n v="60"/>
    <x v="16"/>
    <n v="6"/>
    <x v="597"/>
    <n v="20053200"/>
    <x v="1"/>
    <x v="0"/>
    <x v="0"/>
    <x v="2"/>
    <x v="7"/>
    <n v="8"/>
    <x v="7"/>
    <n v="3342200"/>
    <n v="2.0099999999999998"/>
  </r>
  <r>
    <d v="2023-08-09T00:00:00"/>
    <x v="11"/>
    <s v="Chennai"/>
    <x v="10"/>
    <x v="11"/>
    <x v="0"/>
    <n v="69"/>
    <x v="11"/>
    <n v="30"/>
    <x v="598"/>
    <n v="195036000"/>
    <x v="1"/>
    <x v="2"/>
    <x v="0"/>
    <x v="2"/>
    <x v="7"/>
    <n v="8"/>
    <x v="7"/>
    <n v="6501200"/>
    <n v="19.5"/>
  </r>
  <r>
    <d v="2023-08-09T00:00:00"/>
    <x v="10"/>
    <s v="Thiruvananthapuram"/>
    <x v="6"/>
    <x v="13"/>
    <x v="2"/>
    <n v="48"/>
    <x v="12"/>
    <n v="27"/>
    <x v="599"/>
    <n v="71763300"/>
    <x v="1"/>
    <x v="0"/>
    <x v="0"/>
    <x v="2"/>
    <x v="7"/>
    <n v="8"/>
    <x v="7"/>
    <n v="2657900"/>
    <n v="7.18"/>
  </r>
  <r>
    <d v="2023-08-10T00:00:00"/>
    <x v="13"/>
    <s v="Indore"/>
    <x v="8"/>
    <x v="8"/>
    <x v="0"/>
    <n v="66"/>
    <x v="8"/>
    <n v="35"/>
    <x v="600"/>
    <n v="221217500"/>
    <x v="1"/>
    <x v="0"/>
    <x v="0"/>
    <x v="2"/>
    <x v="7"/>
    <n v="8"/>
    <x v="7"/>
    <n v="6320500"/>
    <n v="22.12"/>
  </r>
  <r>
    <d v="2023-08-10T00:00:00"/>
    <x v="5"/>
    <s v="Mysuru"/>
    <x v="0"/>
    <x v="0"/>
    <x v="0"/>
    <n v="82"/>
    <x v="0"/>
    <n v="18"/>
    <x v="601"/>
    <n v="129225600"/>
    <x v="1"/>
    <x v="0"/>
    <x v="0"/>
    <x v="2"/>
    <x v="7"/>
    <n v="8"/>
    <x v="7"/>
    <n v="7179200"/>
    <n v="12.92"/>
  </r>
  <r>
    <d v="2023-08-11T00:00:00"/>
    <x v="5"/>
    <s v="Mysuru"/>
    <x v="3"/>
    <x v="3"/>
    <x v="0"/>
    <n v="3"/>
    <x v="3"/>
    <n v="99"/>
    <x v="602"/>
    <n v="11493900"/>
    <x v="1"/>
    <x v="2"/>
    <x v="0"/>
    <x v="2"/>
    <x v="7"/>
    <n v="8"/>
    <x v="7"/>
    <n v="116100"/>
    <n v="1.1499999999999999"/>
  </r>
  <r>
    <d v="2023-08-11T00:00:00"/>
    <x v="11"/>
    <s v="Madurai"/>
    <x v="2"/>
    <x v="2"/>
    <x v="0"/>
    <n v="66"/>
    <x v="2"/>
    <n v="63"/>
    <x v="603"/>
    <n v="501706800"/>
    <x v="1"/>
    <x v="0"/>
    <x v="0"/>
    <x v="2"/>
    <x v="7"/>
    <n v="8"/>
    <x v="7"/>
    <n v="7963600"/>
    <n v="50.17"/>
  </r>
  <r>
    <d v="2023-08-12T00:00:00"/>
    <x v="6"/>
    <s v="Rajkot"/>
    <x v="10"/>
    <x v="11"/>
    <x v="1"/>
    <n v="69"/>
    <x v="11"/>
    <n v="59"/>
    <x v="604"/>
    <n v="345964200"/>
    <x v="0"/>
    <x v="3"/>
    <x v="0"/>
    <x v="2"/>
    <x v="7"/>
    <n v="8"/>
    <x v="7"/>
    <n v="5863800"/>
    <n v="34.6"/>
  </r>
  <r>
    <d v="2023-08-12T00:00:00"/>
    <x v="2"/>
    <s v="Kanpur"/>
    <x v="7"/>
    <x v="7"/>
    <x v="0"/>
    <n v="3"/>
    <x v="7"/>
    <n v="117"/>
    <x v="605"/>
    <n v="21177000"/>
    <x v="1"/>
    <x v="1"/>
    <x v="0"/>
    <x v="2"/>
    <x v="7"/>
    <n v="8"/>
    <x v="7"/>
    <n v="181000"/>
    <n v="2.12"/>
  </r>
  <r>
    <d v="2023-08-13T00:00:00"/>
    <x v="11"/>
    <s v="Salem"/>
    <x v="0"/>
    <x v="0"/>
    <x v="1"/>
    <n v="82"/>
    <x v="0"/>
    <n v="55"/>
    <x v="606"/>
    <n v="351345500"/>
    <x v="0"/>
    <x v="0"/>
    <x v="0"/>
    <x v="2"/>
    <x v="7"/>
    <n v="8"/>
    <x v="7"/>
    <n v="6388100"/>
    <n v="35.130000000000003"/>
  </r>
  <r>
    <d v="2023-08-14T00:00:00"/>
    <x v="12"/>
    <s v="Hisar"/>
    <x v="12"/>
    <x v="14"/>
    <x v="0"/>
    <n v="82"/>
    <x v="13"/>
    <n v="76"/>
    <x v="607"/>
    <n v="373243600"/>
    <x v="2"/>
    <x v="2"/>
    <x v="0"/>
    <x v="2"/>
    <x v="7"/>
    <n v="8"/>
    <x v="7"/>
    <n v="4911100"/>
    <n v="37.32"/>
  </r>
  <r>
    <d v="2023-08-14T00:00:00"/>
    <x v="8"/>
    <s v="Durgapur"/>
    <x v="5"/>
    <x v="5"/>
    <x v="0"/>
    <n v="30"/>
    <x v="5"/>
    <n v="26"/>
    <x v="608"/>
    <n v="43851600"/>
    <x v="1"/>
    <x v="0"/>
    <x v="0"/>
    <x v="2"/>
    <x v="7"/>
    <n v="8"/>
    <x v="7"/>
    <n v="1686600"/>
    <n v="4.3899999999999997"/>
  </r>
  <r>
    <d v="2023-08-14T00:00:00"/>
    <x v="13"/>
    <s v="Indore"/>
    <x v="12"/>
    <x v="14"/>
    <x v="0"/>
    <n v="82"/>
    <x v="13"/>
    <n v="63"/>
    <x v="609"/>
    <n v="378044100"/>
    <x v="1"/>
    <x v="0"/>
    <x v="0"/>
    <x v="2"/>
    <x v="7"/>
    <n v="8"/>
    <x v="7"/>
    <n v="6000700"/>
    <n v="37.799999999999997"/>
  </r>
  <r>
    <d v="2023-08-14T00:00:00"/>
    <x v="14"/>
    <s v="Jaipur"/>
    <x v="10"/>
    <x v="11"/>
    <x v="3"/>
    <n v="69"/>
    <x v="11"/>
    <n v="26"/>
    <x v="610"/>
    <n v="143517400"/>
    <x v="1"/>
    <x v="0"/>
    <x v="0"/>
    <x v="2"/>
    <x v="7"/>
    <n v="8"/>
    <x v="7"/>
    <n v="5519900"/>
    <n v="14.35"/>
  </r>
  <r>
    <d v="2023-08-14T00:00:00"/>
    <x v="13"/>
    <s v="Bhopal"/>
    <x v="4"/>
    <x v="4"/>
    <x v="0"/>
    <n v="77"/>
    <x v="4"/>
    <n v="61"/>
    <x v="611"/>
    <n v="315638400"/>
    <x v="1"/>
    <x v="0"/>
    <x v="0"/>
    <x v="2"/>
    <x v="7"/>
    <n v="8"/>
    <x v="7"/>
    <n v="5174400"/>
    <n v="31.56"/>
  </r>
  <r>
    <d v="2023-08-14T00:00:00"/>
    <x v="8"/>
    <s v="Durgapur"/>
    <x v="15"/>
    <x v="17"/>
    <x v="0"/>
    <n v="5"/>
    <x v="15"/>
    <n v="30"/>
    <x v="68"/>
    <n v="4704000"/>
    <x v="1"/>
    <x v="0"/>
    <x v="0"/>
    <x v="2"/>
    <x v="7"/>
    <n v="8"/>
    <x v="7"/>
    <n v="156800"/>
    <n v="0.47"/>
  </r>
  <r>
    <d v="2023-08-15T00:00:00"/>
    <x v="6"/>
    <s v="Ahmedabad"/>
    <x v="2"/>
    <x v="2"/>
    <x v="0"/>
    <n v="66"/>
    <x v="2"/>
    <n v="68"/>
    <x v="612"/>
    <n v="480909600"/>
    <x v="1"/>
    <x v="1"/>
    <x v="0"/>
    <x v="2"/>
    <x v="7"/>
    <n v="8"/>
    <x v="7"/>
    <n v="7072200"/>
    <n v="48.09"/>
  </r>
  <r>
    <d v="2023-08-15T00:00:00"/>
    <x v="2"/>
    <s v="Kanpur"/>
    <x v="6"/>
    <x v="13"/>
    <x v="0"/>
    <n v="48"/>
    <x v="12"/>
    <n v="30"/>
    <x v="613"/>
    <n v="68028000"/>
    <x v="2"/>
    <x v="0"/>
    <x v="0"/>
    <x v="2"/>
    <x v="7"/>
    <n v="8"/>
    <x v="7"/>
    <n v="2267600"/>
    <n v="6.8"/>
  </r>
  <r>
    <d v="2023-08-16T00:00:00"/>
    <x v="5"/>
    <s v="Bengaluru"/>
    <x v="0"/>
    <x v="0"/>
    <x v="2"/>
    <n v="82"/>
    <x v="0"/>
    <n v="29"/>
    <x v="614"/>
    <n v="182320100"/>
    <x v="0"/>
    <x v="0"/>
    <x v="0"/>
    <x v="2"/>
    <x v="7"/>
    <n v="8"/>
    <x v="7"/>
    <n v="6286900"/>
    <n v="18.23"/>
  </r>
  <r>
    <d v="2023-08-16T00:00:00"/>
    <x v="10"/>
    <s v="Thiruvananthapuram"/>
    <x v="10"/>
    <x v="11"/>
    <x v="0"/>
    <n v="69"/>
    <x v="11"/>
    <n v="10"/>
    <x v="615"/>
    <n v="57845000"/>
    <x v="0"/>
    <x v="2"/>
    <x v="0"/>
    <x v="2"/>
    <x v="7"/>
    <n v="8"/>
    <x v="7"/>
    <n v="5784500"/>
    <n v="5.78"/>
  </r>
  <r>
    <d v="2023-08-16T00:00:00"/>
    <x v="6"/>
    <s v="Surat"/>
    <x v="6"/>
    <x v="6"/>
    <x v="2"/>
    <n v="72"/>
    <x v="6"/>
    <n v="145"/>
    <x v="616"/>
    <n v="725536500"/>
    <x v="1"/>
    <x v="0"/>
    <x v="0"/>
    <x v="2"/>
    <x v="7"/>
    <n v="8"/>
    <x v="7"/>
    <n v="5003700"/>
    <n v="72.55"/>
  </r>
  <r>
    <d v="2023-08-17T00:00:00"/>
    <x v="10"/>
    <s v="Kozhikode"/>
    <x v="10"/>
    <x v="11"/>
    <x v="1"/>
    <n v="69"/>
    <x v="11"/>
    <n v="27"/>
    <x v="617"/>
    <n v="167699700"/>
    <x v="1"/>
    <x v="0"/>
    <x v="0"/>
    <x v="2"/>
    <x v="7"/>
    <n v="8"/>
    <x v="7"/>
    <n v="6211100"/>
    <n v="16.77"/>
  </r>
  <r>
    <d v="2023-08-17T00:00:00"/>
    <x v="0"/>
    <s v="Nizamabad"/>
    <x v="12"/>
    <x v="14"/>
    <x v="0"/>
    <n v="82"/>
    <x v="13"/>
    <n v="50"/>
    <x v="618"/>
    <n v="275175000"/>
    <x v="1"/>
    <x v="0"/>
    <x v="0"/>
    <x v="2"/>
    <x v="7"/>
    <n v="8"/>
    <x v="7"/>
    <n v="5503500"/>
    <n v="27.52"/>
  </r>
  <r>
    <d v="2023-08-18T00:00:00"/>
    <x v="2"/>
    <s v="Kanpur"/>
    <x v="12"/>
    <x v="18"/>
    <x v="3"/>
    <n v="60"/>
    <x v="16"/>
    <n v="39"/>
    <x v="619"/>
    <n v="132369900"/>
    <x v="0"/>
    <x v="1"/>
    <x v="0"/>
    <x v="2"/>
    <x v="7"/>
    <n v="8"/>
    <x v="7"/>
    <n v="3394100"/>
    <n v="13.24"/>
  </r>
  <r>
    <d v="2023-08-18T00:00:00"/>
    <x v="5"/>
    <s v="Bengaluru"/>
    <x v="9"/>
    <x v="10"/>
    <x v="1"/>
    <n v="25"/>
    <x v="10"/>
    <n v="138"/>
    <x v="620"/>
    <n v="161791200"/>
    <x v="1"/>
    <x v="0"/>
    <x v="0"/>
    <x v="2"/>
    <x v="7"/>
    <n v="8"/>
    <x v="7"/>
    <n v="1172400"/>
    <n v="16.18"/>
  </r>
  <r>
    <d v="2023-08-18T00:00:00"/>
    <x v="3"/>
    <s v="Pune"/>
    <x v="10"/>
    <x v="11"/>
    <x v="0"/>
    <n v="69"/>
    <x v="11"/>
    <n v="21"/>
    <x v="621"/>
    <n v="104279700"/>
    <x v="1"/>
    <x v="2"/>
    <x v="0"/>
    <x v="2"/>
    <x v="7"/>
    <n v="8"/>
    <x v="7"/>
    <n v="4965700"/>
    <n v="10.43"/>
  </r>
  <r>
    <d v="2023-08-19T00:00:00"/>
    <x v="6"/>
    <s v="Vadodara"/>
    <x v="4"/>
    <x v="4"/>
    <x v="3"/>
    <n v="77"/>
    <x v="4"/>
    <n v="24"/>
    <x v="622"/>
    <n v="129091200"/>
    <x v="0"/>
    <x v="2"/>
    <x v="0"/>
    <x v="2"/>
    <x v="7"/>
    <n v="8"/>
    <x v="7"/>
    <n v="5378800"/>
    <n v="12.91"/>
  </r>
  <r>
    <d v="2023-08-19T00:00:00"/>
    <x v="0"/>
    <s v="Warangal"/>
    <x v="9"/>
    <x v="9"/>
    <x v="2"/>
    <n v="50"/>
    <x v="9"/>
    <n v="146"/>
    <x v="623"/>
    <n v="335829200"/>
    <x v="1"/>
    <x v="0"/>
    <x v="0"/>
    <x v="2"/>
    <x v="7"/>
    <n v="8"/>
    <x v="7"/>
    <n v="2300200"/>
    <n v="33.58"/>
  </r>
  <r>
    <d v="2023-08-19T00:00:00"/>
    <x v="8"/>
    <s v="Durgapur"/>
    <x v="2"/>
    <x v="2"/>
    <x v="0"/>
    <n v="66"/>
    <x v="2"/>
    <n v="32"/>
    <x v="624"/>
    <n v="265628800"/>
    <x v="1"/>
    <x v="3"/>
    <x v="0"/>
    <x v="2"/>
    <x v="7"/>
    <n v="8"/>
    <x v="7"/>
    <n v="8300900"/>
    <n v="26.56"/>
  </r>
  <r>
    <d v="2023-08-19T00:00:00"/>
    <x v="1"/>
    <s v="Saket"/>
    <x v="5"/>
    <x v="5"/>
    <x v="0"/>
    <n v="30"/>
    <x v="5"/>
    <n v="25"/>
    <x v="625"/>
    <n v="37060000"/>
    <x v="0"/>
    <x v="1"/>
    <x v="0"/>
    <x v="2"/>
    <x v="7"/>
    <n v="8"/>
    <x v="7"/>
    <n v="1482400"/>
    <n v="3.71"/>
  </r>
  <r>
    <d v="2023-08-20T00:00:00"/>
    <x v="1"/>
    <s v="New Delhi"/>
    <x v="11"/>
    <x v="12"/>
    <x v="0"/>
    <n v="40"/>
    <x v="12"/>
    <n v="104"/>
    <x v="626"/>
    <n v="234499200"/>
    <x v="0"/>
    <x v="0"/>
    <x v="0"/>
    <x v="2"/>
    <x v="7"/>
    <n v="8"/>
    <x v="7"/>
    <n v="2254800"/>
    <n v="23.45"/>
  </r>
  <r>
    <d v="2023-08-20T00:00:00"/>
    <x v="5"/>
    <s v="Mysuru"/>
    <x v="1"/>
    <x v="21"/>
    <x v="0"/>
    <n v="3"/>
    <x v="19"/>
    <n v="100"/>
    <x v="627"/>
    <n v="9490000"/>
    <x v="1"/>
    <x v="1"/>
    <x v="0"/>
    <x v="2"/>
    <x v="7"/>
    <n v="8"/>
    <x v="7"/>
    <n v="94900"/>
    <n v="0.95"/>
  </r>
  <r>
    <d v="2023-08-20T00:00:00"/>
    <x v="8"/>
    <s v="Durgapur"/>
    <x v="9"/>
    <x v="10"/>
    <x v="1"/>
    <n v="25"/>
    <x v="10"/>
    <n v="92"/>
    <x v="628"/>
    <n v="108560000"/>
    <x v="0"/>
    <x v="0"/>
    <x v="0"/>
    <x v="2"/>
    <x v="7"/>
    <n v="8"/>
    <x v="7"/>
    <n v="1180000"/>
    <n v="10.86"/>
  </r>
  <r>
    <d v="2023-08-21T00:00:00"/>
    <x v="1"/>
    <s v="New Delhi"/>
    <x v="1"/>
    <x v="21"/>
    <x v="0"/>
    <n v="3"/>
    <x v="19"/>
    <n v="35"/>
    <x v="629"/>
    <n v="4018000"/>
    <x v="0"/>
    <x v="0"/>
    <x v="0"/>
    <x v="2"/>
    <x v="7"/>
    <n v="8"/>
    <x v="7"/>
    <n v="114800"/>
    <n v="0.4"/>
  </r>
  <r>
    <d v="2023-08-21T00:00:00"/>
    <x v="5"/>
    <s v="Mangaluru"/>
    <x v="3"/>
    <x v="3"/>
    <x v="0"/>
    <n v="3"/>
    <x v="3"/>
    <n v="62"/>
    <x v="179"/>
    <n v="7694200"/>
    <x v="1"/>
    <x v="2"/>
    <x v="0"/>
    <x v="2"/>
    <x v="7"/>
    <n v="8"/>
    <x v="7"/>
    <n v="124100"/>
    <n v="0.77"/>
  </r>
  <r>
    <d v="2023-08-21T00:00:00"/>
    <x v="5"/>
    <s v="Bengaluru"/>
    <x v="12"/>
    <x v="18"/>
    <x v="0"/>
    <n v="60"/>
    <x v="16"/>
    <n v="28"/>
    <x v="630"/>
    <n v="81656400"/>
    <x v="1"/>
    <x v="0"/>
    <x v="0"/>
    <x v="2"/>
    <x v="7"/>
    <n v="8"/>
    <x v="7"/>
    <n v="2916300"/>
    <n v="8.17"/>
  </r>
  <r>
    <d v="2023-08-22T00:00:00"/>
    <x v="8"/>
    <s v="Asansol"/>
    <x v="7"/>
    <x v="7"/>
    <x v="0"/>
    <n v="3"/>
    <x v="7"/>
    <n v="131"/>
    <x v="631"/>
    <n v="22322400"/>
    <x v="0"/>
    <x v="0"/>
    <x v="0"/>
    <x v="2"/>
    <x v="7"/>
    <n v="8"/>
    <x v="7"/>
    <n v="170400"/>
    <n v="2.23"/>
  </r>
  <r>
    <d v="2023-08-22T00:00:00"/>
    <x v="0"/>
    <s v="Nizamabad"/>
    <x v="14"/>
    <x v="16"/>
    <x v="0"/>
    <n v="3"/>
    <x v="15"/>
    <n v="114"/>
    <x v="632"/>
    <n v="16279200"/>
    <x v="1"/>
    <x v="1"/>
    <x v="0"/>
    <x v="2"/>
    <x v="7"/>
    <n v="8"/>
    <x v="7"/>
    <n v="142800"/>
    <n v="1.63"/>
  </r>
  <r>
    <d v="2023-08-22T00:00:00"/>
    <x v="8"/>
    <s v="Siliguri"/>
    <x v="0"/>
    <x v="0"/>
    <x v="3"/>
    <n v="82"/>
    <x v="0"/>
    <n v="54"/>
    <x v="633"/>
    <n v="385500600"/>
    <x v="1"/>
    <x v="3"/>
    <x v="0"/>
    <x v="2"/>
    <x v="7"/>
    <n v="8"/>
    <x v="7"/>
    <n v="7138900"/>
    <n v="38.549999999999997"/>
  </r>
  <r>
    <d v="2023-08-22T00:00:00"/>
    <x v="1"/>
    <s v="Dwarka"/>
    <x v="7"/>
    <x v="7"/>
    <x v="0"/>
    <n v="3"/>
    <x v="7"/>
    <n v="123"/>
    <x v="634"/>
    <n v="20430300"/>
    <x v="1"/>
    <x v="1"/>
    <x v="0"/>
    <x v="2"/>
    <x v="7"/>
    <n v="8"/>
    <x v="7"/>
    <n v="166100"/>
    <n v="2.04"/>
  </r>
  <r>
    <d v="2023-08-22T00:00:00"/>
    <x v="13"/>
    <s v="Indore"/>
    <x v="6"/>
    <x v="13"/>
    <x v="2"/>
    <n v="48"/>
    <x v="12"/>
    <n v="123"/>
    <x v="635"/>
    <n v="311608200"/>
    <x v="1"/>
    <x v="0"/>
    <x v="0"/>
    <x v="2"/>
    <x v="7"/>
    <n v="8"/>
    <x v="7"/>
    <n v="2533400"/>
    <n v="31.16"/>
  </r>
  <r>
    <d v="2023-08-23T00:00:00"/>
    <x v="8"/>
    <s v="Durgapur"/>
    <x v="13"/>
    <x v="15"/>
    <x v="1"/>
    <n v="40"/>
    <x v="14"/>
    <n v="55"/>
    <x v="636"/>
    <n v="115593500"/>
    <x v="1"/>
    <x v="1"/>
    <x v="0"/>
    <x v="2"/>
    <x v="7"/>
    <n v="8"/>
    <x v="7"/>
    <n v="2101700"/>
    <n v="11.56"/>
  </r>
  <r>
    <d v="2023-08-23T00:00:00"/>
    <x v="9"/>
    <s v="Muzaffarpur"/>
    <x v="5"/>
    <x v="5"/>
    <x v="0"/>
    <n v="30"/>
    <x v="5"/>
    <n v="21"/>
    <x v="637"/>
    <n v="34284600"/>
    <x v="1"/>
    <x v="0"/>
    <x v="0"/>
    <x v="2"/>
    <x v="7"/>
    <n v="8"/>
    <x v="7"/>
    <n v="1632600"/>
    <n v="3.43"/>
  </r>
  <r>
    <d v="2023-08-23T00:00:00"/>
    <x v="3"/>
    <s v="Nagpur"/>
    <x v="11"/>
    <x v="23"/>
    <x v="3"/>
    <n v="59"/>
    <x v="20"/>
    <n v="134"/>
    <x v="638"/>
    <n v="344822200"/>
    <x v="1"/>
    <x v="2"/>
    <x v="0"/>
    <x v="2"/>
    <x v="7"/>
    <n v="8"/>
    <x v="7"/>
    <n v="2573300"/>
    <n v="34.479999999999997"/>
  </r>
  <r>
    <d v="2023-08-23T00:00:00"/>
    <x v="12"/>
    <s v="Panipat"/>
    <x v="7"/>
    <x v="7"/>
    <x v="0"/>
    <n v="3"/>
    <x v="7"/>
    <n v="63"/>
    <x v="142"/>
    <n v="10023300"/>
    <x v="1"/>
    <x v="0"/>
    <x v="0"/>
    <x v="2"/>
    <x v="7"/>
    <n v="8"/>
    <x v="7"/>
    <n v="159100"/>
    <n v="1"/>
  </r>
  <r>
    <d v="2023-08-23T00:00:00"/>
    <x v="13"/>
    <s v="Bhopal"/>
    <x v="3"/>
    <x v="3"/>
    <x v="0"/>
    <n v="3"/>
    <x v="3"/>
    <n v="98"/>
    <x v="639"/>
    <n v="10005800"/>
    <x v="2"/>
    <x v="1"/>
    <x v="0"/>
    <x v="2"/>
    <x v="7"/>
    <n v="8"/>
    <x v="7"/>
    <n v="102100"/>
    <n v="1"/>
  </r>
  <r>
    <d v="2023-08-24T00:00:00"/>
    <x v="12"/>
    <s v="Panipat"/>
    <x v="8"/>
    <x v="20"/>
    <x v="0"/>
    <n v="84"/>
    <x v="18"/>
    <n v="33"/>
    <x v="640"/>
    <n v="255631200"/>
    <x v="1"/>
    <x v="2"/>
    <x v="0"/>
    <x v="2"/>
    <x v="7"/>
    <n v="8"/>
    <x v="7"/>
    <n v="7746400"/>
    <n v="25.56"/>
  </r>
  <r>
    <d v="2023-08-24T00:00:00"/>
    <x v="6"/>
    <s v="Surat"/>
    <x v="12"/>
    <x v="14"/>
    <x v="2"/>
    <n v="82"/>
    <x v="13"/>
    <n v="36"/>
    <x v="641"/>
    <n v="222645600"/>
    <x v="1"/>
    <x v="0"/>
    <x v="0"/>
    <x v="2"/>
    <x v="7"/>
    <n v="8"/>
    <x v="7"/>
    <n v="6184600"/>
    <n v="22.26"/>
  </r>
  <r>
    <d v="2023-08-24T00:00:00"/>
    <x v="14"/>
    <s v="Udaipur"/>
    <x v="4"/>
    <x v="4"/>
    <x v="0"/>
    <n v="77"/>
    <x v="4"/>
    <n v="27"/>
    <x v="642"/>
    <n v="154099800"/>
    <x v="1"/>
    <x v="0"/>
    <x v="0"/>
    <x v="2"/>
    <x v="7"/>
    <n v="8"/>
    <x v="7"/>
    <n v="5707400"/>
    <n v="15.41"/>
  </r>
  <r>
    <d v="2023-08-24T00:00:00"/>
    <x v="12"/>
    <s v="Hisar"/>
    <x v="6"/>
    <x v="13"/>
    <x v="0"/>
    <n v="48"/>
    <x v="12"/>
    <n v="84"/>
    <x v="643"/>
    <n v="202666800"/>
    <x v="1"/>
    <x v="0"/>
    <x v="0"/>
    <x v="2"/>
    <x v="7"/>
    <n v="8"/>
    <x v="7"/>
    <n v="2412700"/>
    <n v="20.27"/>
  </r>
  <r>
    <d v="2023-08-24T00:00:00"/>
    <x v="2"/>
    <s v="Kanpur"/>
    <x v="3"/>
    <x v="3"/>
    <x v="0"/>
    <n v="3"/>
    <x v="3"/>
    <n v="56"/>
    <x v="541"/>
    <n v="7481600"/>
    <x v="1"/>
    <x v="0"/>
    <x v="0"/>
    <x v="2"/>
    <x v="7"/>
    <n v="8"/>
    <x v="7"/>
    <n v="133600"/>
    <n v="0.75"/>
  </r>
  <r>
    <d v="2023-08-25T00:00:00"/>
    <x v="11"/>
    <s v="Chennai"/>
    <x v="8"/>
    <x v="20"/>
    <x v="0"/>
    <n v="84"/>
    <x v="18"/>
    <n v="58"/>
    <x v="644"/>
    <n v="431108200"/>
    <x v="2"/>
    <x v="3"/>
    <x v="0"/>
    <x v="2"/>
    <x v="7"/>
    <n v="8"/>
    <x v="7"/>
    <n v="7432900"/>
    <n v="43.11"/>
  </r>
  <r>
    <d v="2023-08-25T00:00:00"/>
    <x v="0"/>
    <s v="Nizamabad"/>
    <x v="12"/>
    <x v="18"/>
    <x v="0"/>
    <n v="60"/>
    <x v="16"/>
    <n v="4"/>
    <x v="645"/>
    <n v="14782800"/>
    <x v="0"/>
    <x v="0"/>
    <x v="0"/>
    <x v="2"/>
    <x v="7"/>
    <n v="8"/>
    <x v="7"/>
    <n v="3695700"/>
    <n v="1.48"/>
  </r>
  <r>
    <d v="2023-08-26T00:00:00"/>
    <x v="2"/>
    <s v="Lucknow"/>
    <x v="3"/>
    <x v="3"/>
    <x v="0"/>
    <n v="3"/>
    <x v="3"/>
    <n v="95"/>
    <x v="646"/>
    <n v="10032000"/>
    <x v="0"/>
    <x v="0"/>
    <x v="0"/>
    <x v="2"/>
    <x v="7"/>
    <n v="8"/>
    <x v="7"/>
    <n v="105600"/>
    <n v="1"/>
  </r>
  <r>
    <d v="2023-08-26T00:00:00"/>
    <x v="11"/>
    <s v="Chennai"/>
    <x v="6"/>
    <x v="6"/>
    <x v="0"/>
    <n v="72"/>
    <x v="6"/>
    <n v="165"/>
    <x v="647"/>
    <n v="766573500"/>
    <x v="1"/>
    <x v="0"/>
    <x v="0"/>
    <x v="2"/>
    <x v="7"/>
    <n v="8"/>
    <x v="7"/>
    <n v="4645900"/>
    <n v="76.66"/>
  </r>
  <r>
    <d v="2023-08-26T00:00:00"/>
    <x v="11"/>
    <s v="Coimbatore"/>
    <x v="1"/>
    <x v="21"/>
    <x v="0"/>
    <n v="3"/>
    <x v="19"/>
    <n v="124"/>
    <x v="648"/>
    <n v="11668400"/>
    <x v="1"/>
    <x v="0"/>
    <x v="0"/>
    <x v="2"/>
    <x v="7"/>
    <n v="8"/>
    <x v="7"/>
    <n v="94100"/>
    <n v="1.17"/>
  </r>
  <r>
    <d v="2023-08-28T00:00:00"/>
    <x v="10"/>
    <s v="Thiruvananthapuram"/>
    <x v="15"/>
    <x v="17"/>
    <x v="0"/>
    <n v="5"/>
    <x v="15"/>
    <n v="140"/>
    <x v="649"/>
    <n v="21728000"/>
    <x v="0"/>
    <x v="0"/>
    <x v="0"/>
    <x v="2"/>
    <x v="7"/>
    <n v="8"/>
    <x v="7"/>
    <n v="155200"/>
    <n v="2.17"/>
  </r>
  <r>
    <d v="2023-08-28T00:00:00"/>
    <x v="3"/>
    <s v="Nagpur"/>
    <x v="4"/>
    <x v="4"/>
    <x v="1"/>
    <n v="77"/>
    <x v="4"/>
    <n v="30"/>
    <x v="650"/>
    <n v="157827000"/>
    <x v="1"/>
    <x v="2"/>
    <x v="0"/>
    <x v="2"/>
    <x v="7"/>
    <n v="8"/>
    <x v="7"/>
    <n v="5260900"/>
    <n v="15.78"/>
  </r>
  <r>
    <d v="2023-08-28T00:00:00"/>
    <x v="8"/>
    <s v="Siliguri"/>
    <x v="5"/>
    <x v="5"/>
    <x v="0"/>
    <n v="30"/>
    <x v="5"/>
    <n v="40"/>
    <x v="651"/>
    <n v="51040000"/>
    <x v="1"/>
    <x v="0"/>
    <x v="0"/>
    <x v="2"/>
    <x v="7"/>
    <n v="8"/>
    <x v="7"/>
    <n v="1276000"/>
    <n v="5.0999999999999996"/>
  </r>
  <r>
    <d v="2023-08-28T00:00:00"/>
    <x v="4"/>
    <s v="Amritsar"/>
    <x v="0"/>
    <x v="0"/>
    <x v="0"/>
    <n v="82"/>
    <x v="0"/>
    <n v="31"/>
    <x v="652"/>
    <n v="200582400"/>
    <x v="1"/>
    <x v="0"/>
    <x v="0"/>
    <x v="2"/>
    <x v="7"/>
    <n v="8"/>
    <x v="7"/>
    <n v="6470400"/>
    <n v="20.059999999999999"/>
  </r>
  <r>
    <d v="2023-08-29T00:00:00"/>
    <x v="11"/>
    <s v="Madurai"/>
    <x v="8"/>
    <x v="8"/>
    <x v="0"/>
    <n v="66"/>
    <x v="8"/>
    <n v="37"/>
    <x v="653"/>
    <n v="221807600"/>
    <x v="0"/>
    <x v="2"/>
    <x v="0"/>
    <x v="2"/>
    <x v="7"/>
    <n v="8"/>
    <x v="7"/>
    <n v="5994800"/>
    <n v="22.18"/>
  </r>
  <r>
    <d v="2023-08-29T00:00:00"/>
    <x v="1"/>
    <s v="New Delhi"/>
    <x v="0"/>
    <x v="0"/>
    <x v="0"/>
    <n v="82"/>
    <x v="0"/>
    <n v="65"/>
    <x v="654"/>
    <n v="385866000"/>
    <x v="1"/>
    <x v="0"/>
    <x v="0"/>
    <x v="2"/>
    <x v="7"/>
    <n v="8"/>
    <x v="7"/>
    <n v="5936400"/>
    <n v="38.590000000000003"/>
  </r>
  <r>
    <d v="2023-08-30T00:00:00"/>
    <x v="5"/>
    <s v="Mysuru"/>
    <x v="12"/>
    <x v="14"/>
    <x v="0"/>
    <n v="82"/>
    <x v="13"/>
    <n v="6"/>
    <x v="655"/>
    <n v="28319400"/>
    <x v="0"/>
    <x v="0"/>
    <x v="0"/>
    <x v="2"/>
    <x v="7"/>
    <n v="8"/>
    <x v="7"/>
    <n v="4719900"/>
    <n v="2.83"/>
  </r>
  <r>
    <d v="2023-08-30T00:00:00"/>
    <x v="2"/>
    <s v="Kanpur"/>
    <x v="6"/>
    <x v="6"/>
    <x v="0"/>
    <n v="72"/>
    <x v="6"/>
    <n v="137"/>
    <x v="656"/>
    <n v="769679700"/>
    <x v="0"/>
    <x v="0"/>
    <x v="0"/>
    <x v="2"/>
    <x v="7"/>
    <n v="8"/>
    <x v="7"/>
    <n v="5618100"/>
    <n v="76.97"/>
  </r>
  <r>
    <d v="2023-08-31T00:00:00"/>
    <x v="3"/>
    <s v="Nashik"/>
    <x v="6"/>
    <x v="13"/>
    <x v="1"/>
    <n v="48"/>
    <x v="12"/>
    <n v="145"/>
    <x v="657"/>
    <n v="386193000"/>
    <x v="2"/>
    <x v="0"/>
    <x v="0"/>
    <x v="2"/>
    <x v="7"/>
    <n v="8"/>
    <x v="7"/>
    <n v="2663400"/>
    <n v="38.619999999999997"/>
  </r>
  <r>
    <d v="2023-08-31T00:00:00"/>
    <x v="2"/>
    <s v="Noida"/>
    <x v="4"/>
    <x v="4"/>
    <x v="0"/>
    <n v="77"/>
    <x v="4"/>
    <n v="54"/>
    <x v="658"/>
    <n v="278802000"/>
    <x v="1"/>
    <x v="2"/>
    <x v="0"/>
    <x v="2"/>
    <x v="7"/>
    <n v="8"/>
    <x v="7"/>
    <n v="5163000"/>
    <n v="27.88"/>
  </r>
  <r>
    <d v="2023-09-01T00:00:00"/>
    <x v="12"/>
    <s v="Hisar"/>
    <x v="13"/>
    <x v="15"/>
    <x v="2"/>
    <n v="40"/>
    <x v="14"/>
    <n v="134"/>
    <x v="659"/>
    <n v="337304800"/>
    <x v="0"/>
    <x v="0"/>
    <x v="0"/>
    <x v="2"/>
    <x v="8"/>
    <n v="9"/>
    <x v="8"/>
    <n v="2517200"/>
    <n v="33.729999999999997"/>
  </r>
  <r>
    <d v="2023-09-02T00:00:00"/>
    <x v="11"/>
    <s v="Coimbatore"/>
    <x v="0"/>
    <x v="0"/>
    <x v="0"/>
    <n v="82"/>
    <x v="0"/>
    <n v="75"/>
    <x v="660"/>
    <n v="523342500"/>
    <x v="1"/>
    <x v="0"/>
    <x v="0"/>
    <x v="2"/>
    <x v="8"/>
    <n v="9"/>
    <x v="8"/>
    <n v="6977900"/>
    <n v="52.33"/>
  </r>
  <r>
    <d v="2023-09-02T00:00:00"/>
    <x v="0"/>
    <s v="Hyderabad"/>
    <x v="5"/>
    <x v="5"/>
    <x v="0"/>
    <n v="30"/>
    <x v="5"/>
    <n v="42"/>
    <x v="661"/>
    <n v="54511800"/>
    <x v="1"/>
    <x v="0"/>
    <x v="0"/>
    <x v="2"/>
    <x v="8"/>
    <n v="9"/>
    <x v="8"/>
    <n v="1297900"/>
    <n v="5.45"/>
  </r>
  <r>
    <d v="2023-09-02T00:00:00"/>
    <x v="6"/>
    <s v="Ahmedabad"/>
    <x v="2"/>
    <x v="2"/>
    <x v="0"/>
    <n v="66"/>
    <x v="2"/>
    <n v="6"/>
    <x v="662"/>
    <n v="53855400"/>
    <x v="1"/>
    <x v="2"/>
    <x v="0"/>
    <x v="2"/>
    <x v="8"/>
    <n v="9"/>
    <x v="8"/>
    <n v="8975900"/>
    <n v="5.39"/>
  </r>
  <r>
    <d v="2023-09-02T00:00:00"/>
    <x v="6"/>
    <s v="Ahmedabad"/>
    <x v="0"/>
    <x v="0"/>
    <x v="0"/>
    <n v="82"/>
    <x v="0"/>
    <n v="12"/>
    <x v="663"/>
    <n v="90568800"/>
    <x v="1"/>
    <x v="0"/>
    <x v="0"/>
    <x v="2"/>
    <x v="8"/>
    <n v="9"/>
    <x v="8"/>
    <n v="7547400"/>
    <n v="9.06"/>
  </r>
  <r>
    <d v="2023-09-02T00:00:00"/>
    <x v="12"/>
    <s v="Panipat"/>
    <x v="1"/>
    <x v="21"/>
    <x v="0"/>
    <n v="3"/>
    <x v="19"/>
    <n v="51"/>
    <x v="664"/>
    <n v="6196500"/>
    <x v="1"/>
    <x v="0"/>
    <x v="0"/>
    <x v="2"/>
    <x v="8"/>
    <n v="9"/>
    <x v="8"/>
    <n v="121500"/>
    <n v="0.62"/>
  </r>
  <r>
    <d v="2023-09-03T00:00:00"/>
    <x v="3"/>
    <s v="Nashik"/>
    <x v="4"/>
    <x v="4"/>
    <x v="0"/>
    <n v="77"/>
    <x v="4"/>
    <n v="75"/>
    <x v="665"/>
    <n v="432262500"/>
    <x v="1"/>
    <x v="0"/>
    <x v="0"/>
    <x v="2"/>
    <x v="8"/>
    <n v="9"/>
    <x v="8"/>
    <n v="5763500"/>
    <n v="43.23"/>
  </r>
  <r>
    <d v="2023-09-03T00:00:00"/>
    <x v="1"/>
    <s v="Dwarka"/>
    <x v="11"/>
    <x v="12"/>
    <x v="0"/>
    <n v="40"/>
    <x v="12"/>
    <n v="27"/>
    <x v="666"/>
    <n v="65699100"/>
    <x v="1"/>
    <x v="0"/>
    <x v="0"/>
    <x v="2"/>
    <x v="8"/>
    <n v="9"/>
    <x v="8"/>
    <n v="2433300"/>
    <n v="6.57"/>
  </r>
  <r>
    <d v="2023-09-03T00:00:00"/>
    <x v="3"/>
    <s v="Nashik"/>
    <x v="8"/>
    <x v="8"/>
    <x v="0"/>
    <n v="66"/>
    <x v="8"/>
    <n v="64"/>
    <x v="667"/>
    <n v="365094400"/>
    <x v="1"/>
    <x v="2"/>
    <x v="0"/>
    <x v="2"/>
    <x v="8"/>
    <n v="9"/>
    <x v="8"/>
    <n v="5704600"/>
    <n v="36.51"/>
  </r>
  <r>
    <d v="2023-09-04T00:00:00"/>
    <x v="3"/>
    <s v="Mumbai"/>
    <x v="1"/>
    <x v="21"/>
    <x v="0"/>
    <n v="3"/>
    <x v="19"/>
    <n v="95"/>
    <x v="668"/>
    <n v="9148500"/>
    <x v="1"/>
    <x v="0"/>
    <x v="0"/>
    <x v="2"/>
    <x v="8"/>
    <n v="9"/>
    <x v="8"/>
    <n v="96300"/>
    <n v="0.91"/>
  </r>
  <r>
    <d v="2023-09-04T00:00:00"/>
    <x v="10"/>
    <s v="Kozhikode"/>
    <x v="3"/>
    <x v="3"/>
    <x v="0"/>
    <n v="3"/>
    <x v="3"/>
    <n v="165"/>
    <x v="669"/>
    <n v="18364500"/>
    <x v="0"/>
    <x v="2"/>
    <x v="0"/>
    <x v="2"/>
    <x v="8"/>
    <n v="9"/>
    <x v="8"/>
    <n v="111300"/>
    <n v="1.84"/>
  </r>
  <r>
    <d v="2023-09-04T00:00:00"/>
    <x v="14"/>
    <s v="Udaipur"/>
    <x v="15"/>
    <x v="17"/>
    <x v="0"/>
    <n v="5"/>
    <x v="15"/>
    <n v="121"/>
    <x v="670"/>
    <n v="20207000"/>
    <x v="1"/>
    <x v="0"/>
    <x v="0"/>
    <x v="2"/>
    <x v="8"/>
    <n v="9"/>
    <x v="8"/>
    <n v="167000"/>
    <n v="2.02"/>
  </r>
  <r>
    <d v="2023-09-04T00:00:00"/>
    <x v="2"/>
    <s v="Kanpur"/>
    <x v="3"/>
    <x v="3"/>
    <x v="0"/>
    <n v="3"/>
    <x v="3"/>
    <n v="67"/>
    <x v="671"/>
    <n v="8837300"/>
    <x v="0"/>
    <x v="0"/>
    <x v="0"/>
    <x v="2"/>
    <x v="8"/>
    <n v="9"/>
    <x v="8"/>
    <n v="131900"/>
    <n v="0.88"/>
  </r>
  <r>
    <d v="2023-09-05T00:00:00"/>
    <x v="3"/>
    <s v="Nashik"/>
    <x v="8"/>
    <x v="20"/>
    <x v="0"/>
    <n v="84"/>
    <x v="18"/>
    <n v="3"/>
    <x v="672"/>
    <n v="25534500"/>
    <x v="0"/>
    <x v="0"/>
    <x v="0"/>
    <x v="2"/>
    <x v="8"/>
    <n v="9"/>
    <x v="8"/>
    <n v="8511500"/>
    <n v="2.5499999999999998"/>
  </r>
  <r>
    <d v="2023-09-05T00:00:00"/>
    <x v="11"/>
    <s v="Chennai"/>
    <x v="10"/>
    <x v="11"/>
    <x v="1"/>
    <n v="69"/>
    <x v="11"/>
    <n v="72"/>
    <x v="673"/>
    <n v="432633600"/>
    <x v="1"/>
    <x v="2"/>
    <x v="0"/>
    <x v="2"/>
    <x v="8"/>
    <n v="9"/>
    <x v="8"/>
    <n v="6008800"/>
    <n v="43.26"/>
  </r>
  <r>
    <d v="2023-09-05T00:00:00"/>
    <x v="0"/>
    <s v="Hyderabad"/>
    <x v="9"/>
    <x v="10"/>
    <x v="1"/>
    <n v="25"/>
    <x v="10"/>
    <n v="37"/>
    <x v="674"/>
    <n v="44548000"/>
    <x v="1"/>
    <x v="0"/>
    <x v="0"/>
    <x v="2"/>
    <x v="8"/>
    <n v="9"/>
    <x v="8"/>
    <n v="1204000"/>
    <n v="4.45"/>
  </r>
  <r>
    <d v="2023-09-05T00:00:00"/>
    <x v="14"/>
    <s v="Kota"/>
    <x v="0"/>
    <x v="0"/>
    <x v="0"/>
    <n v="82"/>
    <x v="0"/>
    <n v="68"/>
    <x v="675"/>
    <n v="498521600"/>
    <x v="0"/>
    <x v="0"/>
    <x v="0"/>
    <x v="2"/>
    <x v="8"/>
    <n v="9"/>
    <x v="8"/>
    <n v="7331200"/>
    <n v="49.85"/>
  </r>
  <r>
    <d v="2023-09-05T00:00:00"/>
    <x v="7"/>
    <s v="Vijayawada"/>
    <x v="11"/>
    <x v="12"/>
    <x v="0"/>
    <n v="40"/>
    <x v="12"/>
    <n v="161"/>
    <x v="676"/>
    <n v="393806000"/>
    <x v="0"/>
    <x v="2"/>
    <x v="0"/>
    <x v="2"/>
    <x v="8"/>
    <n v="9"/>
    <x v="8"/>
    <n v="2446000"/>
    <n v="39.380000000000003"/>
  </r>
  <r>
    <d v="2023-09-05T00:00:00"/>
    <x v="1"/>
    <s v="Dwarka"/>
    <x v="9"/>
    <x v="10"/>
    <x v="3"/>
    <n v="25"/>
    <x v="10"/>
    <n v="24"/>
    <x v="677"/>
    <n v="27813600"/>
    <x v="1"/>
    <x v="3"/>
    <x v="0"/>
    <x v="2"/>
    <x v="8"/>
    <n v="9"/>
    <x v="8"/>
    <n v="1158900"/>
    <n v="2.78"/>
  </r>
  <r>
    <d v="2023-09-06T00:00:00"/>
    <x v="11"/>
    <s v="Salem"/>
    <x v="4"/>
    <x v="4"/>
    <x v="1"/>
    <n v="77"/>
    <x v="4"/>
    <n v="65"/>
    <x v="678"/>
    <n v="288002000"/>
    <x v="1"/>
    <x v="0"/>
    <x v="0"/>
    <x v="2"/>
    <x v="8"/>
    <n v="9"/>
    <x v="8"/>
    <n v="4430800"/>
    <n v="28.8"/>
  </r>
  <r>
    <d v="2023-09-06T00:00:00"/>
    <x v="14"/>
    <s v="Kota"/>
    <x v="10"/>
    <x v="11"/>
    <x v="0"/>
    <n v="69"/>
    <x v="11"/>
    <n v="13"/>
    <x v="679"/>
    <n v="79254500"/>
    <x v="1"/>
    <x v="1"/>
    <x v="0"/>
    <x v="2"/>
    <x v="8"/>
    <n v="9"/>
    <x v="8"/>
    <n v="6096500"/>
    <n v="7.93"/>
  </r>
  <r>
    <d v="2023-09-06T00:00:00"/>
    <x v="1"/>
    <s v="New Delhi"/>
    <x v="7"/>
    <x v="7"/>
    <x v="0"/>
    <n v="3"/>
    <x v="7"/>
    <n v="26"/>
    <x v="680"/>
    <n v="3798600"/>
    <x v="1"/>
    <x v="1"/>
    <x v="0"/>
    <x v="2"/>
    <x v="8"/>
    <n v="9"/>
    <x v="8"/>
    <n v="146100"/>
    <n v="0.38"/>
  </r>
  <r>
    <d v="2023-09-06T00:00:00"/>
    <x v="11"/>
    <s v="Chennai"/>
    <x v="10"/>
    <x v="11"/>
    <x v="1"/>
    <n v="69"/>
    <x v="11"/>
    <n v="28"/>
    <x v="681"/>
    <n v="139003200"/>
    <x v="0"/>
    <x v="2"/>
    <x v="0"/>
    <x v="2"/>
    <x v="8"/>
    <n v="9"/>
    <x v="8"/>
    <n v="4964400"/>
    <n v="13.9"/>
  </r>
  <r>
    <d v="2023-09-10T00:00:00"/>
    <x v="5"/>
    <s v="Bengaluru"/>
    <x v="10"/>
    <x v="11"/>
    <x v="0"/>
    <n v="69"/>
    <x v="11"/>
    <n v="35"/>
    <x v="682"/>
    <n v="219985500"/>
    <x v="1"/>
    <x v="2"/>
    <x v="0"/>
    <x v="2"/>
    <x v="8"/>
    <n v="9"/>
    <x v="8"/>
    <n v="6285300"/>
    <n v="22"/>
  </r>
  <r>
    <d v="2023-09-10T00:00:00"/>
    <x v="2"/>
    <s v="Kanpur"/>
    <x v="8"/>
    <x v="8"/>
    <x v="2"/>
    <n v="66"/>
    <x v="8"/>
    <n v="20"/>
    <x v="683"/>
    <n v="115410000"/>
    <x v="1"/>
    <x v="1"/>
    <x v="0"/>
    <x v="2"/>
    <x v="8"/>
    <n v="9"/>
    <x v="8"/>
    <n v="5770500"/>
    <n v="11.54"/>
  </r>
  <r>
    <d v="2023-09-11T00:00:00"/>
    <x v="3"/>
    <s v="Nashik"/>
    <x v="2"/>
    <x v="2"/>
    <x v="0"/>
    <n v="66"/>
    <x v="2"/>
    <n v="71"/>
    <x v="684"/>
    <n v="640448400"/>
    <x v="1"/>
    <x v="0"/>
    <x v="0"/>
    <x v="2"/>
    <x v="8"/>
    <n v="9"/>
    <x v="8"/>
    <n v="9020400"/>
    <n v="64.040000000000006"/>
  </r>
  <r>
    <d v="2023-09-12T00:00:00"/>
    <x v="2"/>
    <s v="Ghaziabad"/>
    <x v="5"/>
    <x v="5"/>
    <x v="1"/>
    <n v="30"/>
    <x v="5"/>
    <n v="70"/>
    <x v="685"/>
    <n v="84329000"/>
    <x v="1"/>
    <x v="0"/>
    <x v="0"/>
    <x v="2"/>
    <x v="8"/>
    <n v="9"/>
    <x v="8"/>
    <n v="1204700"/>
    <n v="8.43"/>
  </r>
  <r>
    <d v="2023-09-12T00:00:00"/>
    <x v="6"/>
    <s v="Surat"/>
    <x v="7"/>
    <x v="7"/>
    <x v="0"/>
    <n v="3"/>
    <x v="7"/>
    <n v="40"/>
    <x v="686"/>
    <n v="6376000"/>
    <x v="1"/>
    <x v="0"/>
    <x v="0"/>
    <x v="2"/>
    <x v="8"/>
    <n v="9"/>
    <x v="8"/>
    <n v="159400"/>
    <n v="0.64"/>
  </r>
  <r>
    <d v="2023-09-13T00:00:00"/>
    <x v="13"/>
    <s v="Bhopal"/>
    <x v="10"/>
    <x v="11"/>
    <x v="2"/>
    <n v="69"/>
    <x v="11"/>
    <n v="27"/>
    <x v="687"/>
    <n v="137386800"/>
    <x v="0"/>
    <x v="2"/>
    <x v="0"/>
    <x v="2"/>
    <x v="8"/>
    <n v="9"/>
    <x v="8"/>
    <n v="5088400"/>
    <n v="13.74"/>
  </r>
  <r>
    <d v="2023-09-13T00:00:00"/>
    <x v="6"/>
    <s v="Vadodara"/>
    <x v="11"/>
    <x v="12"/>
    <x v="0"/>
    <n v="40"/>
    <x v="12"/>
    <n v="35"/>
    <x v="688"/>
    <n v="77469000"/>
    <x v="0"/>
    <x v="0"/>
    <x v="0"/>
    <x v="2"/>
    <x v="8"/>
    <n v="9"/>
    <x v="8"/>
    <n v="2213400"/>
    <n v="7.75"/>
  </r>
  <r>
    <d v="2023-09-13T00:00:00"/>
    <x v="0"/>
    <s v="Hyderabad"/>
    <x v="10"/>
    <x v="11"/>
    <x v="0"/>
    <n v="69"/>
    <x v="11"/>
    <n v="58"/>
    <x v="689"/>
    <n v="322062400"/>
    <x v="0"/>
    <x v="2"/>
    <x v="0"/>
    <x v="2"/>
    <x v="8"/>
    <n v="9"/>
    <x v="8"/>
    <n v="5552800"/>
    <n v="32.21"/>
  </r>
  <r>
    <d v="2023-09-14T00:00:00"/>
    <x v="2"/>
    <s v="Noida"/>
    <x v="4"/>
    <x v="4"/>
    <x v="2"/>
    <n v="77"/>
    <x v="4"/>
    <n v="63"/>
    <x v="690"/>
    <n v="294077700"/>
    <x v="1"/>
    <x v="1"/>
    <x v="0"/>
    <x v="2"/>
    <x v="8"/>
    <n v="9"/>
    <x v="8"/>
    <n v="4667900"/>
    <n v="29.41"/>
  </r>
  <r>
    <d v="2023-09-15T00:00:00"/>
    <x v="2"/>
    <s v="Noida"/>
    <x v="15"/>
    <x v="17"/>
    <x v="0"/>
    <n v="5"/>
    <x v="15"/>
    <n v="164"/>
    <x v="354"/>
    <n v="28650800"/>
    <x v="1"/>
    <x v="2"/>
    <x v="0"/>
    <x v="2"/>
    <x v="8"/>
    <n v="9"/>
    <x v="8"/>
    <n v="174700"/>
    <n v="2.87"/>
  </r>
  <r>
    <d v="2023-09-15T00:00:00"/>
    <x v="3"/>
    <s v="Nashik"/>
    <x v="8"/>
    <x v="20"/>
    <x v="2"/>
    <n v="84"/>
    <x v="18"/>
    <n v="78"/>
    <x v="691"/>
    <n v="663148200"/>
    <x v="1"/>
    <x v="2"/>
    <x v="0"/>
    <x v="2"/>
    <x v="8"/>
    <n v="9"/>
    <x v="8"/>
    <n v="8501900"/>
    <n v="66.31"/>
  </r>
  <r>
    <d v="2023-09-15T00:00:00"/>
    <x v="6"/>
    <s v="Vadodara"/>
    <x v="4"/>
    <x v="4"/>
    <x v="1"/>
    <n v="77"/>
    <x v="4"/>
    <n v="12"/>
    <x v="692"/>
    <n v="69428400"/>
    <x v="1"/>
    <x v="0"/>
    <x v="0"/>
    <x v="2"/>
    <x v="8"/>
    <n v="9"/>
    <x v="8"/>
    <n v="5785700"/>
    <n v="6.94"/>
  </r>
  <r>
    <d v="2023-09-16T00:00:00"/>
    <x v="11"/>
    <s v="Chennai"/>
    <x v="8"/>
    <x v="8"/>
    <x v="0"/>
    <n v="66"/>
    <x v="8"/>
    <n v="72"/>
    <x v="693"/>
    <n v="468072000"/>
    <x v="0"/>
    <x v="2"/>
    <x v="0"/>
    <x v="2"/>
    <x v="8"/>
    <n v="9"/>
    <x v="8"/>
    <n v="6501000"/>
    <n v="46.81"/>
  </r>
  <r>
    <d v="2023-09-16T00:00:00"/>
    <x v="14"/>
    <s v="Jaipur"/>
    <x v="1"/>
    <x v="1"/>
    <x v="0"/>
    <n v="4"/>
    <x v="1"/>
    <n v="61"/>
    <x v="694"/>
    <n v="9619700"/>
    <x v="1"/>
    <x v="0"/>
    <x v="0"/>
    <x v="2"/>
    <x v="8"/>
    <n v="9"/>
    <x v="8"/>
    <n v="157700"/>
    <n v="0.96"/>
  </r>
  <r>
    <d v="2023-09-16T00:00:00"/>
    <x v="10"/>
    <s v="Kozhikode"/>
    <x v="12"/>
    <x v="18"/>
    <x v="0"/>
    <n v="60"/>
    <x v="16"/>
    <n v="51"/>
    <x v="695"/>
    <n v="174919800"/>
    <x v="1"/>
    <x v="2"/>
    <x v="0"/>
    <x v="2"/>
    <x v="8"/>
    <n v="9"/>
    <x v="8"/>
    <n v="3429800"/>
    <n v="17.489999999999998"/>
  </r>
  <r>
    <d v="2023-09-16T00:00:00"/>
    <x v="5"/>
    <s v="Hubballi"/>
    <x v="1"/>
    <x v="1"/>
    <x v="0"/>
    <n v="4"/>
    <x v="1"/>
    <n v="126"/>
    <x v="696"/>
    <n v="18761400"/>
    <x v="1"/>
    <x v="2"/>
    <x v="0"/>
    <x v="2"/>
    <x v="8"/>
    <n v="9"/>
    <x v="8"/>
    <n v="148900"/>
    <n v="1.88"/>
  </r>
  <r>
    <d v="2023-09-16T00:00:00"/>
    <x v="3"/>
    <s v="Nagpur"/>
    <x v="2"/>
    <x v="2"/>
    <x v="0"/>
    <n v="66"/>
    <x v="2"/>
    <n v="64"/>
    <x v="697"/>
    <n v="530035200"/>
    <x v="1"/>
    <x v="0"/>
    <x v="0"/>
    <x v="2"/>
    <x v="8"/>
    <n v="9"/>
    <x v="8"/>
    <n v="8281800"/>
    <n v="53"/>
  </r>
  <r>
    <d v="2023-09-16T00:00:00"/>
    <x v="3"/>
    <s v="Nagpur"/>
    <x v="9"/>
    <x v="9"/>
    <x v="0"/>
    <n v="50"/>
    <x v="9"/>
    <n v="113"/>
    <x v="698"/>
    <n v="266793000"/>
    <x v="1"/>
    <x v="2"/>
    <x v="0"/>
    <x v="2"/>
    <x v="8"/>
    <n v="9"/>
    <x v="8"/>
    <n v="2361000"/>
    <n v="26.68"/>
  </r>
  <r>
    <d v="2023-09-17T00:00:00"/>
    <x v="8"/>
    <s v="Siliguri"/>
    <x v="3"/>
    <x v="3"/>
    <x v="0"/>
    <n v="3"/>
    <x v="3"/>
    <n v="39"/>
    <x v="699"/>
    <n v="4878900"/>
    <x v="1"/>
    <x v="0"/>
    <x v="0"/>
    <x v="2"/>
    <x v="8"/>
    <n v="9"/>
    <x v="8"/>
    <n v="125100"/>
    <n v="0.49"/>
  </r>
  <r>
    <d v="2023-09-19T00:00:00"/>
    <x v="1"/>
    <s v="Saket"/>
    <x v="2"/>
    <x v="2"/>
    <x v="0"/>
    <n v="66"/>
    <x v="2"/>
    <n v="54"/>
    <x v="700"/>
    <n v="495331200"/>
    <x v="1"/>
    <x v="2"/>
    <x v="0"/>
    <x v="2"/>
    <x v="8"/>
    <n v="9"/>
    <x v="8"/>
    <n v="9172800"/>
    <n v="49.53"/>
  </r>
  <r>
    <d v="2023-09-19T00:00:00"/>
    <x v="11"/>
    <s v="Chennai"/>
    <x v="2"/>
    <x v="2"/>
    <x v="2"/>
    <n v="66"/>
    <x v="2"/>
    <n v="3"/>
    <x v="701"/>
    <n v="22480500"/>
    <x v="0"/>
    <x v="1"/>
    <x v="0"/>
    <x v="2"/>
    <x v="8"/>
    <n v="9"/>
    <x v="8"/>
    <n v="7493500"/>
    <n v="2.25"/>
  </r>
  <r>
    <d v="2023-09-19T00:00:00"/>
    <x v="13"/>
    <s v="Indore"/>
    <x v="9"/>
    <x v="9"/>
    <x v="0"/>
    <n v="50"/>
    <x v="9"/>
    <n v="15"/>
    <x v="702"/>
    <n v="30477000"/>
    <x v="1"/>
    <x v="0"/>
    <x v="0"/>
    <x v="2"/>
    <x v="8"/>
    <n v="9"/>
    <x v="8"/>
    <n v="2031800"/>
    <n v="3.05"/>
  </r>
  <r>
    <d v="2023-09-20T00:00:00"/>
    <x v="2"/>
    <s v="Ghaziabad"/>
    <x v="6"/>
    <x v="6"/>
    <x v="0"/>
    <n v="72"/>
    <x v="6"/>
    <n v="37"/>
    <x v="703"/>
    <n v="195563500"/>
    <x v="1"/>
    <x v="0"/>
    <x v="0"/>
    <x v="2"/>
    <x v="8"/>
    <n v="9"/>
    <x v="8"/>
    <n v="5285500"/>
    <n v="19.559999999999999"/>
  </r>
  <r>
    <d v="2023-09-20T00:00:00"/>
    <x v="10"/>
    <s v="Kochi"/>
    <x v="3"/>
    <x v="3"/>
    <x v="0"/>
    <n v="3"/>
    <x v="3"/>
    <n v="125"/>
    <x v="704"/>
    <n v="14212500"/>
    <x v="1"/>
    <x v="0"/>
    <x v="0"/>
    <x v="2"/>
    <x v="8"/>
    <n v="9"/>
    <x v="8"/>
    <n v="113700"/>
    <n v="1.42"/>
  </r>
  <r>
    <d v="2023-09-20T00:00:00"/>
    <x v="1"/>
    <s v="New Delhi"/>
    <x v="8"/>
    <x v="20"/>
    <x v="0"/>
    <n v="84"/>
    <x v="18"/>
    <n v="14"/>
    <x v="705"/>
    <n v="100644600"/>
    <x v="1"/>
    <x v="0"/>
    <x v="0"/>
    <x v="2"/>
    <x v="8"/>
    <n v="9"/>
    <x v="8"/>
    <n v="7188900"/>
    <n v="10.06"/>
  </r>
  <r>
    <d v="2023-09-20T00:00:00"/>
    <x v="13"/>
    <s v="Bhopal"/>
    <x v="9"/>
    <x v="9"/>
    <x v="2"/>
    <n v="50"/>
    <x v="9"/>
    <n v="81"/>
    <x v="706"/>
    <n v="184380300"/>
    <x v="0"/>
    <x v="2"/>
    <x v="0"/>
    <x v="2"/>
    <x v="8"/>
    <n v="9"/>
    <x v="8"/>
    <n v="2276300"/>
    <n v="18.440000000000001"/>
  </r>
  <r>
    <d v="2023-09-21T00:00:00"/>
    <x v="8"/>
    <s v="Siliguri"/>
    <x v="8"/>
    <x v="8"/>
    <x v="1"/>
    <n v="66"/>
    <x v="8"/>
    <n v="42"/>
    <x v="707"/>
    <n v="221482800"/>
    <x v="1"/>
    <x v="3"/>
    <x v="0"/>
    <x v="2"/>
    <x v="8"/>
    <n v="9"/>
    <x v="8"/>
    <n v="5273400"/>
    <n v="22.15"/>
  </r>
  <r>
    <d v="2023-09-21T00:00:00"/>
    <x v="14"/>
    <s v="Kota"/>
    <x v="14"/>
    <x v="16"/>
    <x v="0"/>
    <n v="3"/>
    <x v="15"/>
    <n v="11"/>
    <x v="43"/>
    <n v="1678600"/>
    <x v="1"/>
    <x v="0"/>
    <x v="0"/>
    <x v="2"/>
    <x v="8"/>
    <n v="9"/>
    <x v="8"/>
    <n v="152600"/>
    <n v="0.17"/>
  </r>
  <r>
    <d v="2023-09-22T00:00:00"/>
    <x v="3"/>
    <s v="Nagpur"/>
    <x v="4"/>
    <x v="4"/>
    <x v="0"/>
    <n v="77"/>
    <x v="4"/>
    <n v="71"/>
    <x v="708"/>
    <n v="312066300"/>
    <x v="0"/>
    <x v="2"/>
    <x v="0"/>
    <x v="2"/>
    <x v="8"/>
    <n v="9"/>
    <x v="8"/>
    <n v="4395300"/>
    <n v="31.21"/>
  </r>
  <r>
    <d v="2023-09-22T00:00:00"/>
    <x v="1"/>
    <s v="Saket"/>
    <x v="8"/>
    <x v="8"/>
    <x v="0"/>
    <n v="66"/>
    <x v="8"/>
    <n v="3"/>
    <x v="709"/>
    <n v="20756100"/>
    <x v="1"/>
    <x v="2"/>
    <x v="0"/>
    <x v="2"/>
    <x v="8"/>
    <n v="9"/>
    <x v="8"/>
    <n v="6918700"/>
    <n v="2.08"/>
  </r>
  <r>
    <d v="2023-09-22T00:00:00"/>
    <x v="6"/>
    <s v="Rajkot"/>
    <x v="14"/>
    <x v="16"/>
    <x v="0"/>
    <n v="3"/>
    <x v="15"/>
    <n v="83"/>
    <x v="710"/>
    <n v="10964300"/>
    <x v="1"/>
    <x v="1"/>
    <x v="0"/>
    <x v="2"/>
    <x v="8"/>
    <n v="9"/>
    <x v="8"/>
    <n v="132100"/>
    <n v="1.1000000000000001"/>
  </r>
  <r>
    <d v="2023-09-23T00:00:00"/>
    <x v="2"/>
    <s v="Lucknow"/>
    <x v="9"/>
    <x v="10"/>
    <x v="0"/>
    <n v="25"/>
    <x v="10"/>
    <n v="147"/>
    <x v="711"/>
    <n v="158568900"/>
    <x v="1"/>
    <x v="1"/>
    <x v="0"/>
    <x v="2"/>
    <x v="8"/>
    <n v="9"/>
    <x v="8"/>
    <n v="1078700"/>
    <n v="15.86"/>
  </r>
  <r>
    <d v="2023-09-23T00:00:00"/>
    <x v="11"/>
    <s v="Chennai"/>
    <x v="3"/>
    <x v="3"/>
    <x v="0"/>
    <n v="3"/>
    <x v="3"/>
    <n v="167"/>
    <x v="712"/>
    <n v="19472200"/>
    <x v="1"/>
    <x v="0"/>
    <x v="0"/>
    <x v="2"/>
    <x v="8"/>
    <n v="9"/>
    <x v="8"/>
    <n v="116600"/>
    <n v="1.95"/>
  </r>
  <r>
    <d v="2023-09-23T00:00:00"/>
    <x v="10"/>
    <s v="Kochi"/>
    <x v="4"/>
    <x v="4"/>
    <x v="1"/>
    <n v="77"/>
    <x v="4"/>
    <n v="9"/>
    <x v="713"/>
    <n v="41226300"/>
    <x v="1"/>
    <x v="3"/>
    <x v="0"/>
    <x v="2"/>
    <x v="8"/>
    <n v="9"/>
    <x v="8"/>
    <n v="4580700"/>
    <n v="4.12"/>
  </r>
  <r>
    <d v="2023-09-23T00:00:00"/>
    <x v="12"/>
    <s v="Hisar"/>
    <x v="12"/>
    <x v="14"/>
    <x v="0"/>
    <n v="82"/>
    <x v="13"/>
    <n v="59"/>
    <x v="714"/>
    <n v="283512700"/>
    <x v="1"/>
    <x v="0"/>
    <x v="0"/>
    <x v="2"/>
    <x v="8"/>
    <n v="9"/>
    <x v="8"/>
    <n v="4805300"/>
    <n v="28.35"/>
  </r>
  <r>
    <d v="2023-09-24T00:00:00"/>
    <x v="5"/>
    <s v="Hubballi"/>
    <x v="3"/>
    <x v="3"/>
    <x v="0"/>
    <n v="3"/>
    <x v="3"/>
    <n v="173"/>
    <x v="715"/>
    <n v="17473000"/>
    <x v="1"/>
    <x v="2"/>
    <x v="0"/>
    <x v="2"/>
    <x v="8"/>
    <n v="9"/>
    <x v="8"/>
    <n v="101000"/>
    <n v="1.75"/>
  </r>
  <r>
    <d v="2023-09-24T00:00:00"/>
    <x v="0"/>
    <s v="Nizamabad"/>
    <x v="2"/>
    <x v="2"/>
    <x v="0"/>
    <n v="66"/>
    <x v="2"/>
    <n v="40"/>
    <x v="716"/>
    <n v="280668000"/>
    <x v="1"/>
    <x v="3"/>
    <x v="0"/>
    <x v="2"/>
    <x v="8"/>
    <n v="9"/>
    <x v="8"/>
    <n v="7016700"/>
    <n v="28.07"/>
  </r>
  <r>
    <d v="2023-09-24T00:00:00"/>
    <x v="0"/>
    <s v="Warangal"/>
    <x v="7"/>
    <x v="7"/>
    <x v="0"/>
    <n v="3"/>
    <x v="7"/>
    <n v="18"/>
    <x v="717"/>
    <n v="3097800"/>
    <x v="1"/>
    <x v="1"/>
    <x v="0"/>
    <x v="2"/>
    <x v="8"/>
    <n v="9"/>
    <x v="8"/>
    <n v="172100"/>
    <n v="0.31"/>
  </r>
  <r>
    <d v="2023-09-24T00:00:00"/>
    <x v="5"/>
    <s v="Mysuru"/>
    <x v="3"/>
    <x v="3"/>
    <x v="0"/>
    <n v="3"/>
    <x v="3"/>
    <n v="140"/>
    <x v="243"/>
    <n v="18396000"/>
    <x v="0"/>
    <x v="1"/>
    <x v="0"/>
    <x v="2"/>
    <x v="8"/>
    <n v="9"/>
    <x v="8"/>
    <n v="131400"/>
    <n v="1.84"/>
  </r>
  <r>
    <d v="2023-09-25T00:00:00"/>
    <x v="13"/>
    <s v="Bhopal"/>
    <x v="7"/>
    <x v="7"/>
    <x v="0"/>
    <n v="3"/>
    <x v="7"/>
    <n v="72"/>
    <x v="670"/>
    <n v="12024000"/>
    <x v="1"/>
    <x v="0"/>
    <x v="0"/>
    <x v="2"/>
    <x v="8"/>
    <n v="9"/>
    <x v="8"/>
    <n v="167000"/>
    <n v="1.2"/>
  </r>
  <r>
    <d v="2023-09-25T00:00:00"/>
    <x v="14"/>
    <s v="Udaipur"/>
    <x v="3"/>
    <x v="3"/>
    <x v="0"/>
    <n v="3"/>
    <x v="3"/>
    <n v="43"/>
    <x v="718"/>
    <n v="5800700"/>
    <x v="1"/>
    <x v="1"/>
    <x v="0"/>
    <x v="2"/>
    <x v="8"/>
    <n v="9"/>
    <x v="8"/>
    <n v="134900"/>
    <n v="0.57999999999999996"/>
  </r>
  <r>
    <d v="2023-09-25T00:00:00"/>
    <x v="3"/>
    <s v="Nashik"/>
    <x v="9"/>
    <x v="10"/>
    <x v="0"/>
    <n v="25"/>
    <x v="10"/>
    <n v="50"/>
    <x v="719"/>
    <n v="53145000"/>
    <x v="1"/>
    <x v="1"/>
    <x v="0"/>
    <x v="2"/>
    <x v="8"/>
    <n v="9"/>
    <x v="8"/>
    <n v="1062900"/>
    <n v="5.31"/>
  </r>
  <r>
    <d v="2023-09-26T00:00:00"/>
    <x v="11"/>
    <s v="Chennai"/>
    <x v="0"/>
    <x v="0"/>
    <x v="1"/>
    <n v="82"/>
    <x v="0"/>
    <n v="32"/>
    <x v="720"/>
    <n v="198252800"/>
    <x v="1"/>
    <x v="1"/>
    <x v="0"/>
    <x v="2"/>
    <x v="8"/>
    <n v="9"/>
    <x v="8"/>
    <n v="6195400"/>
    <n v="19.829999999999998"/>
  </r>
  <r>
    <d v="2023-09-26T00:00:00"/>
    <x v="8"/>
    <s v="Asansol"/>
    <x v="11"/>
    <x v="12"/>
    <x v="2"/>
    <n v="40"/>
    <x v="12"/>
    <n v="104"/>
    <x v="721"/>
    <n v="226439200"/>
    <x v="1"/>
    <x v="1"/>
    <x v="0"/>
    <x v="2"/>
    <x v="8"/>
    <n v="9"/>
    <x v="8"/>
    <n v="2177300"/>
    <n v="22.64"/>
  </r>
  <r>
    <d v="2023-09-26T00:00:00"/>
    <x v="8"/>
    <s v="Durgapur"/>
    <x v="4"/>
    <x v="4"/>
    <x v="0"/>
    <n v="77"/>
    <x v="4"/>
    <n v="6"/>
    <x v="722"/>
    <n v="28708800"/>
    <x v="1"/>
    <x v="2"/>
    <x v="0"/>
    <x v="2"/>
    <x v="8"/>
    <n v="9"/>
    <x v="8"/>
    <n v="4784800"/>
    <n v="2.87"/>
  </r>
  <r>
    <d v="2023-09-26T00:00:00"/>
    <x v="3"/>
    <s v="Mumbai"/>
    <x v="10"/>
    <x v="11"/>
    <x v="0"/>
    <n v="69"/>
    <x v="11"/>
    <n v="21"/>
    <x v="723"/>
    <n v="124943700"/>
    <x v="2"/>
    <x v="0"/>
    <x v="0"/>
    <x v="2"/>
    <x v="8"/>
    <n v="9"/>
    <x v="8"/>
    <n v="5949700"/>
    <n v="12.49"/>
  </r>
  <r>
    <d v="2023-09-26T00:00:00"/>
    <x v="0"/>
    <s v="Nizamabad"/>
    <x v="0"/>
    <x v="0"/>
    <x v="0"/>
    <n v="82"/>
    <x v="0"/>
    <n v="8"/>
    <x v="724"/>
    <n v="48664800"/>
    <x v="1"/>
    <x v="1"/>
    <x v="0"/>
    <x v="2"/>
    <x v="8"/>
    <n v="9"/>
    <x v="8"/>
    <n v="6083100"/>
    <n v="4.87"/>
  </r>
  <r>
    <d v="2023-09-27T00:00:00"/>
    <x v="14"/>
    <s v="Jaipur"/>
    <x v="5"/>
    <x v="5"/>
    <x v="0"/>
    <n v="30"/>
    <x v="5"/>
    <n v="64"/>
    <x v="725"/>
    <n v="79628800"/>
    <x v="1"/>
    <x v="0"/>
    <x v="0"/>
    <x v="2"/>
    <x v="8"/>
    <n v="9"/>
    <x v="8"/>
    <n v="1244200"/>
    <n v="7.96"/>
  </r>
  <r>
    <d v="2023-09-27T00:00:00"/>
    <x v="11"/>
    <s v="Chennai"/>
    <x v="4"/>
    <x v="4"/>
    <x v="0"/>
    <n v="77"/>
    <x v="4"/>
    <n v="44"/>
    <x v="726"/>
    <n v="197058400"/>
    <x v="0"/>
    <x v="2"/>
    <x v="0"/>
    <x v="2"/>
    <x v="8"/>
    <n v="9"/>
    <x v="8"/>
    <n v="4478600"/>
    <n v="19.71"/>
  </r>
  <r>
    <d v="2023-09-28T00:00:00"/>
    <x v="6"/>
    <s v="Surat"/>
    <x v="14"/>
    <x v="16"/>
    <x v="0"/>
    <n v="3"/>
    <x v="15"/>
    <n v="154"/>
    <x v="727"/>
    <n v="27473600"/>
    <x v="1"/>
    <x v="0"/>
    <x v="0"/>
    <x v="2"/>
    <x v="8"/>
    <n v="9"/>
    <x v="8"/>
    <n v="178400"/>
    <n v="2.75"/>
  </r>
  <r>
    <d v="2023-09-28T00:00:00"/>
    <x v="3"/>
    <s v="Mumbai"/>
    <x v="9"/>
    <x v="10"/>
    <x v="0"/>
    <n v="25"/>
    <x v="10"/>
    <n v="158"/>
    <x v="728"/>
    <n v="160322600"/>
    <x v="1"/>
    <x v="0"/>
    <x v="0"/>
    <x v="2"/>
    <x v="8"/>
    <n v="9"/>
    <x v="8"/>
    <n v="1014700"/>
    <n v="16.03"/>
  </r>
  <r>
    <d v="2023-09-28T00:00:00"/>
    <x v="6"/>
    <s v="Rajkot"/>
    <x v="10"/>
    <x v="11"/>
    <x v="0"/>
    <n v="69"/>
    <x v="11"/>
    <n v="28"/>
    <x v="729"/>
    <n v="167840400"/>
    <x v="1"/>
    <x v="1"/>
    <x v="0"/>
    <x v="2"/>
    <x v="8"/>
    <n v="9"/>
    <x v="8"/>
    <n v="5994300"/>
    <n v="16.78"/>
  </r>
  <r>
    <d v="2023-09-28T00:00:00"/>
    <x v="1"/>
    <s v="Saket"/>
    <x v="7"/>
    <x v="7"/>
    <x v="0"/>
    <n v="3"/>
    <x v="7"/>
    <n v="84"/>
    <x v="730"/>
    <n v="14187600"/>
    <x v="1"/>
    <x v="0"/>
    <x v="0"/>
    <x v="2"/>
    <x v="8"/>
    <n v="9"/>
    <x v="8"/>
    <n v="168900"/>
    <n v="1.42"/>
  </r>
  <r>
    <d v="2023-09-29T00:00:00"/>
    <x v="3"/>
    <s v="Nagpur"/>
    <x v="5"/>
    <x v="5"/>
    <x v="0"/>
    <n v="30"/>
    <x v="5"/>
    <n v="34"/>
    <x v="731"/>
    <n v="53614600"/>
    <x v="1"/>
    <x v="2"/>
    <x v="0"/>
    <x v="2"/>
    <x v="8"/>
    <n v="9"/>
    <x v="8"/>
    <n v="1576900"/>
    <n v="5.36"/>
  </r>
  <r>
    <d v="2023-09-30T00:00:00"/>
    <x v="2"/>
    <s v="Noida"/>
    <x v="4"/>
    <x v="4"/>
    <x v="0"/>
    <n v="77"/>
    <x v="4"/>
    <n v="55"/>
    <x v="732"/>
    <n v="297099000"/>
    <x v="1"/>
    <x v="0"/>
    <x v="0"/>
    <x v="2"/>
    <x v="8"/>
    <n v="9"/>
    <x v="8"/>
    <n v="5401800"/>
    <n v="29.71"/>
  </r>
  <r>
    <d v="2023-09-30T00:00:00"/>
    <x v="5"/>
    <s v="Bengaluru"/>
    <x v="8"/>
    <x v="20"/>
    <x v="3"/>
    <n v="84"/>
    <x v="18"/>
    <n v="41"/>
    <x v="733"/>
    <n v="355125600"/>
    <x v="1"/>
    <x v="2"/>
    <x v="0"/>
    <x v="2"/>
    <x v="8"/>
    <n v="9"/>
    <x v="8"/>
    <n v="8661600"/>
    <n v="35.51"/>
  </r>
  <r>
    <d v="2023-09-30T00:00:00"/>
    <x v="13"/>
    <s v="Bhopal"/>
    <x v="7"/>
    <x v="7"/>
    <x v="0"/>
    <n v="3"/>
    <x v="7"/>
    <n v="18"/>
    <x v="734"/>
    <n v="3123000"/>
    <x v="1"/>
    <x v="0"/>
    <x v="0"/>
    <x v="2"/>
    <x v="8"/>
    <n v="9"/>
    <x v="8"/>
    <n v="173500"/>
    <n v="0.31"/>
  </r>
  <r>
    <d v="2023-09-30T00:00:00"/>
    <x v="11"/>
    <s v="Coimbatore"/>
    <x v="11"/>
    <x v="12"/>
    <x v="0"/>
    <n v="40"/>
    <x v="12"/>
    <n v="161"/>
    <x v="735"/>
    <n v="412723500"/>
    <x v="1"/>
    <x v="0"/>
    <x v="0"/>
    <x v="2"/>
    <x v="8"/>
    <n v="9"/>
    <x v="8"/>
    <n v="2563500"/>
    <n v="41.27"/>
  </r>
  <r>
    <d v="2023-09-30T00:00:00"/>
    <x v="8"/>
    <s v="Siliguri"/>
    <x v="8"/>
    <x v="8"/>
    <x v="1"/>
    <n v="66"/>
    <x v="8"/>
    <n v="73"/>
    <x v="736"/>
    <n v="405777800"/>
    <x v="1"/>
    <x v="1"/>
    <x v="0"/>
    <x v="2"/>
    <x v="8"/>
    <n v="9"/>
    <x v="8"/>
    <n v="5558600"/>
    <n v="40.58"/>
  </r>
  <r>
    <d v="2023-09-30T00:00:00"/>
    <x v="3"/>
    <s v="Nashik"/>
    <x v="1"/>
    <x v="21"/>
    <x v="0"/>
    <n v="3"/>
    <x v="19"/>
    <n v="163"/>
    <x v="528"/>
    <n v="19119900"/>
    <x v="1"/>
    <x v="2"/>
    <x v="0"/>
    <x v="2"/>
    <x v="8"/>
    <n v="9"/>
    <x v="8"/>
    <n v="117300"/>
    <n v="1.91"/>
  </r>
  <r>
    <d v="2023-09-30T00:00:00"/>
    <x v="5"/>
    <s v="Hubballi"/>
    <x v="15"/>
    <x v="17"/>
    <x v="0"/>
    <n v="5"/>
    <x v="15"/>
    <n v="72"/>
    <x v="737"/>
    <n v="13003200"/>
    <x v="0"/>
    <x v="1"/>
    <x v="0"/>
    <x v="2"/>
    <x v="8"/>
    <n v="9"/>
    <x v="8"/>
    <n v="180600"/>
    <n v="1.3"/>
  </r>
  <r>
    <d v="2023-10-01T00:00:00"/>
    <x v="6"/>
    <s v="Vadodara"/>
    <x v="11"/>
    <x v="12"/>
    <x v="0"/>
    <n v="40"/>
    <x v="12"/>
    <n v="128"/>
    <x v="738"/>
    <n v="255232000"/>
    <x v="1"/>
    <x v="0"/>
    <x v="0"/>
    <x v="3"/>
    <x v="9"/>
    <n v="10"/>
    <x v="9"/>
    <n v="1994000"/>
    <n v="25.52"/>
  </r>
  <r>
    <d v="2023-10-01T00:00:00"/>
    <x v="4"/>
    <s v="Amritsar"/>
    <x v="8"/>
    <x v="20"/>
    <x v="0"/>
    <n v="84"/>
    <x v="18"/>
    <n v="32"/>
    <x v="739"/>
    <n v="249795200"/>
    <x v="0"/>
    <x v="0"/>
    <x v="0"/>
    <x v="3"/>
    <x v="9"/>
    <n v="10"/>
    <x v="9"/>
    <n v="7806100"/>
    <n v="24.98"/>
  </r>
  <r>
    <d v="2023-10-01T00:00:00"/>
    <x v="0"/>
    <s v="Warangal"/>
    <x v="14"/>
    <x v="16"/>
    <x v="0"/>
    <n v="3"/>
    <x v="15"/>
    <n v="175"/>
    <x v="740"/>
    <n v="26775000"/>
    <x v="1"/>
    <x v="0"/>
    <x v="0"/>
    <x v="3"/>
    <x v="9"/>
    <n v="10"/>
    <x v="9"/>
    <n v="153000"/>
    <n v="2.68"/>
  </r>
  <r>
    <d v="2023-10-01T00:00:00"/>
    <x v="3"/>
    <s v="Nashik"/>
    <x v="9"/>
    <x v="9"/>
    <x v="0"/>
    <n v="50"/>
    <x v="9"/>
    <n v="25"/>
    <x v="741"/>
    <n v="56747500"/>
    <x v="0"/>
    <x v="0"/>
    <x v="0"/>
    <x v="3"/>
    <x v="9"/>
    <n v="10"/>
    <x v="9"/>
    <n v="2269900"/>
    <n v="5.67"/>
  </r>
  <r>
    <d v="2023-10-02T00:00:00"/>
    <x v="6"/>
    <s v="Rajkot"/>
    <x v="6"/>
    <x v="13"/>
    <x v="0"/>
    <n v="48"/>
    <x v="12"/>
    <n v="148"/>
    <x v="657"/>
    <n v="394183200"/>
    <x v="0"/>
    <x v="0"/>
    <x v="0"/>
    <x v="3"/>
    <x v="9"/>
    <n v="10"/>
    <x v="9"/>
    <n v="2663400"/>
    <n v="39.42"/>
  </r>
  <r>
    <d v="2023-10-02T00:00:00"/>
    <x v="11"/>
    <s v="Chennai"/>
    <x v="12"/>
    <x v="14"/>
    <x v="0"/>
    <n v="82"/>
    <x v="13"/>
    <n v="64"/>
    <x v="742"/>
    <n v="308326400"/>
    <x v="1"/>
    <x v="0"/>
    <x v="0"/>
    <x v="3"/>
    <x v="9"/>
    <n v="10"/>
    <x v="9"/>
    <n v="4817600"/>
    <n v="30.83"/>
  </r>
  <r>
    <d v="2023-10-02T00:00:00"/>
    <x v="12"/>
    <s v="Panipat"/>
    <x v="11"/>
    <x v="12"/>
    <x v="2"/>
    <n v="40"/>
    <x v="12"/>
    <n v="95"/>
    <x v="743"/>
    <n v="209142500"/>
    <x v="2"/>
    <x v="2"/>
    <x v="0"/>
    <x v="3"/>
    <x v="9"/>
    <n v="10"/>
    <x v="9"/>
    <n v="2201500"/>
    <n v="20.91"/>
  </r>
  <r>
    <d v="2023-10-02T00:00:00"/>
    <x v="6"/>
    <s v="Rajkot"/>
    <x v="5"/>
    <x v="5"/>
    <x v="0"/>
    <n v="30"/>
    <x v="5"/>
    <n v="29"/>
    <x v="744"/>
    <n v="35075500"/>
    <x v="1"/>
    <x v="2"/>
    <x v="0"/>
    <x v="3"/>
    <x v="9"/>
    <n v="10"/>
    <x v="9"/>
    <n v="1209500"/>
    <n v="3.51"/>
  </r>
  <r>
    <d v="2023-10-03T00:00:00"/>
    <x v="13"/>
    <s v="Gwalior"/>
    <x v="3"/>
    <x v="3"/>
    <x v="0"/>
    <n v="3"/>
    <x v="3"/>
    <n v="70"/>
    <x v="745"/>
    <n v="9093000"/>
    <x v="0"/>
    <x v="3"/>
    <x v="0"/>
    <x v="3"/>
    <x v="9"/>
    <n v="10"/>
    <x v="9"/>
    <n v="129900"/>
    <n v="0.91"/>
  </r>
  <r>
    <d v="2023-10-03T00:00:00"/>
    <x v="2"/>
    <s v="Ghaziabad"/>
    <x v="12"/>
    <x v="18"/>
    <x v="0"/>
    <n v="60"/>
    <x v="16"/>
    <n v="19"/>
    <x v="746"/>
    <n v="60724000"/>
    <x v="0"/>
    <x v="1"/>
    <x v="0"/>
    <x v="3"/>
    <x v="9"/>
    <n v="10"/>
    <x v="9"/>
    <n v="3196000"/>
    <n v="6.07"/>
  </r>
  <r>
    <d v="2023-10-03T00:00:00"/>
    <x v="5"/>
    <s v="Mangaluru"/>
    <x v="2"/>
    <x v="2"/>
    <x v="0"/>
    <n v="66"/>
    <x v="2"/>
    <n v="4"/>
    <x v="747"/>
    <n v="34470400"/>
    <x v="0"/>
    <x v="0"/>
    <x v="0"/>
    <x v="3"/>
    <x v="9"/>
    <n v="10"/>
    <x v="9"/>
    <n v="8617600"/>
    <n v="3.45"/>
  </r>
  <r>
    <d v="2023-10-03T00:00:00"/>
    <x v="14"/>
    <s v="Jaipur"/>
    <x v="6"/>
    <x v="13"/>
    <x v="0"/>
    <n v="48"/>
    <x v="12"/>
    <n v="111"/>
    <x v="748"/>
    <n v="255300000"/>
    <x v="1"/>
    <x v="2"/>
    <x v="0"/>
    <x v="3"/>
    <x v="9"/>
    <n v="10"/>
    <x v="9"/>
    <n v="2300000"/>
    <n v="25.53"/>
  </r>
  <r>
    <d v="2023-10-04T00:00:00"/>
    <x v="6"/>
    <s v="Rajkot"/>
    <x v="13"/>
    <x v="19"/>
    <x v="0"/>
    <n v="24"/>
    <x v="17"/>
    <n v="89"/>
    <x v="749"/>
    <n v="108357500"/>
    <x v="1"/>
    <x v="1"/>
    <x v="0"/>
    <x v="3"/>
    <x v="9"/>
    <n v="10"/>
    <x v="9"/>
    <n v="1217500"/>
    <n v="10.84"/>
  </r>
  <r>
    <d v="2023-10-04T00:00:00"/>
    <x v="11"/>
    <s v="Chennai"/>
    <x v="6"/>
    <x v="6"/>
    <x v="1"/>
    <n v="72"/>
    <x v="6"/>
    <n v="147"/>
    <x v="750"/>
    <n v="788919600"/>
    <x v="0"/>
    <x v="3"/>
    <x v="0"/>
    <x v="3"/>
    <x v="9"/>
    <n v="10"/>
    <x v="9"/>
    <n v="5366800"/>
    <n v="78.89"/>
  </r>
  <r>
    <d v="2023-10-05T00:00:00"/>
    <x v="2"/>
    <s v="Kanpur"/>
    <x v="7"/>
    <x v="7"/>
    <x v="0"/>
    <n v="3"/>
    <x v="7"/>
    <n v="149"/>
    <x v="751"/>
    <n v="27982200"/>
    <x v="1"/>
    <x v="0"/>
    <x v="0"/>
    <x v="3"/>
    <x v="9"/>
    <n v="10"/>
    <x v="9"/>
    <n v="187800"/>
    <n v="2.8"/>
  </r>
  <r>
    <d v="2023-10-05T00:00:00"/>
    <x v="11"/>
    <s v="Madurai"/>
    <x v="3"/>
    <x v="3"/>
    <x v="0"/>
    <n v="3"/>
    <x v="3"/>
    <n v="12"/>
    <x v="752"/>
    <n v="1556400"/>
    <x v="1"/>
    <x v="2"/>
    <x v="0"/>
    <x v="3"/>
    <x v="9"/>
    <n v="10"/>
    <x v="9"/>
    <n v="129700"/>
    <n v="0.16"/>
  </r>
  <r>
    <d v="2023-10-05T00:00:00"/>
    <x v="7"/>
    <s v="Vijayawada"/>
    <x v="14"/>
    <x v="16"/>
    <x v="0"/>
    <n v="3"/>
    <x v="15"/>
    <n v="145"/>
    <x v="753"/>
    <n v="23330500"/>
    <x v="0"/>
    <x v="0"/>
    <x v="0"/>
    <x v="3"/>
    <x v="9"/>
    <n v="10"/>
    <x v="9"/>
    <n v="160900"/>
    <n v="2.33"/>
  </r>
  <r>
    <d v="2023-10-05T00:00:00"/>
    <x v="14"/>
    <s v="Udaipur"/>
    <x v="3"/>
    <x v="3"/>
    <x v="0"/>
    <n v="3"/>
    <x v="3"/>
    <n v="71"/>
    <x v="754"/>
    <n v="9712800"/>
    <x v="1"/>
    <x v="0"/>
    <x v="0"/>
    <x v="3"/>
    <x v="9"/>
    <n v="10"/>
    <x v="9"/>
    <n v="136800"/>
    <n v="0.97"/>
  </r>
  <r>
    <d v="2023-10-05T00:00:00"/>
    <x v="6"/>
    <s v="Ahmedabad"/>
    <x v="15"/>
    <x v="17"/>
    <x v="0"/>
    <n v="5"/>
    <x v="15"/>
    <n v="45"/>
    <x v="755"/>
    <n v="8361000"/>
    <x v="0"/>
    <x v="0"/>
    <x v="0"/>
    <x v="3"/>
    <x v="9"/>
    <n v="10"/>
    <x v="9"/>
    <n v="185800"/>
    <n v="0.84"/>
  </r>
  <r>
    <d v="2023-10-06T00:00:00"/>
    <x v="7"/>
    <s v="Vijayawada"/>
    <x v="3"/>
    <x v="3"/>
    <x v="0"/>
    <n v="3"/>
    <x v="3"/>
    <n v="58"/>
    <x v="756"/>
    <n v="7980800"/>
    <x v="1"/>
    <x v="0"/>
    <x v="0"/>
    <x v="3"/>
    <x v="9"/>
    <n v="10"/>
    <x v="9"/>
    <n v="137600"/>
    <n v="0.8"/>
  </r>
  <r>
    <d v="2023-10-06T00:00:00"/>
    <x v="4"/>
    <s v="Ludhiana"/>
    <x v="13"/>
    <x v="15"/>
    <x v="2"/>
    <n v="40"/>
    <x v="14"/>
    <n v="90"/>
    <x v="757"/>
    <n v="210717000"/>
    <x v="1"/>
    <x v="0"/>
    <x v="0"/>
    <x v="3"/>
    <x v="9"/>
    <n v="10"/>
    <x v="9"/>
    <n v="2341300"/>
    <n v="21.07"/>
  </r>
  <r>
    <d v="2023-10-07T00:00:00"/>
    <x v="2"/>
    <s v="Noida"/>
    <x v="7"/>
    <x v="7"/>
    <x v="0"/>
    <n v="3"/>
    <x v="7"/>
    <n v="155"/>
    <x v="758"/>
    <n v="22397500"/>
    <x v="1"/>
    <x v="1"/>
    <x v="0"/>
    <x v="3"/>
    <x v="9"/>
    <n v="10"/>
    <x v="9"/>
    <n v="144500"/>
    <n v="2.2400000000000002"/>
  </r>
  <r>
    <d v="2023-10-08T00:00:00"/>
    <x v="14"/>
    <s v="Jaipur"/>
    <x v="6"/>
    <x v="13"/>
    <x v="0"/>
    <n v="48"/>
    <x v="12"/>
    <n v="139"/>
    <x v="759"/>
    <n v="287743900"/>
    <x v="0"/>
    <x v="2"/>
    <x v="0"/>
    <x v="3"/>
    <x v="9"/>
    <n v="10"/>
    <x v="9"/>
    <n v="2070100"/>
    <n v="28.77"/>
  </r>
  <r>
    <d v="2023-10-08T00:00:00"/>
    <x v="5"/>
    <s v="Mangaluru"/>
    <x v="7"/>
    <x v="7"/>
    <x v="0"/>
    <n v="3"/>
    <x v="7"/>
    <n v="161"/>
    <x v="760"/>
    <n v="23216200"/>
    <x v="1"/>
    <x v="0"/>
    <x v="0"/>
    <x v="3"/>
    <x v="9"/>
    <n v="10"/>
    <x v="9"/>
    <n v="144200"/>
    <n v="2.3199999999999998"/>
  </r>
  <r>
    <d v="2023-10-09T00:00:00"/>
    <x v="12"/>
    <s v="Gurugram"/>
    <x v="2"/>
    <x v="2"/>
    <x v="1"/>
    <n v="66"/>
    <x v="2"/>
    <n v="69"/>
    <x v="761"/>
    <n v="578696100"/>
    <x v="1"/>
    <x v="0"/>
    <x v="0"/>
    <x v="3"/>
    <x v="9"/>
    <n v="10"/>
    <x v="9"/>
    <n v="8386900"/>
    <n v="57.87"/>
  </r>
  <r>
    <d v="2023-10-09T00:00:00"/>
    <x v="11"/>
    <s v="Salem"/>
    <x v="8"/>
    <x v="8"/>
    <x v="0"/>
    <n v="66"/>
    <x v="8"/>
    <n v="8"/>
    <x v="762"/>
    <n v="50788800"/>
    <x v="2"/>
    <x v="0"/>
    <x v="0"/>
    <x v="3"/>
    <x v="9"/>
    <n v="10"/>
    <x v="9"/>
    <n v="6348600"/>
    <n v="5.08"/>
  </r>
  <r>
    <d v="2023-10-10T00:00:00"/>
    <x v="12"/>
    <s v="Faridabad"/>
    <x v="8"/>
    <x v="20"/>
    <x v="2"/>
    <n v="84"/>
    <x v="18"/>
    <n v="38"/>
    <x v="763"/>
    <n v="273505000"/>
    <x v="2"/>
    <x v="2"/>
    <x v="0"/>
    <x v="3"/>
    <x v="9"/>
    <n v="10"/>
    <x v="9"/>
    <n v="7197500"/>
    <n v="27.35"/>
  </r>
  <r>
    <d v="2023-10-10T00:00:00"/>
    <x v="11"/>
    <s v="Coimbatore"/>
    <x v="8"/>
    <x v="8"/>
    <x v="1"/>
    <n v="66"/>
    <x v="8"/>
    <n v="65"/>
    <x v="764"/>
    <n v="379756000"/>
    <x v="1"/>
    <x v="1"/>
    <x v="0"/>
    <x v="3"/>
    <x v="9"/>
    <n v="10"/>
    <x v="9"/>
    <n v="5842400"/>
    <n v="37.979999999999997"/>
  </r>
  <r>
    <d v="2023-10-11T00:00:00"/>
    <x v="12"/>
    <s v="Gurugram"/>
    <x v="9"/>
    <x v="10"/>
    <x v="1"/>
    <n v="25"/>
    <x v="10"/>
    <n v="88"/>
    <x v="765"/>
    <n v="111628000"/>
    <x v="0"/>
    <x v="0"/>
    <x v="0"/>
    <x v="3"/>
    <x v="9"/>
    <n v="10"/>
    <x v="9"/>
    <n v="1268500"/>
    <n v="11.16"/>
  </r>
  <r>
    <d v="2023-10-11T00:00:00"/>
    <x v="4"/>
    <s v="Amritsar"/>
    <x v="5"/>
    <x v="5"/>
    <x v="2"/>
    <n v="30"/>
    <x v="5"/>
    <n v="77"/>
    <x v="766"/>
    <n v="124870900"/>
    <x v="0"/>
    <x v="1"/>
    <x v="0"/>
    <x v="3"/>
    <x v="9"/>
    <n v="10"/>
    <x v="9"/>
    <n v="1621700"/>
    <n v="12.49"/>
  </r>
  <r>
    <d v="2023-10-11T00:00:00"/>
    <x v="12"/>
    <s v="Faridabad"/>
    <x v="5"/>
    <x v="5"/>
    <x v="0"/>
    <n v="30"/>
    <x v="5"/>
    <n v="12"/>
    <x v="767"/>
    <n v="20344800"/>
    <x v="1"/>
    <x v="0"/>
    <x v="0"/>
    <x v="3"/>
    <x v="9"/>
    <n v="10"/>
    <x v="9"/>
    <n v="1695400"/>
    <n v="2.0299999999999998"/>
  </r>
  <r>
    <d v="2023-10-12T00:00:00"/>
    <x v="0"/>
    <s v="Warangal"/>
    <x v="10"/>
    <x v="11"/>
    <x v="1"/>
    <n v="69"/>
    <x v="11"/>
    <n v="52"/>
    <x v="768"/>
    <n v="263426800"/>
    <x v="0"/>
    <x v="2"/>
    <x v="0"/>
    <x v="3"/>
    <x v="9"/>
    <n v="10"/>
    <x v="9"/>
    <n v="5065900"/>
    <n v="26.34"/>
  </r>
  <r>
    <d v="2023-10-12T00:00:00"/>
    <x v="3"/>
    <s v="Nagpur"/>
    <x v="15"/>
    <x v="17"/>
    <x v="0"/>
    <n v="5"/>
    <x v="15"/>
    <n v="122"/>
    <x v="769"/>
    <n v="19971400"/>
    <x v="1"/>
    <x v="2"/>
    <x v="0"/>
    <x v="3"/>
    <x v="9"/>
    <n v="10"/>
    <x v="9"/>
    <n v="163700"/>
    <n v="2"/>
  </r>
  <r>
    <d v="2023-10-13T00:00:00"/>
    <x v="10"/>
    <s v="Thiruvananthapuram"/>
    <x v="15"/>
    <x v="17"/>
    <x v="0"/>
    <n v="5"/>
    <x v="15"/>
    <n v="161"/>
    <x v="770"/>
    <n v="27563200"/>
    <x v="1"/>
    <x v="0"/>
    <x v="0"/>
    <x v="3"/>
    <x v="9"/>
    <n v="10"/>
    <x v="9"/>
    <n v="171200"/>
    <n v="2.76"/>
  </r>
  <r>
    <d v="2023-10-14T00:00:00"/>
    <x v="3"/>
    <s v="Nagpur"/>
    <x v="11"/>
    <x v="23"/>
    <x v="0"/>
    <n v="59"/>
    <x v="20"/>
    <n v="139"/>
    <x v="771"/>
    <n v="363318200"/>
    <x v="1"/>
    <x v="2"/>
    <x v="0"/>
    <x v="3"/>
    <x v="9"/>
    <n v="10"/>
    <x v="9"/>
    <n v="2613800"/>
    <n v="36.33"/>
  </r>
  <r>
    <d v="2023-10-14T00:00:00"/>
    <x v="13"/>
    <s v="Bhopal"/>
    <x v="2"/>
    <x v="2"/>
    <x v="0"/>
    <n v="66"/>
    <x v="2"/>
    <n v="55"/>
    <x v="772"/>
    <n v="418099000"/>
    <x v="1"/>
    <x v="1"/>
    <x v="0"/>
    <x v="3"/>
    <x v="9"/>
    <n v="10"/>
    <x v="9"/>
    <n v="7601800"/>
    <n v="41.81"/>
  </r>
  <r>
    <d v="2023-10-14T00:00:00"/>
    <x v="1"/>
    <s v="New Delhi"/>
    <x v="7"/>
    <x v="7"/>
    <x v="0"/>
    <n v="3"/>
    <x v="7"/>
    <n v="43"/>
    <x v="773"/>
    <n v="6983200"/>
    <x v="1"/>
    <x v="0"/>
    <x v="0"/>
    <x v="3"/>
    <x v="9"/>
    <n v="10"/>
    <x v="9"/>
    <n v="162400"/>
    <n v="0.7"/>
  </r>
  <r>
    <d v="2023-10-14T00:00:00"/>
    <x v="11"/>
    <s v="Chennai"/>
    <x v="6"/>
    <x v="13"/>
    <x v="0"/>
    <n v="48"/>
    <x v="12"/>
    <n v="132"/>
    <x v="774"/>
    <n v="323584800"/>
    <x v="0"/>
    <x v="0"/>
    <x v="0"/>
    <x v="3"/>
    <x v="9"/>
    <n v="10"/>
    <x v="9"/>
    <n v="2451400"/>
    <n v="32.36"/>
  </r>
  <r>
    <d v="2023-10-14T00:00:00"/>
    <x v="14"/>
    <s v="Kota"/>
    <x v="8"/>
    <x v="20"/>
    <x v="0"/>
    <n v="84"/>
    <x v="18"/>
    <n v="32"/>
    <x v="775"/>
    <n v="243808000"/>
    <x v="1"/>
    <x v="2"/>
    <x v="0"/>
    <x v="3"/>
    <x v="9"/>
    <n v="10"/>
    <x v="9"/>
    <n v="7619000"/>
    <n v="24.38"/>
  </r>
  <r>
    <d v="2023-10-15T00:00:00"/>
    <x v="0"/>
    <s v="Nizamabad"/>
    <x v="6"/>
    <x v="6"/>
    <x v="0"/>
    <n v="72"/>
    <x v="6"/>
    <n v="69"/>
    <x v="776"/>
    <n v="336996000"/>
    <x v="1"/>
    <x v="0"/>
    <x v="0"/>
    <x v="3"/>
    <x v="9"/>
    <n v="10"/>
    <x v="9"/>
    <n v="4884000"/>
    <n v="33.700000000000003"/>
  </r>
  <r>
    <d v="2023-10-15T00:00:00"/>
    <x v="5"/>
    <s v="Mysuru"/>
    <x v="7"/>
    <x v="7"/>
    <x v="0"/>
    <n v="3"/>
    <x v="7"/>
    <n v="106"/>
    <x v="777"/>
    <n v="16239200"/>
    <x v="1"/>
    <x v="0"/>
    <x v="0"/>
    <x v="3"/>
    <x v="9"/>
    <n v="10"/>
    <x v="9"/>
    <n v="153200"/>
    <n v="1.62"/>
  </r>
  <r>
    <d v="2023-10-16T00:00:00"/>
    <x v="13"/>
    <s v="Indore"/>
    <x v="11"/>
    <x v="23"/>
    <x v="0"/>
    <n v="59"/>
    <x v="20"/>
    <n v="106"/>
    <x v="778"/>
    <n v="296015600"/>
    <x v="1"/>
    <x v="0"/>
    <x v="0"/>
    <x v="3"/>
    <x v="9"/>
    <n v="10"/>
    <x v="9"/>
    <n v="2792600"/>
    <n v="29.6"/>
  </r>
  <r>
    <d v="2023-10-16T00:00:00"/>
    <x v="3"/>
    <s v="Nagpur"/>
    <x v="4"/>
    <x v="4"/>
    <x v="1"/>
    <n v="77"/>
    <x v="4"/>
    <n v="7"/>
    <x v="779"/>
    <n v="38097500"/>
    <x v="0"/>
    <x v="0"/>
    <x v="0"/>
    <x v="3"/>
    <x v="9"/>
    <n v="10"/>
    <x v="9"/>
    <n v="5442500"/>
    <n v="3.81"/>
  </r>
  <r>
    <d v="2023-10-16T00:00:00"/>
    <x v="3"/>
    <s v="Mumbai"/>
    <x v="12"/>
    <x v="14"/>
    <x v="1"/>
    <n v="82"/>
    <x v="13"/>
    <n v="15"/>
    <x v="780"/>
    <n v="82023000"/>
    <x v="0"/>
    <x v="0"/>
    <x v="0"/>
    <x v="3"/>
    <x v="9"/>
    <n v="10"/>
    <x v="9"/>
    <n v="5468200"/>
    <n v="8.1999999999999993"/>
  </r>
  <r>
    <d v="2023-10-17T00:00:00"/>
    <x v="1"/>
    <s v="Dwarka"/>
    <x v="9"/>
    <x v="9"/>
    <x v="0"/>
    <n v="50"/>
    <x v="9"/>
    <n v="58"/>
    <x v="781"/>
    <n v="118523000"/>
    <x v="1"/>
    <x v="0"/>
    <x v="0"/>
    <x v="3"/>
    <x v="9"/>
    <n v="10"/>
    <x v="9"/>
    <n v="2043500"/>
    <n v="11.85"/>
  </r>
  <r>
    <d v="2023-10-17T00:00:00"/>
    <x v="14"/>
    <s v="Udaipur"/>
    <x v="13"/>
    <x v="22"/>
    <x v="0"/>
    <n v="35"/>
    <x v="10"/>
    <n v="49"/>
    <x v="782"/>
    <n v="100440200"/>
    <x v="1"/>
    <x v="0"/>
    <x v="0"/>
    <x v="3"/>
    <x v="9"/>
    <n v="10"/>
    <x v="9"/>
    <n v="2049800"/>
    <n v="10.039999999999999"/>
  </r>
  <r>
    <d v="2023-10-17T00:00:00"/>
    <x v="6"/>
    <s v="Surat"/>
    <x v="7"/>
    <x v="7"/>
    <x v="0"/>
    <n v="3"/>
    <x v="7"/>
    <n v="92"/>
    <x v="783"/>
    <n v="16808400"/>
    <x v="1"/>
    <x v="0"/>
    <x v="0"/>
    <x v="3"/>
    <x v="9"/>
    <n v="10"/>
    <x v="9"/>
    <n v="182700"/>
    <n v="1.68"/>
  </r>
  <r>
    <d v="2023-10-18T00:00:00"/>
    <x v="13"/>
    <s v="Gwalior"/>
    <x v="3"/>
    <x v="3"/>
    <x v="0"/>
    <n v="3"/>
    <x v="3"/>
    <n v="162"/>
    <x v="784"/>
    <n v="16750800"/>
    <x v="1"/>
    <x v="2"/>
    <x v="0"/>
    <x v="3"/>
    <x v="9"/>
    <n v="10"/>
    <x v="9"/>
    <n v="103400"/>
    <n v="1.68"/>
  </r>
  <r>
    <d v="2023-10-19T00:00:00"/>
    <x v="10"/>
    <s v="Kozhikode"/>
    <x v="8"/>
    <x v="8"/>
    <x v="0"/>
    <n v="66"/>
    <x v="8"/>
    <n v="77"/>
    <x v="785"/>
    <n v="459281900"/>
    <x v="1"/>
    <x v="0"/>
    <x v="0"/>
    <x v="3"/>
    <x v="9"/>
    <n v="10"/>
    <x v="9"/>
    <n v="5964700"/>
    <n v="45.93"/>
  </r>
  <r>
    <d v="2023-10-19T00:00:00"/>
    <x v="3"/>
    <s v="Mumbai"/>
    <x v="6"/>
    <x v="6"/>
    <x v="0"/>
    <n v="72"/>
    <x v="6"/>
    <n v="34"/>
    <x v="786"/>
    <n v="189346000"/>
    <x v="1"/>
    <x v="1"/>
    <x v="0"/>
    <x v="3"/>
    <x v="9"/>
    <n v="10"/>
    <x v="9"/>
    <n v="5569000"/>
    <n v="18.93"/>
  </r>
  <r>
    <d v="2023-10-19T00:00:00"/>
    <x v="6"/>
    <s v="Vadodara"/>
    <x v="11"/>
    <x v="23"/>
    <x v="2"/>
    <n v="59"/>
    <x v="20"/>
    <n v="75"/>
    <x v="787"/>
    <n v="203497500"/>
    <x v="1"/>
    <x v="0"/>
    <x v="0"/>
    <x v="3"/>
    <x v="9"/>
    <n v="10"/>
    <x v="9"/>
    <n v="2713300"/>
    <n v="20.350000000000001"/>
  </r>
  <r>
    <d v="2023-10-19T00:00:00"/>
    <x v="1"/>
    <s v="New Delhi"/>
    <x v="13"/>
    <x v="15"/>
    <x v="0"/>
    <n v="40"/>
    <x v="14"/>
    <n v="67"/>
    <x v="788"/>
    <n v="162119900"/>
    <x v="1"/>
    <x v="0"/>
    <x v="0"/>
    <x v="3"/>
    <x v="9"/>
    <n v="10"/>
    <x v="9"/>
    <n v="2419700"/>
    <n v="16.21"/>
  </r>
  <r>
    <d v="2023-10-20T00:00:00"/>
    <x v="2"/>
    <s v="Lucknow"/>
    <x v="14"/>
    <x v="16"/>
    <x v="0"/>
    <n v="3"/>
    <x v="15"/>
    <n v="51"/>
    <x v="789"/>
    <n v="8047800"/>
    <x v="1"/>
    <x v="0"/>
    <x v="0"/>
    <x v="3"/>
    <x v="9"/>
    <n v="10"/>
    <x v="9"/>
    <n v="157800"/>
    <n v="0.8"/>
  </r>
  <r>
    <d v="2023-10-20T00:00:00"/>
    <x v="11"/>
    <s v="Salem"/>
    <x v="5"/>
    <x v="5"/>
    <x v="1"/>
    <n v="30"/>
    <x v="5"/>
    <n v="16"/>
    <x v="790"/>
    <n v="20612800"/>
    <x v="0"/>
    <x v="0"/>
    <x v="0"/>
    <x v="3"/>
    <x v="9"/>
    <n v="10"/>
    <x v="9"/>
    <n v="1288300"/>
    <n v="2.06"/>
  </r>
  <r>
    <d v="2023-10-20T00:00:00"/>
    <x v="2"/>
    <s v="Ghaziabad"/>
    <x v="3"/>
    <x v="3"/>
    <x v="0"/>
    <n v="3"/>
    <x v="3"/>
    <n v="175"/>
    <x v="464"/>
    <n v="21070000"/>
    <x v="1"/>
    <x v="0"/>
    <x v="0"/>
    <x v="3"/>
    <x v="9"/>
    <n v="10"/>
    <x v="9"/>
    <n v="120400"/>
    <n v="2.11"/>
  </r>
  <r>
    <d v="2023-10-20T00:00:00"/>
    <x v="8"/>
    <s v="Durgapur"/>
    <x v="12"/>
    <x v="18"/>
    <x v="0"/>
    <n v="60"/>
    <x v="16"/>
    <n v="22"/>
    <x v="791"/>
    <n v="71940000"/>
    <x v="0"/>
    <x v="0"/>
    <x v="0"/>
    <x v="3"/>
    <x v="9"/>
    <n v="10"/>
    <x v="9"/>
    <n v="3270000"/>
    <n v="7.19"/>
  </r>
  <r>
    <d v="2023-10-20T00:00:00"/>
    <x v="5"/>
    <s v="Mangaluru"/>
    <x v="0"/>
    <x v="0"/>
    <x v="0"/>
    <n v="82"/>
    <x v="0"/>
    <n v="24"/>
    <x v="792"/>
    <n v="149793600"/>
    <x v="0"/>
    <x v="2"/>
    <x v="0"/>
    <x v="3"/>
    <x v="9"/>
    <n v="10"/>
    <x v="9"/>
    <n v="6241400"/>
    <n v="14.98"/>
  </r>
  <r>
    <d v="2023-10-21T00:00:00"/>
    <x v="1"/>
    <s v="Saket"/>
    <x v="6"/>
    <x v="13"/>
    <x v="0"/>
    <n v="48"/>
    <x v="12"/>
    <n v="52"/>
    <x v="793"/>
    <n v="110094400"/>
    <x v="2"/>
    <x v="1"/>
    <x v="0"/>
    <x v="3"/>
    <x v="9"/>
    <n v="10"/>
    <x v="9"/>
    <n v="2117200"/>
    <n v="11.01"/>
  </r>
  <r>
    <d v="2023-10-21T00:00:00"/>
    <x v="6"/>
    <s v="Rajkot"/>
    <x v="8"/>
    <x v="20"/>
    <x v="3"/>
    <n v="84"/>
    <x v="18"/>
    <n v="18"/>
    <x v="794"/>
    <n v="158275800"/>
    <x v="1"/>
    <x v="2"/>
    <x v="0"/>
    <x v="3"/>
    <x v="9"/>
    <n v="10"/>
    <x v="9"/>
    <n v="8793100"/>
    <n v="15.83"/>
  </r>
  <r>
    <d v="2023-10-21T00:00:00"/>
    <x v="4"/>
    <s v="Ludhiana"/>
    <x v="7"/>
    <x v="7"/>
    <x v="0"/>
    <n v="3"/>
    <x v="7"/>
    <n v="55"/>
    <x v="457"/>
    <n v="8965000"/>
    <x v="1"/>
    <x v="0"/>
    <x v="0"/>
    <x v="3"/>
    <x v="9"/>
    <n v="10"/>
    <x v="9"/>
    <n v="163000"/>
    <n v="0.9"/>
  </r>
  <r>
    <d v="2023-10-21T00:00:00"/>
    <x v="6"/>
    <s v="Surat"/>
    <x v="9"/>
    <x v="10"/>
    <x v="0"/>
    <n v="25"/>
    <x v="10"/>
    <n v="102"/>
    <x v="795"/>
    <n v="128163000"/>
    <x v="1"/>
    <x v="0"/>
    <x v="0"/>
    <x v="3"/>
    <x v="9"/>
    <n v="10"/>
    <x v="9"/>
    <n v="1256500"/>
    <n v="12.82"/>
  </r>
  <r>
    <d v="2023-10-21T00:00:00"/>
    <x v="8"/>
    <s v="Durgapur"/>
    <x v="6"/>
    <x v="13"/>
    <x v="2"/>
    <n v="48"/>
    <x v="12"/>
    <n v="77"/>
    <x v="796"/>
    <n v="163694300"/>
    <x v="1"/>
    <x v="0"/>
    <x v="0"/>
    <x v="3"/>
    <x v="9"/>
    <n v="10"/>
    <x v="9"/>
    <n v="2125900"/>
    <n v="16.37"/>
  </r>
  <r>
    <d v="2023-10-21T00:00:00"/>
    <x v="10"/>
    <s v="Thiruvananthapuram"/>
    <x v="4"/>
    <x v="4"/>
    <x v="0"/>
    <n v="77"/>
    <x v="4"/>
    <n v="38"/>
    <x v="797"/>
    <n v="215190200"/>
    <x v="1"/>
    <x v="0"/>
    <x v="0"/>
    <x v="3"/>
    <x v="9"/>
    <n v="10"/>
    <x v="9"/>
    <n v="5662900"/>
    <n v="21.52"/>
  </r>
  <r>
    <d v="2023-10-21T00:00:00"/>
    <x v="2"/>
    <s v="Noida"/>
    <x v="6"/>
    <x v="6"/>
    <x v="2"/>
    <n v="72"/>
    <x v="6"/>
    <n v="44"/>
    <x v="798"/>
    <n v="231250800"/>
    <x v="1"/>
    <x v="2"/>
    <x v="0"/>
    <x v="3"/>
    <x v="9"/>
    <n v="10"/>
    <x v="9"/>
    <n v="5255700"/>
    <n v="23.13"/>
  </r>
  <r>
    <d v="2023-10-22T00:00:00"/>
    <x v="6"/>
    <s v="Ahmedabad"/>
    <x v="8"/>
    <x v="20"/>
    <x v="0"/>
    <n v="84"/>
    <x v="18"/>
    <n v="57"/>
    <x v="799"/>
    <n v="404967900"/>
    <x v="0"/>
    <x v="0"/>
    <x v="0"/>
    <x v="3"/>
    <x v="9"/>
    <n v="10"/>
    <x v="9"/>
    <n v="7104700"/>
    <n v="40.5"/>
  </r>
  <r>
    <d v="2023-10-22T00:00:00"/>
    <x v="6"/>
    <s v="Vadodara"/>
    <x v="14"/>
    <x v="16"/>
    <x v="0"/>
    <n v="3"/>
    <x v="15"/>
    <n v="10"/>
    <x v="800"/>
    <n v="1311000"/>
    <x v="1"/>
    <x v="2"/>
    <x v="0"/>
    <x v="3"/>
    <x v="9"/>
    <n v="10"/>
    <x v="9"/>
    <n v="131100"/>
    <n v="0.13"/>
  </r>
  <r>
    <d v="2023-10-23T00:00:00"/>
    <x v="6"/>
    <s v="Ahmedabad"/>
    <x v="6"/>
    <x v="13"/>
    <x v="1"/>
    <n v="48"/>
    <x v="12"/>
    <n v="63"/>
    <x v="801"/>
    <n v="156063600"/>
    <x v="1"/>
    <x v="2"/>
    <x v="0"/>
    <x v="3"/>
    <x v="9"/>
    <n v="10"/>
    <x v="9"/>
    <n v="2477200"/>
    <n v="15.61"/>
  </r>
  <r>
    <d v="2023-10-24T00:00:00"/>
    <x v="6"/>
    <s v="Rajkot"/>
    <x v="10"/>
    <x v="11"/>
    <x v="0"/>
    <n v="69"/>
    <x v="11"/>
    <n v="51"/>
    <x v="802"/>
    <n v="247905900"/>
    <x v="0"/>
    <x v="0"/>
    <x v="0"/>
    <x v="3"/>
    <x v="9"/>
    <n v="10"/>
    <x v="9"/>
    <n v="4860900"/>
    <n v="24.79"/>
  </r>
  <r>
    <d v="2023-10-24T00:00:00"/>
    <x v="6"/>
    <s v="Surat"/>
    <x v="4"/>
    <x v="4"/>
    <x v="0"/>
    <n v="77"/>
    <x v="4"/>
    <n v="17"/>
    <x v="803"/>
    <n v="80500100"/>
    <x v="0"/>
    <x v="0"/>
    <x v="0"/>
    <x v="3"/>
    <x v="9"/>
    <n v="10"/>
    <x v="9"/>
    <n v="4735300"/>
    <n v="8.0500000000000007"/>
  </r>
  <r>
    <d v="2023-10-25T00:00:00"/>
    <x v="1"/>
    <s v="Rohini"/>
    <x v="10"/>
    <x v="11"/>
    <x v="1"/>
    <n v="69"/>
    <x v="11"/>
    <n v="34"/>
    <x v="804"/>
    <n v="209402600"/>
    <x v="0"/>
    <x v="2"/>
    <x v="0"/>
    <x v="3"/>
    <x v="9"/>
    <n v="10"/>
    <x v="9"/>
    <n v="6158900"/>
    <n v="20.94"/>
  </r>
  <r>
    <d v="2023-10-25T00:00:00"/>
    <x v="12"/>
    <s v="Gurugram"/>
    <x v="5"/>
    <x v="5"/>
    <x v="0"/>
    <n v="30"/>
    <x v="5"/>
    <n v="39"/>
    <x v="805"/>
    <n v="63113700"/>
    <x v="1"/>
    <x v="0"/>
    <x v="0"/>
    <x v="3"/>
    <x v="9"/>
    <n v="10"/>
    <x v="9"/>
    <n v="1618300"/>
    <n v="6.31"/>
  </r>
  <r>
    <d v="2023-10-25T00:00:00"/>
    <x v="2"/>
    <s v="Ghaziabad"/>
    <x v="7"/>
    <x v="7"/>
    <x v="0"/>
    <n v="3"/>
    <x v="7"/>
    <n v="114"/>
    <x v="806"/>
    <n v="17704200"/>
    <x v="0"/>
    <x v="0"/>
    <x v="0"/>
    <x v="3"/>
    <x v="9"/>
    <n v="10"/>
    <x v="9"/>
    <n v="155300"/>
    <n v="1.77"/>
  </r>
  <r>
    <d v="2023-10-26T00:00:00"/>
    <x v="5"/>
    <s v="Mysuru"/>
    <x v="2"/>
    <x v="2"/>
    <x v="0"/>
    <n v="66"/>
    <x v="2"/>
    <n v="52"/>
    <x v="807"/>
    <n v="408288400"/>
    <x v="0"/>
    <x v="2"/>
    <x v="0"/>
    <x v="3"/>
    <x v="9"/>
    <n v="10"/>
    <x v="9"/>
    <n v="7851700"/>
    <n v="40.83"/>
  </r>
  <r>
    <d v="2023-10-27T00:00:00"/>
    <x v="10"/>
    <s v="Kozhikode"/>
    <x v="6"/>
    <x v="13"/>
    <x v="1"/>
    <n v="48"/>
    <x v="12"/>
    <n v="33"/>
    <x v="808"/>
    <n v="67062600"/>
    <x v="2"/>
    <x v="0"/>
    <x v="0"/>
    <x v="3"/>
    <x v="9"/>
    <n v="10"/>
    <x v="9"/>
    <n v="2032200"/>
    <n v="6.71"/>
  </r>
  <r>
    <d v="2023-10-27T00:00:00"/>
    <x v="1"/>
    <s v="Saket"/>
    <x v="8"/>
    <x v="20"/>
    <x v="1"/>
    <n v="84"/>
    <x v="18"/>
    <n v="61"/>
    <x v="809"/>
    <n v="472865900"/>
    <x v="1"/>
    <x v="0"/>
    <x v="0"/>
    <x v="3"/>
    <x v="9"/>
    <n v="10"/>
    <x v="9"/>
    <n v="7751900"/>
    <n v="47.29"/>
  </r>
  <r>
    <d v="2023-10-27T00:00:00"/>
    <x v="3"/>
    <s v="Pune"/>
    <x v="7"/>
    <x v="7"/>
    <x v="0"/>
    <n v="3"/>
    <x v="7"/>
    <n v="54"/>
    <x v="810"/>
    <n v="9277200"/>
    <x v="1"/>
    <x v="0"/>
    <x v="0"/>
    <x v="3"/>
    <x v="9"/>
    <n v="10"/>
    <x v="9"/>
    <n v="171800"/>
    <n v="0.93"/>
  </r>
  <r>
    <d v="2023-10-28T00:00:00"/>
    <x v="4"/>
    <s v="Amritsar"/>
    <x v="6"/>
    <x v="6"/>
    <x v="0"/>
    <n v="72"/>
    <x v="6"/>
    <n v="119"/>
    <x v="811"/>
    <n v="610124900"/>
    <x v="0"/>
    <x v="2"/>
    <x v="0"/>
    <x v="3"/>
    <x v="9"/>
    <n v="10"/>
    <x v="9"/>
    <n v="5127100"/>
    <n v="61.01"/>
  </r>
  <r>
    <d v="2023-10-28T00:00:00"/>
    <x v="1"/>
    <s v="Dwarka"/>
    <x v="5"/>
    <x v="5"/>
    <x v="0"/>
    <n v="30"/>
    <x v="5"/>
    <n v="13"/>
    <x v="812"/>
    <n v="18599100"/>
    <x v="1"/>
    <x v="2"/>
    <x v="0"/>
    <x v="3"/>
    <x v="9"/>
    <n v="10"/>
    <x v="9"/>
    <n v="1430700"/>
    <n v="1.86"/>
  </r>
  <r>
    <d v="2023-10-28T00:00:00"/>
    <x v="14"/>
    <s v="Udaipur"/>
    <x v="15"/>
    <x v="17"/>
    <x v="0"/>
    <n v="5"/>
    <x v="15"/>
    <n v="17"/>
    <x v="813"/>
    <n v="3078700"/>
    <x v="0"/>
    <x v="0"/>
    <x v="0"/>
    <x v="3"/>
    <x v="9"/>
    <n v="10"/>
    <x v="9"/>
    <n v="181100"/>
    <n v="0.31"/>
  </r>
  <r>
    <d v="2023-10-29T00:00:00"/>
    <x v="3"/>
    <s v="Pune"/>
    <x v="11"/>
    <x v="23"/>
    <x v="2"/>
    <n v="59"/>
    <x v="20"/>
    <n v="90"/>
    <x v="814"/>
    <n v="253323000"/>
    <x v="1"/>
    <x v="0"/>
    <x v="0"/>
    <x v="3"/>
    <x v="9"/>
    <n v="10"/>
    <x v="9"/>
    <n v="2814700"/>
    <n v="25.33"/>
  </r>
  <r>
    <d v="2023-10-29T00:00:00"/>
    <x v="7"/>
    <s v="Tirupati"/>
    <x v="4"/>
    <x v="4"/>
    <x v="0"/>
    <n v="77"/>
    <x v="4"/>
    <n v="34"/>
    <x v="815"/>
    <n v="180676000"/>
    <x v="1"/>
    <x v="3"/>
    <x v="0"/>
    <x v="3"/>
    <x v="9"/>
    <n v="10"/>
    <x v="9"/>
    <n v="5314000"/>
    <n v="18.07"/>
  </r>
  <r>
    <d v="2023-10-29T00:00:00"/>
    <x v="14"/>
    <s v="Kota"/>
    <x v="8"/>
    <x v="8"/>
    <x v="0"/>
    <n v="66"/>
    <x v="8"/>
    <n v="77"/>
    <x v="816"/>
    <n v="491344700"/>
    <x v="1"/>
    <x v="2"/>
    <x v="0"/>
    <x v="3"/>
    <x v="9"/>
    <n v="10"/>
    <x v="9"/>
    <n v="6381100"/>
    <n v="49.13"/>
  </r>
  <r>
    <d v="2023-10-29T00:00:00"/>
    <x v="12"/>
    <s v="Panipat"/>
    <x v="2"/>
    <x v="2"/>
    <x v="0"/>
    <n v="66"/>
    <x v="2"/>
    <n v="7"/>
    <x v="817"/>
    <n v="50958600"/>
    <x v="1"/>
    <x v="0"/>
    <x v="0"/>
    <x v="3"/>
    <x v="9"/>
    <n v="10"/>
    <x v="9"/>
    <n v="7279800"/>
    <n v="5.0999999999999996"/>
  </r>
  <r>
    <d v="2023-10-30T00:00:00"/>
    <x v="11"/>
    <s v="Madurai"/>
    <x v="0"/>
    <x v="0"/>
    <x v="0"/>
    <n v="82"/>
    <x v="0"/>
    <n v="56"/>
    <x v="818"/>
    <n v="337036000"/>
    <x v="1"/>
    <x v="0"/>
    <x v="0"/>
    <x v="3"/>
    <x v="9"/>
    <n v="10"/>
    <x v="9"/>
    <n v="6018500"/>
    <n v="33.700000000000003"/>
  </r>
  <r>
    <d v="2023-10-30T00:00:00"/>
    <x v="1"/>
    <s v="Saket"/>
    <x v="2"/>
    <x v="2"/>
    <x v="2"/>
    <n v="66"/>
    <x v="2"/>
    <n v="54"/>
    <x v="819"/>
    <n v="412797600"/>
    <x v="1"/>
    <x v="0"/>
    <x v="0"/>
    <x v="3"/>
    <x v="9"/>
    <n v="10"/>
    <x v="9"/>
    <n v="7644400"/>
    <n v="41.28"/>
  </r>
  <r>
    <d v="2023-10-31T00:00:00"/>
    <x v="13"/>
    <s v="Gwalior"/>
    <x v="13"/>
    <x v="15"/>
    <x v="1"/>
    <n v="40"/>
    <x v="14"/>
    <n v="106"/>
    <x v="820"/>
    <n v="248411000"/>
    <x v="1"/>
    <x v="0"/>
    <x v="0"/>
    <x v="3"/>
    <x v="9"/>
    <n v="10"/>
    <x v="9"/>
    <n v="2343500"/>
    <n v="24.84"/>
  </r>
  <r>
    <d v="2023-10-31T00:00:00"/>
    <x v="12"/>
    <s v="Hisar"/>
    <x v="15"/>
    <x v="17"/>
    <x v="0"/>
    <n v="5"/>
    <x v="15"/>
    <n v="139"/>
    <x v="821"/>
    <n v="22226100"/>
    <x v="1"/>
    <x v="2"/>
    <x v="0"/>
    <x v="3"/>
    <x v="9"/>
    <n v="10"/>
    <x v="9"/>
    <n v="159900"/>
    <n v="2.2200000000000002"/>
  </r>
  <r>
    <d v="2023-10-31T00:00:00"/>
    <x v="0"/>
    <s v="Warangal"/>
    <x v="9"/>
    <x v="10"/>
    <x v="2"/>
    <n v="25"/>
    <x v="10"/>
    <n v="57"/>
    <x v="822"/>
    <n v="58960800"/>
    <x v="1"/>
    <x v="0"/>
    <x v="0"/>
    <x v="3"/>
    <x v="9"/>
    <n v="10"/>
    <x v="9"/>
    <n v="1034400"/>
    <n v="5.9"/>
  </r>
  <r>
    <d v="2023-10-31T00:00:00"/>
    <x v="0"/>
    <s v="Hyderabad"/>
    <x v="11"/>
    <x v="23"/>
    <x v="0"/>
    <n v="59"/>
    <x v="20"/>
    <n v="128"/>
    <x v="823"/>
    <n v="321459200"/>
    <x v="0"/>
    <x v="0"/>
    <x v="0"/>
    <x v="3"/>
    <x v="9"/>
    <n v="10"/>
    <x v="9"/>
    <n v="2511400"/>
    <n v="32.15"/>
  </r>
  <r>
    <d v="2023-10-31T00:00:00"/>
    <x v="12"/>
    <s v="Faridabad"/>
    <x v="0"/>
    <x v="0"/>
    <x v="0"/>
    <n v="82"/>
    <x v="0"/>
    <n v="79"/>
    <x v="824"/>
    <n v="580499900"/>
    <x v="1"/>
    <x v="0"/>
    <x v="0"/>
    <x v="3"/>
    <x v="9"/>
    <n v="10"/>
    <x v="9"/>
    <n v="7348100"/>
    <n v="58.05"/>
  </r>
  <r>
    <d v="2023-11-01T00:00:00"/>
    <x v="10"/>
    <s v="Thiruvananthapuram"/>
    <x v="15"/>
    <x v="17"/>
    <x v="0"/>
    <n v="5"/>
    <x v="15"/>
    <n v="120"/>
    <x v="825"/>
    <n v="19476000"/>
    <x v="0"/>
    <x v="0"/>
    <x v="0"/>
    <x v="3"/>
    <x v="10"/>
    <n v="11"/>
    <x v="10"/>
    <n v="162300"/>
    <n v="1.95"/>
  </r>
  <r>
    <d v="2023-11-01T00:00:00"/>
    <x v="4"/>
    <s v="Ludhiana"/>
    <x v="3"/>
    <x v="3"/>
    <x v="0"/>
    <n v="3"/>
    <x v="3"/>
    <n v="143"/>
    <x v="826"/>
    <n v="18346900"/>
    <x v="1"/>
    <x v="2"/>
    <x v="0"/>
    <x v="3"/>
    <x v="10"/>
    <n v="11"/>
    <x v="10"/>
    <n v="128300"/>
    <n v="1.83"/>
  </r>
  <r>
    <d v="2023-11-02T00:00:00"/>
    <x v="1"/>
    <s v="Rohini"/>
    <x v="13"/>
    <x v="22"/>
    <x v="3"/>
    <n v="35"/>
    <x v="10"/>
    <n v="87"/>
    <x v="827"/>
    <n v="178706700"/>
    <x v="1"/>
    <x v="0"/>
    <x v="0"/>
    <x v="3"/>
    <x v="10"/>
    <n v="11"/>
    <x v="10"/>
    <n v="2054100"/>
    <n v="17.87"/>
  </r>
  <r>
    <d v="2023-11-02T00:00:00"/>
    <x v="0"/>
    <s v="Warangal"/>
    <x v="7"/>
    <x v="7"/>
    <x v="0"/>
    <n v="3"/>
    <x v="7"/>
    <n v="61"/>
    <x v="828"/>
    <n v="10229700"/>
    <x v="1"/>
    <x v="0"/>
    <x v="0"/>
    <x v="3"/>
    <x v="10"/>
    <n v="11"/>
    <x v="10"/>
    <n v="167700"/>
    <n v="1.02"/>
  </r>
  <r>
    <d v="2023-11-03T00:00:00"/>
    <x v="5"/>
    <s v="Bengaluru"/>
    <x v="5"/>
    <x v="5"/>
    <x v="0"/>
    <n v="30"/>
    <x v="5"/>
    <n v="60"/>
    <x v="829"/>
    <n v="79944000"/>
    <x v="2"/>
    <x v="3"/>
    <x v="0"/>
    <x v="3"/>
    <x v="10"/>
    <n v="11"/>
    <x v="10"/>
    <n v="1332400"/>
    <n v="7.99"/>
  </r>
  <r>
    <d v="2023-11-03T00:00:00"/>
    <x v="2"/>
    <s v="Kanpur"/>
    <x v="7"/>
    <x v="7"/>
    <x v="0"/>
    <n v="3"/>
    <x v="7"/>
    <n v="30"/>
    <x v="830"/>
    <n v="4887000"/>
    <x v="1"/>
    <x v="1"/>
    <x v="0"/>
    <x v="3"/>
    <x v="10"/>
    <n v="11"/>
    <x v="10"/>
    <n v="162900"/>
    <n v="0.49"/>
  </r>
  <r>
    <d v="2023-11-03T00:00:00"/>
    <x v="0"/>
    <s v="Nizamabad"/>
    <x v="2"/>
    <x v="2"/>
    <x v="0"/>
    <n v="66"/>
    <x v="2"/>
    <n v="10"/>
    <x v="831"/>
    <n v="85887000"/>
    <x v="1"/>
    <x v="0"/>
    <x v="0"/>
    <x v="3"/>
    <x v="10"/>
    <n v="11"/>
    <x v="10"/>
    <n v="8588700"/>
    <n v="8.59"/>
  </r>
  <r>
    <d v="2023-11-04T00:00:00"/>
    <x v="2"/>
    <s v="Noida"/>
    <x v="1"/>
    <x v="1"/>
    <x v="0"/>
    <n v="4"/>
    <x v="1"/>
    <n v="152"/>
    <x v="832"/>
    <n v="23453600"/>
    <x v="1"/>
    <x v="1"/>
    <x v="0"/>
    <x v="3"/>
    <x v="10"/>
    <n v="11"/>
    <x v="10"/>
    <n v="154300"/>
    <n v="2.35"/>
  </r>
  <r>
    <d v="2023-11-04T00:00:00"/>
    <x v="8"/>
    <s v="Kolkata"/>
    <x v="4"/>
    <x v="4"/>
    <x v="2"/>
    <n v="77"/>
    <x v="4"/>
    <n v="48"/>
    <x v="833"/>
    <n v="254260800"/>
    <x v="1"/>
    <x v="0"/>
    <x v="0"/>
    <x v="3"/>
    <x v="10"/>
    <n v="11"/>
    <x v="10"/>
    <n v="5297100"/>
    <n v="25.43"/>
  </r>
  <r>
    <d v="2023-11-04T00:00:00"/>
    <x v="2"/>
    <s v="Kanpur"/>
    <x v="9"/>
    <x v="9"/>
    <x v="0"/>
    <n v="50"/>
    <x v="9"/>
    <n v="47"/>
    <x v="834"/>
    <n v="103033400"/>
    <x v="1"/>
    <x v="0"/>
    <x v="0"/>
    <x v="3"/>
    <x v="10"/>
    <n v="11"/>
    <x v="10"/>
    <n v="2192200"/>
    <n v="10.3"/>
  </r>
  <r>
    <d v="2023-11-04T00:00:00"/>
    <x v="12"/>
    <s v="Panipat"/>
    <x v="10"/>
    <x v="11"/>
    <x v="0"/>
    <n v="69"/>
    <x v="11"/>
    <n v="32"/>
    <x v="835"/>
    <n v="196428800"/>
    <x v="1"/>
    <x v="0"/>
    <x v="0"/>
    <x v="3"/>
    <x v="10"/>
    <n v="11"/>
    <x v="10"/>
    <n v="6138400"/>
    <n v="19.64"/>
  </r>
  <r>
    <d v="2023-11-05T00:00:00"/>
    <x v="0"/>
    <s v="Hyderabad"/>
    <x v="15"/>
    <x v="17"/>
    <x v="0"/>
    <n v="5"/>
    <x v="15"/>
    <n v="29"/>
    <x v="836"/>
    <n v="4289100"/>
    <x v="0"/>
    <x v="0"/>
    <x v="0"/>
    <x v="3"/>
    <x v="10"/>
    <n v="11"/>
    <x v="10"/>
    <n v="147900"/>
    <n v="0.43"/>
  </r>
  <r>
    <d v="2023-11-05T00:00:00"/>
    <x v="14"/>
    <s v="Jodhpur"/>
    <x v="12"/>
    <x v="14"/>
    <x v="0"/>
    <n v="82"/>
    <x v="13"/>
    <n v="38"/>
    <x v="837"/>
    <n v="187632600"/>
    <x v="1"/>
    <x v="0"/>
    <x v="0"/>
    <x v="3"/>
    <x v="10"/>
    <n v="11"/>
    <x v="10"/>
    <n v="4937700"/>
    <n v="18.760000000000002"/>
  </r>
  <r>
    <d v="2023-11-06T00:00:00"/>
    <x v="2"/>
    <s v="Lucknow"/>
    <x v="8"/>
    <x v="8"/>
    <x v="0"/>
    <n v="66"/>
    <x v="8"/>
    <n v="67"/>
    <x v="838"/>
    <n v="410482200"/>
    <x v="1"/>
    <x v="0"/>
    <x v="0"/>
    <x v="3"/>
    <x v="10"/>
    <n v="11"/>
    <x v="10"/>
    <n v="6126600"/>
    <n v="41.05"/>
  </r>
  <r>
    <d v="2023-11-07T00:00:00"/>
    <x v="5"/>
    <s v="Hubballi"/>
    <x v="11"/>
    <x v="12"/>
    <x v="0"/>
    <n v="40"/>
    <x v="12"/>
    <n v="161"/>
    <x v="839"/>
    <n v="362652500"/>
    <x v="1"/>
    <x v="0"/>
    <x v="0"/>
    <x v="3"/>
    <x v="10"/>
    <n v="11"/>
    <x v="10"/>
    <n v="2252500"/>
    <n v="36.270000000000003"/>
  </r>
  <r>
    <d v="2023-11-07T00:00:00"/>
    <x v="5"/>
    <s v="Mysuru"/>
    <x v="9"/>
    <x v="10"/>
    <x v="0"/>
    <n v="25"/>
    <x v="10"/>
    <n v="54"/>
    <x v="840"/>
    <n v="61187400"/>
    <x v="0"/>
    <x v="2"/>
    <x v="0"/>
    <x v="3"/>
    <x v="10"/>
    <n v="11"/>
    <x v="10"/>
    <n v="1133100"/>
    <n v="6.12"/>
  </r>
  <r>
    <d v="2023-11-07T00:00:00"/>
    <x v="3"/>
    <s v="Pune"/>
    <x v="1"/>
    <x v="21"/>
    <x v="0"/>
    <n v="3"/>
    <x v="19"/>
    <n v="61"/>
    <x v="841"/>
    <n v="5636400"/>
    <x v="1"/>
    <x v="2"/>
    <x v="0"/>
    <x v="3"/>
    <x v="10"/>
    <n v="11"/>
    <x v="10"/>
    <n v="92400"/>
    <n v="0.56000000000000005"/>
  </r>
  <r>
    <d v="2023-11-07T00:00:00"/>
    <x v="2"/>
    <s v="Noida"/>
    <x v="9"/>
    <x v="9"/>
    <x v="0"/>
    <n v="50"/>
    <x v="9"/>
    <n v="141"/>
    <x v="842"/>
    <n v="320182800"/>
    <x v="0"/>
    <x v="2"/>
    <x v="0"/>
    <x v="3"/>
    <x v="10"/>
    <n v="11"/>
    <x v="10"/>
    <n v="2270800"/>
    <n v="32.020000000000003"/>
  </r>
  <r>
    <d v="2023-11-08T00:00:00"/>
    <x v="8"/>
    <s v="Asansol"/>
    <x v="3"/>
    <x v="3"/>
    <x v="0"/>
    <n v="3"/>
    <x v="3"/>
    <n v="45"/>
    <x v="352"/>
    <n v="4963500"/>
    <x v="1"/>
    <x v="0"/>
    <x v="0"/>
    <x v="3"/>
    <x v="10"/>
    <n v="11"/>
    <x v="10"/>
    <n v="110300"/>
    <n v="0.5"/>
  </r>
  <r>
    <d v="2023-11-08T00:00:00"/>
    <x v="5"/>
    <s v="Mysuru"/>
    <x v="6"/>
    <x v="13"/>
    <x v="0"/>
    <n v="48"/>
    <x v="12"/>
    <n v="90"/>
    <x v="843"/>
    <n v="189882000"/>
    <x v="1"/>
    <x v="2"/>
    <x v="0"/>
    <x v="3"/>
    <x v="10"/>
    <n v="11"/>
    <x v="10"/>
    <n v="2109800"/>
    <n v="18.989999999999998"/>
  </r>
  <r>
    <d v="2023-11-09T00:00:00"/>
    <x v="8"/>
    <s v="Asansol"/>
    <x v="8"/>
    <x v="20"/>
    <x v="0"/>
    <n v="84"/>
    <x v="18"/>
    <n v="69"/>
    <x v="844"/>
    <n v="555429300"/>
    <x v="0"/>
    <x v="3"/>
    <x v="0"/>
    <x v="3"/>
    <x v="10"/>
    <n v="11"/>
    <x v="10"/>
    <n v="8049700"/>
    <n v="55.54"/>
  </r>
  <r>
    <d v="2023-11-09T00:00:00"/>
    <x v="12"/>
    <s v="Gurugram"/>
    <x v="4"/>
    <x v="4"/>
    <x v="0"/>
    <n v="77"/>
    <x v="4"/>
    <n v="74"/>
    <x v="845"/>
    <n v="381736400"/>
    <x v="1"/>
    <x v="0"/>
    <x v="0"/>
    <x v="3"/>
    <x v="10"/>
    <n v="11"/>
    <x v="10"/>
    <n v="5158600"/>
    <n v="38.17"/>
  </r>
  <r>
    <d v="2023-11-09T00:00:00"/>
    <x v="10"/>
    <s v="Thiruvananthapuram"/>
    <x v="4"/>
    <x v="4"/>
    <x v="0"/>
    <n v="77"/>
    <x v="4"/>
    <n v="46"/>
    <x v="846"/>
    <n v="235768400"/>
    <x v="1"/>
    <x v="2"/>
    <x v="0"/>
    <x v="3"/>
    <x v="10"/>
    <n v="11"/>
    <x v="10"/>
    <n v="5125400"/>
    <n v="23.58"/>
  </r>
  <r>
    <d v="2023-11-09T00:00:00"/>
    <x v="5"/>
    <s v="Bengaluru"/>
    <x v="2"/>
    <x v="2"/>
    <x v="0"/>
    <n v="66"/>
    <x v="2"/>
    <n v="74"/>
    <x v="847"/>
    <n v="552831800"/>
    <x v="1"/>
    <x v="1"/>
    <x v="0"/>
    <x v="3"/>
    <x v="10"/>
    <n v="11"/>
    <x v="10"/>
    <n v="7470700"/>
    <n v="55.28"/>
  </r>
  <r>
    <d v="2023-11-10T00:00:00"/>
    <x v="10"/>
    <s v="Kochi"/>
    <x v="13"/>
    <x v="22"/>
    <x v="1"/>
    <n v="35"/>
    <x v="10"/>
    <n v="63"/>
    <x v="848"/>
    <n v="131896800"/>
    <x v="1"/>
    <x v="0"/>
    <x v="0"/>
    <x v="3"/>
    <x v="10"/>
    <n v="11"/>
    <x v="10"/>
    <n v="2093600"/>
    <n v="13.19"/>
  </r>
  <r>
    <d v="2023-11-10T00:00:00"/>
    <x v="7"/>
    <s v="Visakhapatnam"/>
    <x v="12"/>
    <x v="18"/>
    <x v="3"/>
    <n v="60"/>
    <x v="16"/>
    <n v="39"/>
    <x v="849"/>
    <n v="137482800"/>
    <x v="1"/>
    <x v="0"/>
    <x v="0"/>
    <x v="3"/>
    <x v="10"/>
    <n v="11"/>
    <x v="10"/>
    <n v="3525200"/>
    <n v="13.75"/>
  </r>
  <r>
    <d v="2023-11-11T00:00:00"/>
    <x v="4"/>
    <s v="Jalandhar"/>
    <x v="5"/>
    <x v="5"/>
    <x v="0"/>
    <n v="30"/>
    <x v="5"/>
    <n v="12"/>
    <x v="850"/>
    <n v="18348000"/>
    <x v="1"/>
    <x v="1"/>
    <x v="0"/>
    <x v="3"/>
    <x v="10"/>
    <n v="11"/>
    <x v="10"/>
    <n v="1529000"/>
    <n v="1.83"/>
  </r>
  <r>
    <d v="2023-11-12T00:00:00"/>
    <x v="14"/>
    <s v="Kota"/>
    <x v="6"/>
    <x v="6"/>
    <x v="0"/>
    <n v="72"/>
    <x v="6"/>
    <n v="80"/>
    <x v="851"/>
    <n v="414064000"/>
    <x v="0"/>
    <x v="2"/>
    <x v="0"/>
    <x v="3"/>
    <x v="10"/>
    <n v="11"/>
    <x v="10"/>
    <n v="5175800"/>
    <n v="41.41"/>
  </r>
  <r>
    <d v="2023-11-12T00:00:00"/>
    <x v="7"/>
    <s v="Visakhapatnam"/>
    <x v="5"/>
    <x v="5"/>
    <x v="1"/>
    <n v="30"/>
    <x v="5"/>
    <n v="34"/>
    <x v="852"/>
    <n v="45543000"/>
    <x v="1"/>
    <x v="2"/>
    <x v="0"/>
    <x v="3"/>
    <x v="10"/>
    <n v="11"/>
    <x v="10"/>
    <n v="1339500"/>
    <n v="4.55"/>
  </r>
  <r>
    <d v="2023-11-13T00:00:00"/>
    <x v="6"/>
    <s v="Vadodara"/>
    <x v="6"/>
    <x v="13"/>
    <x v="1"/>
    <n v="48"/>
    <x v="12"/>
    <n v="93"/>
    <x v="853"/>
    <n v="206850600"/>
    <x v="1"/>
    <x v="0"/>
    <x v="0"/>
    <x v="3"/>
    <x v="10"/>
    <n v="11"/>
    <x v="10"/>
    <n v="2224200"/>
    <n v="20.69"/>
  </r>
  <r>
    <d v="2023-11-13T00:00:00"/>
    <x v="5"/>
    <s v="Hubballi"/>
    <x v="9"/>
    <x v="9"/>
    <x v="0"/>
    <n v="50"/>
    <x v="9"/>
    <n v="68"/>
    <x v="854"/>
    <n v="166892400"/>
    <x v="2"/>
    <x v="0"/>
    <x v="0"/>
    <x v="3"/>
    <x v="10"/>
    <n v="11"/>
    <x v="10"/>
    <n v="2454300"/>
    <n v="16.690000000000001"/>
  </r>
  <r>
    <d v="2023-11-13T00:00:00"/>
    <x v="6"/>
    <s v="Ahmedabad"/>
    <x v="5"/>
    <x v="5"/>
    <x v="0"/>
    <n v="30"/>
    <x v="5"/>
    <n v="75"/>
    <x v="855"/>
    <n v="120682500"/>
    <x v="1"/>
    <x v="0"/>
    <x v="0"/>
    <x v="3"/>
    <x v="10"/>
    <n v="11"/>
    <x v="10"/>
    <n v="1609100"/>
    <n v="12.07"/>
  </r>
  <r>
    <d v="2023-11-13T00:00:00"/>
    <x v="2"/>
    <s v="Kanpur"/>
    <x v="2"/>
    <x v="2"/>
    <x v="1"/>
    <n v="66"/>
    <x v="2"/>
    <n v="61"/>
    <x v="856"/>
    <n v="475714600"/>
    <x v="1"/>
    <x v="0"/>
    <x v="0"/>
    <x v="3"/>
    <x v="10"/>
    <n v="11"/>
    <x v="10"/>
    <n v="7798600"/>
    <n v="47.57"/>
  </r>
  <r>
    <d v="2023-11-14T00:00:00"/>
    <x v="5"/>
    <s v="Hubballi"/>
    <x v="13"/>
    <x v="15"/>
    <x v="0"/>
    <n v="40"/>
    <x v="14"/>
    <n v="117"/>
    <x v="857"/>
    <n v="242856900"/>
    <x v="0"/>
    <x v="2"/>
    <x v="0"/>
    <x v="3"/>
    <x v="10"/>
    <n v="11"/>
    <x v="10"/>
    <n v="2075700"/>
    <n v="24.29"/>
  </r>
  <r>
    <d v="2023-11-14T00:00:00"/>
    <x v="14"/>
    <s v="Jodhpur"/>
    <x v="3"/>
    <x v="3"/>
    <x v="0"/>
    <n v="3"/>
    <x v="3"/>
    <n v="34"/>
    <x v="858"/>
    <n v="4290800"/>
    <x v="1"/>
    <x v="2"/>
    <x v="0"/>
    <x v="3"/>
    <x v="10"/>
    <n v="11"/>
    <x v="10"/>
    <n v="126200"/>
    <n v="0.43"/>
  </r>
  <r>
    <d v="2023-11-16T00:00:00"/>
    <x v="5"/>
    <s v="Bengaluru"/>
    <x v="8"/>
    <x v="20"/>
    <x v="1"/>
    <n v="84"/>
    <x v="18"/>
    <n v="27"/>
    <x v="859"/>
    <n v="183678300"/>
    <x v="1"/>
    <x v="0"/>
    <x v="0"/>
    <x v="3"/>
    <x v="10"/>
    <n v="11"/>
    <x v="10"/>
    <n v="6802900"/>
    <n v="18.37"/>
  </r>
  <r>
    <d v="2023-11-16T00:00:00"/>
    <x v="5"/>
    <s v="Mangaluru"/>
    <x v="0"/>
    <x v="0"/>
    <x v="1"/>
    <n v="82"/>
    <x v="0"/>
    <n v="43"/>
    <x v="860"/>
    <n v="319902800"/>
    <x v="1"/>
    <x v="0"/>
    <x v="0"/>
    <x v="3"/>
    <x v="10"/>
    <n v="11"/>
    <x v="10"/>
    <n v="7439600"/>
    <n v="31.99"/>
  </r>
  <r>
    <d v="2023-11-16T00:00:00"/>
    <x v="5"/>
    <s v="Mangaluru"/>
    <x v="7"/>
    <x v="7"/>
    <x v="0"/>
    <n v="3"/>
    <x v="7"/>
    <n v="165"/>
    <x v="176"/>
    <n v="23677500"/>
    <x v="1"/>
    <x v="0"/>
    <x v="0"/>
    <x v="3"/>
    <x v="10"/>
    <n v="11"/>
    <x v="10"/>
    <n v="143500"/>
    <n v="2.37"/>
  </r>
  <r>
    <d v="2023-11-17T00:00:00"/>
    <x v="8"/>
    <s v="Asansol"/>
    <x v="0"/>
    <x v="0"/>
    <x v="1"/>
    <n v="82"/>
    <x v="0"/>
    <n v="20"/>
    <x v="861"/>
    <n v="122674000"/>
    <x v="0"/>
    <x v="2"/>
    <x v="0"/>
    <x v="3"/>
    <x v="10"/>
    <n v="11"/>
    <x v="10"/>
    <n v="6133700"/>
    <n v="12.27"/>
  </r>
  <r>
    <d v="2023-11-18T00:00:00"/>
    <x v="11"/>
    <s v="Coimbatore"/>
    <x v="4"/>
    <x v="4"/>
    <x v="1"/>
    <n v="77"/>
    <x v="4"/>
    <n v="11"/>
    <x v="862"/>
    <n v="50012600"/>
    <x v="1"/>
    <x v="0"/>
    <x v="0"/>
    <x v="3"/>
    <x v="10"/>
    <n v="11"/>
    <x v="10"/>
    <n v="4546600"/>
    <n v="5"/>
  </r>
  <r>
    <d v="2023-11-18T00:00:00"/>
    <x v="10"/>
    <s v="Thiruvananthapuram"/>
    <x v="7"/>
    <x v="7"/>
    <x v="0"/>
    <n v="3"/>
    <x v="7"/>
    <n v="171"/>
    <x v="863"/>
    <n v="28847700"/>
    <x v="0"/>
    <x v="0"/>
    <x v="0"/>
    <x v="3"/>
    <x v="10"/>
    <n v="11"/>
    <x v="10"/>
    <n v="168700"/>
    <n v="2.88"/>
  </r>
  <r>
    <d v="2023-11-18T00:00:00"/>
    <x v="11"/>
    <s v="Coimbatore"/>
    <x v="0"/>
    <x v="0"/>
    <x v="0"/>
    <n v="82"/>
    <x v="0"/>
    <n v="29"/>
    <x v="864"/>
    <n v="173733200"/>
    <x v="1"/>
    <x v="0"/>
    <x v="0"/>
    <x v="3"/>
    <x v="10"/>
    <n v="11"/>
    <x v="10"/>
    <n v="5990800"/>
    <n v="17.37"/>
  </r>
  <r>
    <d v="2023-11-18T00:00:00"/>
    <x v="1"/>
    <s v="Saket"/>
    <x v="5"/>
    <x v="5"/>
    <x v="1"/>
    <n v="30"/>
    <x v="5"/>
    <n v="16"/>
    <x v="865"/>
    <n v="26017600"/>
    <x v="2"/>
    <x v="2"/>
    <x v="0"/>
    <x v="3"/>
    <x v="10"/>
    <n v="11"/>
    <x v="10"/>
    <n v="1626100"/>
    <n v="2.6"/>
  </r>
  <r>
    <d v="2023-11-19T00:00:00"/>
    <x v="13"/>
    <s v="Indore"/>
    <x v="0"/>
    <x v="0"/>
    <x v="0"/>
    <n v="82"/>
    <x v="0"/>
    <n v="24"/>
    <x v="866"/>
    <n v="160020000"/>
    <x v="0"/>
    <x v="0"/>
    <x v="0"/>
    <x v="3"/>
    <x v="10"/>
    <n v="11"/>
    <x v="10"/>
    <n v="6667500"/>
    <n v="16"/>
  </r>
  <r>
    <d v="2023-11-19T00:00:00"/>
    <x v="5"/>
    <s v="Hubballi"/>
    <x v="4"/>
    <x v="4"/>
    <x v="0"/>
    <n v="77"/>
    <x v="4"/>
    <n v="42"/>
    <x v="867"/>
    <n v="229605600"/>
    <x v="1"/>
    <x v="0"/>
    <x v="0"/>
    <x v="3"/>
    <x v="10"/>
    <n v="11"/>
    <x v="10"/>
    <n v="5466800"/>
    <n v="22.96"/>
  </r>
  <r>
    <d v="2023-11-20T00:00:00"/>
    <x v="1"/>
    <s v="New Delhi"/>
    <x v="1"/>
    <x v="21"/>
    <x v="0"/>
    <n v="3"/>
    <x v="19"/>
    <n v="60"/>
    <x v="868"/>
    <n v="6738000"/>
    <x v="0"/>
    <x v="0"/>
    <x v="0"/>
    <x v="3"/>
    <x v="10"/>
    <n v="11"/>
    <x v="10"/>
    <n v="112300"/>
    <n v="0.67"/>
  </r>
  <r>
    <d v="2023-11-20T00:00:00"/>
    <x v="12"/>
    <s v="Panipat"/>
    <x v="4"/>
    <x v="4"/>
    <x v="2"/>
    <n v="77"/>
    <x v="4"/>
    <n v="21"/>
    <x v="869"/>
    <n v="101289300"/>
    <x v="0"/>
    <x v="2"/>
    <x v="0"/>
    <x v="3"/>
    <x v="10"/>
    <n v="11"/>
    <x v="10"/>
    <n v="4823300"/>
    <n v="10.130000000000001"/>
  </r>
  <r>
    <d v="2023-11-21T00:00:00"/>
    <x v="3"/>
    <s v="Mumbai"/>
    <x v="15"/>
    <x v="17"/>
    <x v="0"/>
    <n v="5"/>
    <x v="15"/>
    <n v="27"/>
    <x v="870"/>
    <n v="4114800"/>
    <x v="1"/>
    <x v="0"/>
    <x v="0"/>
    <x v="3"/>
    <x v="10"/>
    <n v="11"/>
    <x v="10"/>
    <n v="152400"/>
    <n v="0.41"/>
  </r>
  <r>
    <d v="2023-11-21T00:00:00"/>
    <x v="1"/>
    <s v="New Delhi"/>
    <x v="0"/>
    <x v="0"/>
    <x v="0"/>
    <n v="82"/>
    <x v="0"/>
    <n v="73"/>
    <x v="871"/>
    <n v="517073600"/>
    <x v="1"/>
    <x v="0"/>
    <x v="0"/>
    <x v="3"/>
    <x v="10"/>
    <n v="11"/>
    <x v="10"/>
    <n v="7083200"/>
    <n v="51.71"/>
  </r>
  <r>
    <d v="2023-11-21T00:00:00"/>
    <x v="3"/>
    <s v="Mumbai"/>
    <x v="0"/>
    <x v="0"/>
    <x v="0"/>
    <n v="82"/>
    <x v="0"/>
    <n v="48"/>
    <x v="872"/>
    <n v="280324800"/>
    <x v="1"/>
    <x v="1"/>
    <x v="0"/>
    <x v="3"/>
    <x v="10"/>
    <n v="11"/>
    <x v="10"/>
    <n v="5840100"/>
    <n v="28.03"/>
  </r>
  <r>
    <d v="2023-11-21T00:00:00"/>
    <x v="13"/>
    <s v="Indore"/>
    <x v="11"/>
    <x v="12"/>
    <x v="1"/>
    <n v="40"/>
    <x v="12"/>
    <n v="78"/>
    <x v="873"/>
    <n v="198650400"/>
    <x v="0"/>
    <x v="2"/>
    <x v="0"/>
    <x v="3"/>
    <x v="10"/>
    <n v="11"/>
    <x v="10"/>
    <n v="2546800"/>
    <n v="19.87"/>
  </r>
  <r>
    <d v="2023-11-21T00:00:00"/>
    <x v="5"/>
    <s v="Mangaluru"/>
    <x v="10"/>
    <x v="11"/>
    <x v="0"/>
    <n v="69"/>
    <x v="11"/>
    <n v="51"/>
    <x v="874"/>
    <n v="314858700"/>
    <x v="1"/>
    <x v="0"/>
    <x v="0"/>
    <x v="3"/>
    <x v="10"/>
    <n v="11"/>
    <x v="10"/>
    <n v="6173700"/>
    <n v="31.49"/>
  </r>
  <r>
    <d v="2023-11-22T00:00:00"/>
    <x v="12"/>
    <s v="Gurugram"/>
    <x v="12"/>
    <x v="14"/>
    <x v="0"/>
    <n v="82"/>
    <x v="13"/>
    <n v="56"/>
    <x v="875"/>
    <n v="319900000"/>
    <x v="1"/>
    <x v="0"/>
    <x v="0"/>
    <x v="3"/>
    <x v="10"/>
    <n v="11"/>
    <x v="10"/>
    <n v="5712500"/>
    <n v="31.99"/>
  </r>
  <r>
    <d v="2023-11-22T00:00:00"/>
    <x v="8"/>
    <s v="Asansol"/>
    <x v="0"/>
    <x v="0"/>
    <x v="1"/>
    <n v="82"/>
    <x v="0"/>
    <n v="35"/>
    <x v="876"/>
    <n v="209195000"/>
    <x v="1"/>
    <x v="0"/>
    <x v="0"/>
    <x v="3"/>
    <x v="10"/>
    <n v="11"/>
    <x v="10"/>
    <n v="5977000"/>
    <n v="20.92"/>
  </r>
  <r>
    <d v="2023-11-22T00:00:00"/>
    <x v="10"/>
    <s v="Kochi"/>
    <x v="9"/>
    <x v="10"/>
    <x v="0"/>
    <n v="25"/>
    <x v="10"/>
    <n v="95"/>
    <x v="877"/>
    <n v="101203500"/>
    <x v="2"/>
    <x v="0"/>
    <x v="0"/>
    <x v="3"/>
    <x v="10"/>
    <n v="11"/>
    <x v="10"/>
    <n v="1065300"/>
    <n v="10.119999999999999"/>
  </r>
  <r>
    <d v="2023-11-22T00:00:00"/>
    <x v="0"/>
    <s v="Hyderabad"/>
    <x v="0"/>
    <x v="0"/>
    <x v="0"/>
    <n v="82"/>
    <x v="0"/>
    <n v="5"/>
    <x v="878"/>
    <n v="30332000"/>
    <x v="0"/>
    <x v="2"/>
    <x v="0"/>
    <x v="3"/>
    <x v="10"/>
    <n v="11"/>
    <x v="10"/>
    <n v="6066400"/>
    <n v="3.03"/>
  </r>
  <r>
    <d v="2023-11-23T00:00:00"/>
    <x v="10"/>
    <s v="Kochi"/>
    <x v="12"/>
    <x v="18"/>
    <x v="0"/>
    <n v="60"/>
    <x v="16"/>
    <n v="25"/>
    <x v="879"/>
    <n v="89077500"/>
    <x v="1"/>
    <x v="0"/>
    <x v="0"/>
    <x v="3"/>
    <x v="10"/>
    <n v="11"/>
    <x v="10"/>
    <n v="3563100"/>
    <n v="8.91"/>
  </r>
  <r>
    <d v="2023-11-23T00:00:00"/>
    <x v="1"/>
    <s v="New Delhi"/>
    <x v="13"/>
    <x v="15"/>
    <x v="0"/>
    <n v="40"/>
    <x v="14"/>
    <n v="65"/>
    <x v="880"/>
    <n v="168584000"/>
    <x v="1"/>
    <x v="2"/>
    <x v="0"/>
    <x v="3"/>
    <x v="10"/>
    <n v="11"/>
    <x v="10"/>
    <n v="2593600"/>
    <n v="16.86"/>
  </r>
  <r>
    <d v="2023-11-24T00:00:00"/>
    <x v="6"/>
    <s v="Ahmedabad"/>
    <x v="7"/>
    <x v="7"/>
    <x v="0"/>
    <n v="3"/>
    <x v="7"/>
    <n v="172"/>
    <x v="881"/>
    <n v="26075200"/>
    <x v="1"/>
    <x v="2"/>
    <x v="0"/>
    <x v="3"/>
    <x v="10"/>
    <n v="11"/>
    <x v="10"/>
    <n v="151600"/>
    <n v="2.61"/>
  </r>
  <r>
    <d v="2023-11-24T00:00:00"/>
    <x v="12"/>
    <s v="Panipat"/>
    <x v="6"/>
    <x v="6"/>
    <x v="0"/>
    <n v="72"/>
    <x v="6"/>
    <n v="168"/>
    <x v="882"/>
    <n v="822276000"/>
    <x v="1"/>
    <x v="0"/>
    <x v="0"/>
    <x v="3"/>
    <x v="10"/>
    <n v="11"/>
    <x v="10"/>
    <n v="4894500"/>
    <n v="82.23"/>
  </r>
  <r>
    <d v="2023-11-25T00:00:00"/>
    <x v="8"/>
    <s v="Siliguri"/>
    <x v="13"/>
    <x v="22"/>
    <x v="0"/>
    <n v="35"/>
    <x v="10"/>
    <n v="68"/>
    <x v="883"/>
    <n v="138699600"/>
    <x v="1"/>
    <x v="1"/>
    <x v="0"/>
    <x v="3"/>
    <x v="10"/>
    <n v="11"/>
    <x v="10"/>
    <n v="2039700"/>
    <n v="13.87"/>
  </r>
  <r>
    <d v="2023-11-25T00:00:00"/>
    <x v="3"/>
    <s v="Nagpur"/>
    <x v="5"/>
    <x v="5"/>
    <x v="2"/>
    <n v="30"/>
    <x v="5"/>
    <n v="65"/>
    <x v="884"/>
    <n v="93067000"/>
    <x v="1"/>
    <x v="2"/>
    <x v="0"/>
    <x v="3"/>
    <x v="10"/>
    <n v="11"/>
    <x v="10"/>
    <n v="1431800"/>
    <n v="9.31"/>
  </r>
  <r>
    <d v="2023-11-25T00:00:00"/>
    <x v="4"/>
    <s v="Jalandhar"/>
    <x v="11"/>
    <x v="23"/>
    <x v="1"/>
    <n v="59"/>
    <x v="20"/>
    <n v="66"/>
    <x v="885"/>
    <n v="148407600"/>
    <x v="0"/>
    <x v="2"/>
    <x v="0"/>
    <x v="3"/>
    <x v="10"/>
    <n v="11"/>
    <x v="10"/>
    <n v="2248600"/>
    <n v="14.84"/>
  </r>
  <r>
    <d v="2023-11-25T00:00:00"/>
    <x v="13"/>
    <s v="Bhopal"/>
    <x v="15"/>
    <x v="17"/>
    <x v="0"/>
    <n v="5"/>
    <x v="15"/>
    <n v="140"/>
    <x v="769"/>
    <n v="22918000"/>
    <x v="1"/>
    <x v="0"/>
    <x v="0"/>
    <x v="3"/>
    <x v="10"/>
    <n v="11"/>
    <x v="10"/>
    <n v="163700"/>
    <n v="2.29"/>
  </r>
  <r>
    <d v="2023-11-25T00:00:00"/>
    <x v="8"/>
    <s v="Siliguri"/>
    <x v="14"/>
    <x v="16"/>
    <x v="0"/>
    <n v="3"/>
    <x v="15"/>
    <n v="47"/>
    <x v="75"/>
    <n v="7223900"/>
    <x v="1"/>
    <x v="0"/>
    <x v="0"/>
    <x v="3"/>
    <x v="10"/>
    <n v="11"/>
    <x v="10"/>
    <n v="153700"/>
    <n v="0.72"/>
  </r>
  <r>
    <d v="2023-11-26T00:00:00"/>
    <x v="13"/>
    <s v="Bhopal"/>
    <x v="9"/>
    <x v="9"/>
    <x v="0"/>
    <n v="50"/>
    <x v="9"/>
    <n v="132"/>
    <x v="886"/>
    <n v="302715600"/>
    <x v="1"/>
    <x v="0"/>
    <x v="0"/>
    <x v="3"/>
    <x v="10"/>
    <n v="11"/>
    <x v="10"/>
    <n v="2293300"/>
    <n v="30.27"/>
  </r>
  <r>
    <d v="2023-11-26T00:00:00"/>
    <x v="12"/>
    <s v="Faridabad"/>
    <x v="15"/>
    <x v="17"/>
    <x v="0"/>
    <n v="5"/>
    <x v="15"/>
    <n v="144"/>
    <x v="887"/>
    <n v="21960000"/>
    <x v="0"/>
    <x v="0"/>
    <x v="0"/>
    <x v="3"/>
    <x v="10"/>
    <n v="11"/>
    <x v="10"/>
    <n v="152500"/>
    <n v="2.2000000000000002"/>
  </r>
  <r>
    <d v="2023-11-27T00:00:00"/>
    <x v="2"/>
    <s v="Kanpur"/>
    <x v="8"/>
    <x v="20"/>
    <x v="0"/>
    <n v="84"/>
    <x v="18"/>
    <n v="64"/>
    <x v="888"/>
    <n v="480806400"/>
    <x v="1"/>
    <x v="0"/>
    <x v="0"/>
    <x v="3"/>
    <x v="10"/>
    <n v="11"/>
    <x v="10"/>
    <n v="7512600"/>
    <n v="48.08"/>
  </r>
  <r>
    <d v="2023-11-27T00:00:00"/>
    <x v="3"/>
    <s v="Nashik"/>
    <x v="14"/>
    <x v="16"/>
    <x v="0"/>
    <n v="3"/>
    <x v="15"/>
    <n v="163"/>
    <x v="889"/>
    <n v="25851800"/>
    <x v="1"/>
    <x v="1"/>
    <x v="0"/>
    <x v="3"/>
    <x v="10"/>
    <n v="11"/>
    <x v="10"/>
    <n v="158600"/>
    <n v="2.59"/>
  </r>
  <r>
    <d v="2023-11-27T00:00:00"/>
    <x v="4"/>
    <s v="Jalandhar"/>
    <x v="13"/>
    <x v="19"/>
    <x v="0"/>
    <n v="24"/>
    <x v="17"/>
    <n v="51"/>
    <x v="890"/>
    <n v="65346300"/>
    <x v="1"/>
    <x v="1"/>
    <x v="0"/>
    <x v="3"/>
    <x v="10"/>
    <n v="11"/>
    <x v="10"/>
    <n v="1281300"/>
    <n v="6.53"/>
  </r>
  <r>
    <d v="2023-11-27T00:00:00"/>
    <x v="6"/>
    <s v="Vadodara"/>
    <x v="11"/>
    <x v="23"/>
    <x v="0"/>
    <n v="59"/>
    <x v="20"/>
    <n v="99"/>
    <x v="891"/>
    <n v="294247800"/>
    <x v="2"/>
    <x v="2"/>
    <x v="0"/>
    <x v="3"/>
    <x v="10"/>
    <n v="11"/>
    <x v="10"/>
    <n v="2972200"/>
    <n v="29.42"/>
  </r>
  <r>
    <d v="2023-11-28T00:00:00"/>
    <x v="0"/>
    <s v="Hyderabad"/>
    <x v="10"/>
    <x v="11"/>
    <x v="2"/>
    <n v="69"/>
    <x v="11"/>
    <n v="63"/>
    <x v="892"/>
    <n v="326459700"/>
    <x v="1"/>
    <x v="0"/>
    <x v="0"/>
    <x v="3"/>
    <x v="10"/>
    <n v="11"/>
    <x v="10"/>
    <n v="5181900"/>
    <n v="32.65"/>
  </r>
  <r>
    <d v="2023-11-28T00:00:00"/>
    <x v="9"/>
    <s v="Muzaffarpur"/>
    <x v="10"/>
    <x v="11"/>
    <x v="1"/>
    <n v="69"/>
    <x v="11"/>
    <n v="44"/>
    <x v="893"/>
    <n v="243218800"/>
    <x v="2"/>
    <x v="0"/>
    <x v="0"/>
    <x v="3"/>
    <x v="10"/>
    <n v="11"/>
    <x v="10"/>
    <n v="5527700"/>
    <n v="24.32"/>
  </r>
  <r>
    <d v="2023-11-28T00:00:00"/>
    <x v="2"/>
    <s v="Noida"/>
    <x v="2"/>
    <x v="2"/>
    <x v="0"/>
    <n v="66"/>
    <x v="2"/>
    <n v="30"/>
    <x v="894"/>
    <n v="278718000"/>
    <x v="1"/>
    <x v="0"/>
    <x v="0"/>
    <x v="3"/>
    <x v="10"/>
    <n v="11"/>
    <x v="10"/>
    <n v="9290600"/>
    <n v="27.87"/>
  </r>
  <r>
    <d v="2023-11-28T00:00:00"/>
    <x v="12"/>
    <s v="Panipat"/>
    <x v="5"/>
    <x v="5"/>
    <x v="0"/>
    <n v="30"/>
    <x v="5"/>
    <n v="25"/>
    <x v="895"/>
    <n v="35272500"/>
    <x v="0"/>
    <x v="0"/>
    <x v="0"/>
    <x v="3"/>
    <x v="10"/>
    <n v="11"/>
    <x v="10"/>
    <n v="1410900"/>
    <n v="3.53"/>
  </r>
  <r>
    <d v="2023-11-29T00:00:00"/>
    <x v="0"/>
    <s v="Nizamabad"/>
    <x v="4"/>
    <x v="4"/>
    <x v="0"/>
    <n v="77"/>
    <x v="4"/>
    <n v="38"/>
    <x v="896"/>
    <n v="192831000"/>
    <x v="1"/>
    <x v="0"/>
    <x v="0"/>
    <x v="3"/>
    <x v="10"/>
    <n v="11"/>
    <x v="10"/>
    <n v="5074500"/>
    <n v="19.28"/>
  </r>
  <r>
    <d v="2023-11-29T00:00:00"/>
    <x v="9"/>
    <s v="Gaya"/>
    <x v="10"/>
    <x v="11"/>
    <x v="2"/>
    <n v="69"/>
    <x v="11"/>
    <n v="79"/>
    <x v="897"/>
    <n v="458531800"/>
    <x v="1"/>
    <x v="1"/>
    <x v="0"/>
    <x v="3"/>
    <x v="10"/>
    <n v="11"/>
    <x v="10"/>
    <n v="5804200"/>
    <n v="45.85"/>
  </r>
  <r>
    <d v="2023-11-29T00:00:00"/>
    <x v="6"/>
    <s v="Vadodara"/>
    <x v="9"/>
    <x v="9"/>
    <x v="1"/>
    <n v="50"/>
    <x v="9"/>
    <n v="106"/>
    <x v="898"/>
    <n v="290291600"/>
    <x v="1"/>
    <x v="1"/>
    <x v="0"/>
    <x v="3"/>
    <x v="10"/>
    <n v="11"/>
    <x v="10"/>
    <n v="2738600"/>
    <n v="29.03"/>
  </r>
  <r>
    <d v="2023-11-29T00:00:00"/>
    <x v="7"/>
    <s v="Tirupati"/>
    <x v="0"/>
    <x v="0"/>
    <x v="0"/>
    <n v="82"/>
    <x v="0"/>
    <n v="56"/>
    <x v="899"/>
    <n v="392694400"/>
    <x v="1"/>
    <x v="0"/>
    <x v="0"/>
    <x v="3"/>
    <x v="10"/>
    <n v="11"/>
    <x v="10"/>
    <n v="7012400"/>
    <n v="39.270000000000003"/>
  </r>
  <r>
    <d v="2023-11-29T00:00:00"/>
    <x v="11"/>
    <s v="Chennai"/>
    <x v="1"/>
    <x v="1"/>
    <x v="0"/>
    <n v="4"/>
    <x v="1"/>
    <n v="117"/>
    <x v="900"/>
    <n v="14894100"/>
    <x v="1"/>
    <x v="0"/>
    <x v="0"/>
    <x v="3"/>
    <x v="10"/>
    <n v="11"/>
    <x v="10"/>
    <n v="127300"/>
    <n v="1.49"/>
  </r>
  <r>
    <d v="2023-11-29T00:00:00"/>
    <x v="12"/>
    <s v="Panipat"/>
    <x v="0"/>
    <x v="0"/>
    <x v="3"/>
    <n v="82"/>
    <x v="0"/>
    <n v="77"/>
    <x v="901"/>
    <n v="577276700"/>
    <x v="1"/>
    <x v="0"/>
    <x v="0"/>
    <x v="3"/>
    <x v="10"/>
    <n v="11"/>
    <x v="10"/>
    <n v="7497100"/>
    <n v="57.73"/>
  </r>
  <r>
    <d v="2023-11-30T00:00:00"/>
    <x v="2"/>
    <s v="Noida"/>
    <x v="2"/>
    <x v="2"/>
    <x v="0"/>
    <n v="66"/>
    <x v="2"/>
    <n v="14"/>
    <x v="902"/>
    <n v="117525800"/>
    <x v="0"/>
    <x v="0"/>
    <x v="0"/>
    <x v="3"/>
    <x v="10"/>
    <n v="11"/>
    <x v="10"/>
    <n v="8394700"/>
    <n v="11.75"/>
  </r>
  <r>
    <d v="2023-11-30T00:00:00"/>
    <x v="0"/>
    <s v="Nizamabad"/>
    <x v="4"/>
    <x v="4"/>
    <x v="0"/>
    <n v="77"/>
    <x v="4"/>
    <n v="23"/>
    <x v="903"/>
    <n v="126822000"/>
    <x v="0"/>
    <x v="0"/>
    <x v="0"/>
    <x v="3"/>
    <x v="10"/>
    <n v="11"/>
    <x v="10"/>
    <n v="5514000"/>
    <n v="12.68"/>
  </r>
  <r>
    <d v="2023-11-30T00:00:00"/>
    <x v="3"/>
    <s v="Mumbai"/>
    <x v="5"/>
    <x v="5"/>
    <x v="0"/>
    <n v="30"/>
    <x v="5"/>
    <n v="28"/>
    <x v="904"/>
    <n v="36836800"/>
    <x v="1"/>
    <x v="0"/>
    <x v="0"/>
    <x v="3"/>
    <x v="10"/>
    <n v="11"/>
    <x v="10"/>
    <n v="1315600"/>
    <n v="3.68"/>
  </r>
  <r>
    <d v="2023-11-30T00:00:00"/>
    <x v="11"/>
    <s v="Chennai"/>
    <x v="3"/>
    <x v="3"/>
    <x v="0"/>
    <n v="3"/>
    <x v="3"/>
    <n v="82"/>
    <x v="905"/>
    <n v="10135200"/>
    <x v="1"/>
    <x v="0"/>
    <x v="0"/>
    <x v="3"/>
    <x v="10"/>
    <n v="11"/>
    <x v="10"/>
    <n v="123600"/>
    <n v="1.01"/>
  </r>
  <r>
    <d v="2023-12-02T00:00:00"/>
    <x v="13"/>
    <s v="Indore"/>
    <x v="12"/>
    <x v="18"/>
    <x v="0"/>
    <n v="60"/>
    <x v="16"/>
    <n v="21"/>
    <x v="906"/>
    <n v="69644400"/>
    <x v="1"/>
    <x v="0"/>
    <x v="0"/>
    <x v="3"/>
    <x v="11"/>
    <n v="12"/>
    <x v="11"/>
    <n v="3316400"/>
    <n v="6.96"/>
  </r>
  <r>
    <d v="2023-12-02T00:00:00"/>
    <x v="12"/>
    <s v="Hisar"/>
    <x v="7"/>
    <x v="7"/>
    <x v="0"/>
    <n v="3"/>
    <x v="7"/>
    <n v="99"/>
    <x v="907"/>
    <n v="16562700"/>
    <x v="1"/>
    <x v="0"/>
    <x v="0"/>
    <x v="3"/>
    <x v="11"/>
    <n v="12"/>
    <x v="11"/>
    <n v="167300"/>
    <n v="1.66"/>
  </r>
  <r>
    <d v="2023-12-03T00:00:00"/>
    <x v="1"/>
    <s v="Rohini"/>
    <x v="13"/>
    <x v="15"/>
    <x v="1"/>
    <n v="40"/>
    <x v="14"/>
    <n v="26"/>
    <x v="908"/>
    <n v="59306000"/>
    <x v="1"/>
    <x v="0"/>
    <x v="0"/>
    <x v="3"/>
    <x v="11"/>
    <n v="12"/>
    <x v="11"/>
    <n v="2281000"/>
    <n v="5.93"/>
  </r>
  <r>
    <d v="2023-12-03T00:00:00"/>
    <x v="1"/>
    <s v="New Delhi"/>
    <x v="9"/>
    <x v="9"/>
    <x v="0"/>
    <n v="50"/>
    <x v="9"/>
    <n v="179"/>
    <x v="909"/>
    <n v="460047900"/>
    <x v="1"/>
    <x v="0"/>
    <x v="0"/>
    <x v="3"/>
    <x v="11"/>
    <n v="12"/>
    <x v="11"/>
    <n v="2570100"/>
    <n v="46"/>
  </r>
  <r>
    <d v="2023-12-04T00:00:00"/>
    <x v="6"/>
    <s v="Rajkot"/>
    <x v="5"/>
    <x v="5"/>
    <x v="2"/>
    <n v="30"/>
    <x v="5"/>
    <n v="13"/>
    <x v="910"/>
    <n v="20291700"/>
    <x v="1"/>
    <x v="1"/>
    <x v="0"/>
    <x v="3"/>
    <x v="11"/>
    <n v="12"/>
    <x v="11"/>
    <n v="1560900"/>
    <n v="2.0299999999999998"/>
  </r>
  <r>
    <d v="2023-12-05T00:00:00"/>
    <x v="3"/>
    <s v="Pune"/>
    <x v="15"/>
    <x v="17"/>
    <x v="0"/>
    <n v="5"/>
    <x v="15"/>
    <n v="178"/>
    <x v="911"/>
    <n v="32645200"/>
    <x v="1"/>
    <x v="0"/>
    <x v="0"/>
    <x v="3"/>
    <x v="11"/>
    <n v="12"/>
    <x v="11"/>
    <n v="183400"/>
    <n v="3.26"/>
  </r>
  <r>
    <d v="2023-12-05T00:00:00"/>
    <x v="3"/>
    <s v="Mumbai"/>
    <x v="10"/>
    <x v="11"/>
    <x v="0"/>
    <n v="69"/>
    <x v="11"/>
    <n v="8"/>
    <x v="912"/>
    <n v="40680800"/>
    <x v="1"/>
    <x v="0"/>
    <x v="0"/>
    <x v="3"/>
    <x v="11"/>
    <n v="12"/>
    <x v="11"/>
    <n v="5085100"/>
    <n v="4.07"/>
  </r>
  <r>
    <d v="2023-12-05T00:00:00"/>
    <x v="1"/>
    <s v="Saket"/>
    <x v="5"/>
    <x v="5"/>
    <x v="2"/>
    <n v="30"/>
    <x v="5"/>
    <n v="21"/>
    <x v="913"/>
    <n v="30907800"/>
    <x v="1"/>
    <x v="2"/>
    <x v="0"/>
    <x v="3"/>
    <x v="11"/>
    <n v="12"/>
    <x v="11"/>
    <n v="1471800"/>
    <n v="3.09"/>
  </r>
  <r>
    <d v="2023-12-05T00:00:00"/>
    <x v="3"/>
    <s v="Mumbai"/>
    <x v="13"/>
    <x v="19"/>
    <x v="0"/>
    <n v="24"/>
    <x v="17"/>
    <n v="21"/>
    <x v="914"/>
    <n v="35523600"/>
    <x v="1"/>
    <x v="0"/>
    <x v="0"/>
    <x v="3"/>
    <x v="11"/>
    <n v="12"/>
    <x v="11"/>
    <n v="1691600"/>
    <n v="3.55"/>
  </r>
  <r>
    <d v="2023-12-06T00:00:00"/>
    <x v="11"/>
    <s v="Chennai"/>
    <x v="9"/>
    <x v="10"/>
    <x v="1"/>
    <n v="25"/>
    <x v="10"/>
    <n v="39"/>
    <x v="915"/>
    <n v="42096600"/>
    <x v="1"/>
    <x v="1"/>
    <x v="0"/>
    <x v="3"/>
    <x v="11"/>
    <n v="12"/>
    <x v="11"/>
    <n v="1079400"/>
    <n v="4.21"/>
  </r>
  <r>
    <d v="2023-12-06T00:00:00"/>
    <x v="8"/>
    <s v="Kolkata"/>
    <x v="6"/>
    <x v="6"/>
    <x v="0"/>
    <n v="72"/>
    <x v="6"/>
    <n v="145"/>
    <x v="916"/>
    <n v="643945000"/>
    <x v="1"/>
    <x v="0"/>
    <x v="0"/>
    <x v="3"/>
    <x v="11"/>
    <n v="12"/>
    <x v="11"/>
    <n v="4441000"/>
    <n v="64.39"/>
  </r>
  <r>
    <d v="2023-12-06T00:00:00"/>
    <x v="11"/>
    <s v="Coimbatore"/>
    <x v="12"/>
    <x v="18"/>
    <x v="0"/>
    <n v="60"/>
    <x v="16"/>
    <n v="52"/>
    <x v="917"/>
    <n v="160872400"/>
    <x v="0"/>
    <x v="0"/>
    <x v="0"/>
    <x v="3"/>
    <x v="11"/>
    <n v="12"/>
    <x v="11"/>
    <n v="3093700"/>
    <n v="16.09"/>
  </r>
  <r>
    <d v="2023-12-06T00:00:00"/>
    <x v="12"/>
    <s v="Panipat"/>
    <x v="5"/>
    <x v="5"/>
    <x v="0"/>
    <n v="30"/>
    <x v="5"/>
    <n v="72"/>
    <x v="918"/>
    <n v="106092000"/>
    <x v="0"/>
    <x v="0"/>
    <x v="0"/>
    <x v="3"/>
    <x v="11"/>
    <n v="12"/>
    <x v="11"/>
    <n v="1473500"/>
    <n v="10.61"/>
  </r>
  <r>
    <d v="2023-12-06T00:00:00"/>
    <x v="5"/>
    <s v="Bengaluru"/>
    <x v="11"/>
    <x v="23"/>
    <x v="2"/>
    <n v="59"/>
    <x v="20"/>
    <n v="40"/>
    <x v="919"/>
    <n v="88932000"/>
    <x v="1"/>
    <x v="0"/>
    <x v="0"/>
    <x v="3"/>
    <x v="11"/>
    <n v="12"/>
    <x v="11"/>
    <n v="2223300"/>
    <n v="8.89"/>
  </r>
  <r>
    <d v="2023-12-07T00:00:00"/>
    <x v="3"/>
    <s v="Nagpur"/>
    <x v="6"/>
    <x v="13"/>
    <x v="0"/>
    <n v="48"/>
    <x v="12"/>
    <n v="106"/>
    <x v="920"/>
    <n v="240916800"/>
    <x v="0"/>
    <x v="0"/>
    <x v="0"/>
    <x v="3"/>
    <x v="11"/>
    <n v="12"/>
    <x v="11"/>
    <n v="2272800"/>
    <n v="24.09"/>
  </r>
  <r>
    <d v="2023-12-08T00:00:00"/>
    <x v="2"/>
    <s v="Noida"/>
    <x v="2"/>
    <x v="2"/>
    <x v="0"/>
    <n v="66"/>
    <x v="2"/>
    <n v="20"/>
    <x v="921"/>
    <n v="143418000"/>
    <x v="1"/>
    <x v="3"/>
    <x v="0"/>
    <x v="3"/>
    <x v="11"/>
    <n v="12"/>
    <x v="11"/>
    <n v="7170900"/>
    <n v="14.34"/>
  </r>
  <r>
    <d v="2023-12-08T00:00:00"/>
    <x v="2"/>
    <s v="Ghaziabad"/>
    <x v="8"/>
    <x v="8"/>
    <x v="0"/>
    <n v="66"/>
    <x v="8"/>
    <n v="36"/>
    <x v="922"/>
    <n v="230950800"/>
    <x v="1"/>
    <x v="0"/>
    <x v="0"/>
    <x v="3"/>
    <x v="11"/>
    <n v="12"/>
    <x v="11"/>
    <n v="6415300"/>
    <n v="23.1"/>
  </r>
  <r>
    <d v="2023-12-09T00:00:00"/>
    <x v="8"/>
    <s v="Asansol"/>
    <x v="9"/>
    <x v="10"/>
    <x v="0"/>
    <n v="25"/>
    <x v="10"/>
    <n v="30"/>
    <x v="923"/>
    <n v="38601000"/>
    <x v="1"/>
    <x v="0"/>
    <x v="0"/>
    <x v="3"/>
    <x v="11"/>
    <n v="12"/>
    <x v="11"/>
    <n v="1286700"/>
    <n v="3.86"/>
  </r>
  <r>
    <d v="2023-12-09T00:00:00"/>
    <x v="3"/>
    <s v="Nagpur"/>
    <x v="7"/>
    <x v="7"/>
    <x v="0"/>
    <n v="3"/>
    <x v="7"/>
    <n v="25"/>
    <x v="924"/>
    <n v="3732500"/>
    <x v="1"/>
    <x v="2"/>
    <x v="0"/>
    <x v="3"/>
    <x v="11"/>
    <n v="12"/>
    <x v="11"/>
    <n v="149300"/>
    <n v="0.37"/>
  </r>
  <r>
    <d v="2023-12-09T00:00:00"/>
    <x v="12"/>
    <s v="Gurugram"/>
    <x v="15"/>
    <x v="17"/>
    <x v="0"/>
    <n v="5"/>
    <x v="15"/>
    <n v="76"/>
    <x v="925"/>
    <n v="11833200"/>
    <x v="2"/>
    <x v="0"/>
    <x v="0"/>
    <x v="3"/>
    <x v="11"/>
    <n v="12"/>
    <x v="11"/>
    <n v="155700"/>
    <n v="1.18"/>
  </r>
  <r>
    <d v="2023-12-09T00:00:00"/>
    <x v="3"/>
    <s v="Nashik"/>
    <x v="5"/>
    <x v="5"/>
    <x v="1"/>
    <n v="30"/>
    <x v="5"/>
    <n v="46"/>
    <x v="926"/>
    <n v="75495200"/>
    <x v="1"/>
    <x v="2"/>
    <x v="0"/>
    <x v="3"/>
    <x v="11"/>
    <n v="12"/>
    <x v="11"/>
    <n v="1641200"/>
    <n v="7.55"/>
  </r>
  <r>
    <d v="2023-12-10T00:00:00"/>
    <x v="11"/>
    <s v="Coimbatore"/>
    <x v="14"/>
    <x v="16"/>
    <x v="0"/>
    <n v="3"/>
    <x v="15"/>
    <n v="163"/>
    <x v="754"/>
    <n v="22298400"/>
    <x v="1"/>
    <x v="0"/>
    <x v="0"/>
    <x v="3"/>
    <x v="11"/>
    <n v="12"/>
    <x v="11"/>
    <n v="136800"/>
    <n v="2.23"/>
  </r>
  <r>
    <d v="2023-12-10T00:00:00"/>
    <x v="5"/>
    <s v="Mysuru"/>
    <x v="3"/>
    <x v="3"/>
    <x v="0"/>
    <n v="3"/>
    <x v="3"/>
    <n v="85"/>
    <x v="927"/>
    <n v="9809000"/>
    <x v="2"/>
    <x v="0"/>
    <x v="0"/>
    <x v="3"/>
    <x v="11"/>
    <n v="12"/>
    <x v="11"/>
    <n v="115400"/>
    <n v="0.98"/>
  </r>
  <r>
    <d v="2023-12-11T00:00:00"/>
    <x v="11"/>
    <s v="Chennai"/>
    <x v="7"/>
    <x v="7"/>
    <x v="0"/>
    <n v="3"/>
    <x v="7"/>
    <n v="17"/>
    <x v="928"/>
    <n v="2626500"/>
    <x v="1"/>
    <x v="0"/>
    <x v="0"/>
    <x v="3"/>
    <x v="11"/>
    <n v="12"/>
    <x v="11"/>
    <n v="154500"/>
    <n v="0.26"/>
  </r>
  <r>
    <d v="2023-12-11T00:00:00"/>
    <x v="4"/>
    <s v="Jalandhar"/>
    <x v="6"/>
    <x v="13"/>
    <x v="0"/>
    <n v="48"/>
    <x v="12"/>
    <n v="16"/>
    <x v="929"/>
    <n v="39347200"/>
    <x v="0"/>
    <x v="3"/>
    <x v="0"/>
    <x v="3"/>
    <x v="11"/>
    <n v="12"/>
    <x v="11"/>
    <n v="2459200"/>
    <n v="3.93"/>
  </r>
  <r>
    <d v="2023-12-12T00:00:00"/>
    <x v="11"/>
    <s v="Coimbatore"/>
    <x v="10"/>
    <x v="11"/>
    <x v="1"/>
    <n v="69"/>
    <x v="11"/>
    <n v="71"/>
    <x v="930"/>
    <n v="357073200"/>
    <x v="0"/>
    <x v="0"/>
    <x v="0"/>
    <x v="3"/>
    <x v="11"/>
    <n v="12"/>
    <x v="11"/>
    <n v="5029200"/>
    <n v="35.71"/>
  </r>
  <r>
    <d v="2023-12-12T00:00:00"/>
    <x v="3"/>
    <s v="Nagpur"/>
    <x v="9"/>
    <x v="9"/>
    <x v="0"/>
    <n v="50"/>
    <x v="9"/>
    <n v="54"/>
    <x v="931"/>
    <n v="128719800"/>
    <x v="0"/>
    <x v="2"/>
    <x v="0"/>
    <x v="3"/>
    <x v="11"/>
    <n v="12"/>
    <x v="11"/>
    <n v="2383700"/>
    <n v="12.87"/>
  </r>
  <r>
    <d v="2023-12-12T00:00:00"/>
    <x v="14"/>
    <s v="Jaipur"/>
    <x v="10"/>
    <x v="11"/>
    <x v="3"/>
    <n v="69"/>
    <x v="11"/>
    <n v="3"/>
    <x v="932"/>
    <n v="18075000"/>
    <x v="1"/>
    <x v="0"/>
    <x v="0"/>
    <x v="3"/>
    <x v="11"/>
    <n v="12"/>
    <x v="11"/>
    <n v="6025000"/>
    <n v="1.81"/>
  </r>
  <r>
    <d v="2023-12-13T00:00:00"/>
    <x v="8"/>
    <s v="Kolkata"/>
    <x v="8"/>
    <x v="20"/>
    <x v="1"/>
    <n v="84"/>
    <x v="18"/>
    <n v="78"/>
    <x v="933"/>
    <n v="610568400"/>
    <x v="1"/>
    <x v="1"/>
    <x v="0"/>
    <x v="3"/>
    <x v="11"/>
    <n v="12"/>
    <x v="11"/>
    <n v="7827800"/>
    <n v="61.06"/>
  </r>
  <r>
    <d v="2023-12-14T00:00:00"/>
    <x v="4"/>
    <s v="Ludhiana"/>
    <x v="8"/>
    <x v="8"/>
    <x v="1"/>
    <n v="66"/>
    <x v="8"/>
    <n v="30"/>
    <x v="934"/>
    <n v="162504000"/>
    <x v="1"/>
    <x v="0"/>
    <x v="0"/>
    <x v="3"/>
    <x v="11"/>
    <n v="12"/>
    <x v="11"/>
    <n v="5416800"/>
    <n v="16.25"/>
  </r>
  <r>
    <d v="2023-12-14T00:00:00"/>
    <x v="12"/>
    <s v="Hisar"/>
    <x v="2"/>
    <x v="2"/>
    <x v="2"/>
    <n v="66"/>
    <x v="2"/>
    <n v="65"/>
    <x v="935"/>
    <n v="457743000"/>
    <x v="0"/>
    <x v="2"/>
    <x v="0"/>
    <x v="3"/>
    <x v="11"/>
    <n v="12"/>
    <x v="11"/>
    <n v="7042200"/>
    <n v="45.77"/>
  </r>
  <r>
    <d v="2023-12-15T00:00:00"/>
    <x v="11"/>
    <s v="Salem"/>
    <x v="12"/>
    <x v="14"/>
    <x v="0"/>
    <n v="82"/>
    <x v="13"/>
    <n v="50"/>
    <x v="936"/>
    <n v="294345000"/>
    <x v="0"/>
    <x v="2"/>
    <x v="0"/>
    <x v="3"/>
    <x v="11"/>
    <n v="12"/>
    <x v="11"/>
    <n v="5886900"/>
    <n v="29.43"/>
  </r>
  <r>
    <d v="2023-12-16T00:00:00"/>
    <x v="11"/>
    <s v="Madurai"/>
    <x v="1"/>
    <x v="1"/>
    <x v="0"/>
    <n v="4"/>
    <x v="1"/>
    <n v="13"/>
    <x v="937"/>
    <n v="1784900"/>
    <x v="0"/>
    <x v="0"/>
    <x v="0"/>
    <x v="3"/>
    <x v="11"/>
    <n v="12"/>
    <x v="11"/>
    <n v="137300"/>
    <n v="0.18"/>
  </r>
  <r>
    <d v="2023-12-18T00:00:00"/>
    <x v="3"/>
    <s v="Nashik"/>
    <x v="0"/>
    <x v="0"/>
    <x v="0"/>
    <n v="82"/>
    <x v="0"/>
    <n v="68"/>
    <x v="938"/>
    <n v="439443200"/>
    <x v="1"/>
    <x v="0"/>
    <x v="0"/>
    <x v="3"/>
    <x v="11"/>
    <n v="12"/>
    <x v="11"/>
    <n v="6462400"/>
    <n v="43.94"/>
  </r>
  <r>
    <d v="2023-12-18T00:00:00"/>
    <x v="2"/>
    <s v="Noida"/>
    <x v="14"/>
    <x v="16"/>
    <x v="0"/>
    <n v="3"/>
    <x v="15"/>
    <n v="158"/>
    <x v="939"/>
    <n v="23305000"/>
    <x v="1"/>
    <x v="2"/>
    <x v="0"/>
    <x v="3"/>
    <x v="11"/>
    <n v="12"/>
    <x v="11"/>
    <n v="147500"/>
    <n v="2.33"/>
  </r>
  <r>
    <d v="2023-12-18T00:00:00"/>
    <x v="10"/>
    <s v="Thiruvananthapuram"/>
    <x v="1"/>
    <x v="1"/>
    <x v="0"/>
    <n v="4"/>
    <x v="1"/>
    <n v="179"/>
    <x v="940"/>
    <n v="23305800"/>
    <x v="1"/>
    <x v="2"/>
    <x v="0"/>
    <x v="3"/>
    <x v="11"/>
    <n v="12"/>
    <x v="11"/>
    <n v="130200"/>
    <n v="2.33"/>
  </r>
  <r>
    <d v="2023-12-19T00:00:00"/>
    <x v="8"/>
    <s v="Kolkata"/>
    <x v="8"/>
    <x v="8"/>
    <x v="1"/>
    <n v="66"/>
    <x v="8"/>
    <n v="47"/>
    <x v="941"/>
    <n v="277558500"/>
    <x v="1"/>
    <x v="1"/>
    <x v="0"/>
    <x v="3"/>
    <x v="11"/>
    <n v="12"/>
    <x v="11"/>
    <n v="5905500"/>
    <n v="27.76"/>
  </r>
  <r>
    <d v="2023-12-20T00:00:00"/>
    <x v="12"/>
    <s v="Hisar"/>
    <x v="5"/>
    <x v="5"/>
    <x v="0"/>
    <n v="30"/>
    <x v="5"/>
    <n v="11"/>
    <x v="942"/>
    <n v="14194400"/>
    <x v="1"/>
    <x v="0"/>
    <x v="0"/>
    <x v="3"/>
    <x v="11"/>
    <n v="12"/>
    <x v="11"/>
    <n v="1290400"/>
    <n v="1.42"/>
  </r>
  <r>
    <d v="2023-12-20T00:00:00"/>
    <x v="11"/>
    <s v="Madurai"/>
    <x v="12"/>
    <x v="14"/>
    <x v="0"/>
    <n v="82"/>
    <x v="13"/>
    <n v="21"/>
    <x v="943"/>
    <n v="128436000"/>
    <x v="1"/>
    <x v="2"/>
    <x v="0"/>
    <x v="3"/>
    <x v="11"/>
    <n v="12"/>
    <x v="11"/>
    <n v="6116000"/>
    <n v="12.84"/>
  </r>
  <r>
    <d v="2023-12-20T00:00:00"/>
    <x v="6"/>
    <s v="Vadodara"/>
    <x v="1"/>
    <x v="21"/>
    <x v="0"/>
    <n v="3"/>
    <x v="19"/>
    <n v="86"/>
    <x v="944"/>
    <n v="8170000"/>
    <x v="1"/>
    <x v="0"/>
    <x v="0"/>
    <x v="3"/>
    <x v="11"/>
    <n v="12"/>
    <x v="11"/>
    <n v="95000"/>
    <n v="0.82"/>
  </r>
  <r>
    <d v="2023-12-20T00:00:00"/>
    <x v="3"/>
    <s v="Nashik"/>
    <x v="10"/>
    <x v="11"/>
    <x v="2"/>
    <n v="69"/>
    <x v="11"/>
    <n v="28"/>
    <x v="945"/>
    <n v="150463600"/>
    <x v="2"/>
    <x v="2"/>
    <x v="0"/>
    <x v="3"/>
    <x v="11"/>
    <n v="12"/>
    <x v="11"/>
    <n v="5373700"/>
    <n v="15.05"/>
  </r>
  <r>
    <d v="2023-12-20T00:00:00"/>
    <x v="4"/>
    <s v="Ludhiana"/>
    <x v="9"/>
    <x v="9"/>
    <x v="0"/>
    <n v="50"/>
    <x v="9"/>
    <n v="31"/>
    <x v="946"/>
    <n v="76579300"/>
    <x v="1"/>
    <x v="0"/>
    <x v="0"/>
    <x v="3"/>
    <x v="11"/>
    <n v="12"/>
    <x v="11"/>
    <n v="2470300"/>
    <n v="7.66"/>
  </r>
  <r>
    <d v="2023-12-20T00:00:00"/>
    <x v="8"/>
    <s v="Kolkata"/>
    <x v="11"/>
    <x v="12"/>
    <x v="1"/>
    <n v="40"/>
    <x v="12"/>
    <n v="155"/>
    <x v="947"/>
    <n v="325081500"/>
    <x v="1"/>
    <x v="0"/>
    <x v="0"/>
    <x v="3"/>
    <x v="11"/>
    <n v="12"/>
    <x v="11"/>
    <n v="2097300"/>
    <n v="32.51"/>
  </r>
  <r>
    <d v="2023-12-20T00:00:00"/>
    <x v="12"/>
    <s v="Hisar"/>
    <x v="14"/>
    <x v="16"/>
    <x v="0"/>
    <n v="3"/>
    <x v="15"/>
    <n v="171"/>
    <x v="948"/>
    <n v="26693100"/>
    <x v="0"/>
    <x v="0"/>
    <x v="0"/>
    <x v="3"/>
    <x v="11"/>
    <n v="12"/>
    <x v="11"/>
    <n v="156100"/>
    <n v="2.67"/>
  </r>
  <r>
    <d v="2023-12-20T00:00:00"/>
    <x v="6"/>
    <s v="Surat"/>
    <x v="14"/>
    <x v="16"/>
    <x v="0"/>
    <n v="3"/>
    <x v="15"/>
    <n v="95"/>
    <x v="949"/>
    <n v="12673000"/>
    <x v="1"/>
    <x v="2"/>
    <x v="0"/>
    <x v="3"/>
    <x v="11"/>
    <n v="12"/>
    <x v="11"/>
    <n v="133400"/>
    <n v="1.27"/>
  </r>
  <r>
    <d v="2023-12-20T00:00:00"/>
    <x v="1"/>
    <s v="Rohini"/>
    <x v="8"/>
    <x v="8"/>
    <x v="0"/>
    <n v="66"/>
    <x v="8"/>
    <n v="59"/>
    <x v="950"/>
    <n v="346448000"/>
    <x v="0"/>
    <x v="0"/>
    <x v="0"/>
    <x v="3"/>
    <x v="11"/>
    <n v="12"/>
    <x v="11"/>
    <n v="5872000"/>
    <n v="34.64"/>
  </r>
  <r>
    <d v="2023-12-21T00:00:00"/>
    <x v="3"/>
    <s v="Nagpur"/>
    <x v="15"/>
    <x v="17"/>
    <x v="0"/>
    <n v="5"/>
    <x v="15"/>
    <n v="154"/>
    <x v="951"/>
    <n v="25317600"/>
    <x v="1"/>
    <x v="3"/>
    <x v="0"/>
    <x v="3"/>
    <x v="11"/>
    <n v="12"/>
    <x v="11"/>
    <n v="164400"/>
    <n v="2.5299999999999998"/>
  </r>
  <r>
    <d v="2023-12-22T00:00:00"/>
    <x v="5"/>
    <s v="Mangaluru"/>
    <x v="3"/>
    <x v="3"/>
    <x v="0"/>
    <n v="3"/>
    <x v="3"/>
    <n v="114"/>
    <x v="952"/>
    <n v="11844600"/>
    <x v="1"/>
    <x v="0"/>
    <x v="0"/>
    <x v="3"/>
    <x v="11"/>
    <n v="12"/>
    <x v="11"/>
    <n v="103900"/>
    <n v="1.18"/>
  </r>
  <r>
    <d v="2023-12-23T00:00:00"/>
    <x v="12"/>
    <s v="Hisar"/>
    <x v="4"/>
    <x v="4"/>
    <x v="0"/>
    <n v="77"/>
    <x v="4"/>
    <n v="26"/>
    <x v="953"/>
    <n v="118671800"/>
    <x v="1"/>
    <x v="0"/>
    <x v="0"/>
    <x v="3"/>
    <x v="11"/>
    <n v="12"/>
    <x v="11"/>
    <n v="4564300"/>
    <n v="11.87"/>
  </r>
  <r>
    <d v="2023-12-24T00:00:00"/>
    <x v="3"/>
    <s v="Mumbai"/>
    <x v="1"/>
    <x v="21"/>
    <x v="0"/>
    <n v="3"/>
    <x v="19"/>
    <n v="122"/>
    <x v="954"/>
    <n v="12712400"/>
    <x v="1"/>
    <x v="3"/>
    <x v="0"/>
    <x v="3"/>
    <x v="11"/>
    <n v="12"/>
    <x v="11"/>
    <n v="104200"/>
    <n v="1.27"/>
  </r>
  <r>
    <d v="2023-12-24T00:00:00"/>
    <x v="8"/>
    <s v="Kolkata"/>
    <x v="14"/>
    <x v="16"/>
    <x v="0"/>
    <n v="3"/>
    <x v="15"/>
    <n v="90"/>
    <x v="955"/>
    <n v="12231000"/>
    <x v="1"/>
    <x v="0"/>
    <x v="0"/>
    <x v="3"/>
    <x v="11"/>
    <n v="12"/>
    <x v="11"/>
    <n v="135900"/>
    <n v="1.22"/>
  </r>
  <r>
    <d v="2023-12-24T00:00:00"/>
    <x v="3"/>
    <s v="Nashik"/>
    <x v="10"/>
    <x v="11"/>
    <x v="0"/>
    <n v="69"/>
    <x v="11"/>
    <n v="64"/>
    <x v="956"/>
    <n v="318502400"/>
    <x v="1"/>
    <x v="0"/>
    <x v="0"/>
    <x v="3"/>
    <x v="11"/>
    <n v="12"/>
    <x v="11"/>
    <n v="4976600"/>
    <n v="31.85"/>
  </r>
  <r>
    <d v="2023-12-26T00:00:00"/>
    <x v="2"/>
    <s v="Lucknow"/>
    <x v="12"/>
    <x v="18"/>
    <x v="1"/>
    <n v="60"/>
    <x v="16"/>
    <n v="31"/>
    <x v="957"/>
    <n v="102991300"/>
    <x v="1"/>
    <x v="1"/>
    <x v="0"/>
    <x v="3"/>
    <x v="11"/>
    <n v="12"/>
    <x v="11"/>
    <n v="3322300"/>
    <n v="10.3"/>
  </r>
  <r>
    <d v="2023-12-27T00:00:00"/>
    <x v="14"/>
    <s v="Jodhpur"/>
    <x v="11"/>
    <x v="12"/>
    <x v="0"/>
    <n v="40"/>
    <x v="12"/>
    <n v="122"/>
    <x v="958"/>
    <n v="242780000"/>
    <x v="1"/>
    <x v="2"/>
    <x v="0"/>
    <x v="3"/>
    <x v="11"/>
    <n v="12"/>
    <x v="11"/>
    <n v="1990000"/>
    <n v="24.28"/>
  </r>
  <r>
    <d v="2023-12-27T00:00:00"/>
    <x v="1"/>
    <s v="New Delhi"/>
    <x v="12"/>
    <x v="14"/>
    <x v="2"/>
    <n v="82"/>
    <x v="13"/>
    <n v="10"/>
    <x v="959"/>
    <n v="53840000"/>
    <x v="1"/>
    <x v="0"/>
    <x v="0"/>
    <x v="3"/>
    <x v="11"/>
    <n v="12"/>
    <x v="11"/>
    <n v="5384000"/>
    <n v="5.38"/>
  </r>
  <r>
    <d v="2023-12-29T00:00:00"/>
    <x v="13"/>
    <s v="Bhopal"/>
    <x v="8"/>
    <x v="20"/>
    <x v="0"/>
    <n v="84"/>
    <x v="18"/>
    <n v="60"/>
    <x v="960"/>
    <n v="480834000"/>
    <x v="2"/>
    <x v="2"/>
    <x v="0"/>
    <x v="3"/>
    <x v="11"/>
    <n v="12"/>
    <x v="11"/>
    <n v="8013900"/>
    <n v="48.08"/>
  </r>
  <r>
    <d v="2023-12-30T00:00:00"/>
    <x v="1"/>
    <s v="Saket"/>
    <x v="4"/>
    <x v="4"/>
    <x v="0"/>
    <n v="77"/>
    <x v="4"/>
    <n v="22"/>
    <x v="961"/>
    <n v="118769200"/>
    <x v="1"/>
    <x v="2"/>
    <x v="0"/>
    <x v="3"/>
    <x v="11"/>
    <n v="12"/>
    <x v="11"/>
    <n v="5398600"/>
    <n v="11.88"/>
  </r>
  <r>
    <d v="2023-12-31T00:00:00"/>
    <x v="11"/>
    <s v="Chennai"/>
    <x v="2"/>
    <x v="2"/>
    <x v="0"/>
    <n v="66"/>
    <x v="2"/>
    <n v="23"/>
    <x v="962"/>
    <n v="195838100"/>
    <x v="1"/>
    <x v="2"/>
    <x v="0"/>
    <x v="3"/>
    <x v="11"/>
    <n v="12"/>
    <x v="11"/>
    <n v="8514700"/>
    <n v="19.579999999999998"/>
  </r>
  <r>
    <d v="2023-12-31T00:00:00"/>
    <x v="3"/>
    <s v="Nashik"/>
    <x v="14"/>
    <x v="16"/>
    <x v="0"/>
    <n v="3"/>
    <x v="15"/>
    <n v="16"/>
    <x v="963"/>
    <n v="2281600"/>
    <x v="1"/>
    <x v="1"/>
    <x v="0"/>
    <x v="3"/>
    <x v="11"/>
    <n v="12"/>
    <x v="11"/>
    <n v="142600"/>
    <n v="0.23"/>
  </r>
  <r>
    <d v="2023-12-31T00:00:00"/>
    <x v="12"/>
    <s v="Hisar"/>
    <x v="11"/>
    <x v="23"/>
    <x v="1"/>
    <n v="59"/>
    <x v="20"/>
    <n v="10"/>
    <x v="964"/>
    <n v="25666000"/>
    <x v="1"/>
    <x v="2"/>
    <x v="0"/>
    <x v="3"/>
    <x v="11"/>
    <n v="12"/>
    <x v="11"/>
    <n v="2566600"/>
    <n v="2.57"/>
  </r>
  <r>
    <d v="2023-12-31T00:00:00"/>
    <x v="8"/>
    <s v="Durgapur"/>
    <x v="2"/>
    <x v="2"/>
    <x v="0"/>
    <n v="66"/>
    <x v="2"/>
    <n v="73"/>
    <x v="965"/>
    <n v="563012500"/>
    <x v="1"/>
    <x v="0"/>
    <x v="0"/>
    <x v="3"/>
    <x v="11"/>
    <n v="12"/>
    <x v="11"/>
    <n v="7712500"/>
    <n v="56.3"/>
  </r>
  <r>
    <d v="2024-01-01T00:00:00"/>
    <x v="3"/>
    <s v="Nagpur"/>
    <x v="0"/>
    <x v="0"/>
    <x v="0"/>
    <n v="82"/>
    <x v="0"/>
    <n v="13"/>
    <x v="966"/>
    <n v="78458900"/>
    <x v="1"/>
    <x v="3"/>
    <x v="1"/>
    <x v="0"/>
    <x v="0"/>
    <n v="1"/>
    <x v="12"/>
    <n v="6035300"/>
    <n v="7.85"/>
  </r>
  <r>
    <d v="2024-01-02T00:00:00"/>
    <x v="5"/>
    <s v="Mangaluru"/>
    <x v="11"/>
    <x v="23"/>
    <x v="2"/>
    <n v="59"/>
    <x v="20"/>
    <n v="113"/>
    <x v="967"/>
    <n v="332378200"/>
    <x v="0"/>
    <x v="0"/>
    <x v="1"/>
    <x v="0"/>
    <x v="0"/>
    <n v="1"/>
    <x v="12"/>
    <n v="2941400"/>
    <n v="33.24"/>
  </r>
  <r>
    <d v="2024-01-02T00:00:00"/>
    <x v="6"/>
    <s v="Rajkot"/>
    <x v="8"/>
    <x v="8"/>
    <x v="0"/>
    <n v="66"/>
    <x v="8"/>
    <n v="42"/>
    <x v="968"/>
    <n v="226380000"/>
    <x v="1"/>
    <x v="0"/>
    <x v="1"/>
    <x v="0"/>
    <x v="0"/>
    <n v="1"/>
    <x v="12"/>
    <n v="5390000"/>
    <n v="22.64"/>
  </r>
  <r>
    <d v="2024-01-03T00:00:00"/>
    <x v="0"/>
    <s v="Warangal"/>
    <x v="2"/>
    <x v="2"/>
    <x v="0"/>
    <n v="66"/>
    <x v="2"/>
    <n v="19"/>
    <x v="969"/>
    <n v="175824100"/>
    <x v="1"/>
    <x v="2"/>
    <x v="1"/>
    <x v="0"/>
    <x v="0"/>
    <n v="1"/>
    <x v="12"/>
    <n v="9253900"/>
    <n v="17.579999999999998"/>
  </r>
  <r>
    <d v="2024-01-03T00:00:00"/>
    <x v="11"/>
    <s v="Coimbatore"/>
    <x v="5"/>
    <x v="5"/>
    <x v="2"/>
    <n v="30"/>
    <x v="5"/>
    <n v="41"/>
    <x v="970"/>
    <n v="64136300"/>
    <x v="1"/>
    <x v="2"/>
    <x v="1"/>
    <x v="0"/>
    <x v="0"/>
    <n v="1"/>
    <x v="12"/>
    <n v="1564300"/>
    <n v="6.41"/>
  </r>
  <r>
    <d v="2024-01-03T00:00:00"/>
    <x v="0"/>
    <s v="Warangal"/>
    <x v="1"/>
    <x v="1"/>
    <x v="0"/>
    <n v="4"/>
    <x v="1"/>
    <n v="155"/>
    <x v="971"/>
    <n v="20088000"/>
    <x v="0"/>
    <x v="2"/>
    <x v="1"/>
    <x v="0"/>
    <x v="0"/>
    <n v="1"/>
    <x v="12"/>
    <n v="129600"/>
    <n v="2.0099999999999998"/>
  </r>
  <r>
    <d v="2024-01-03T00:00:00"/>
    <x v="1"/>
    <s v="Saket"/>
    <x v="12"/>
    <x v="18"/>
    <x v="0"/>
    <n v="60"/>
    <x v="16"/>
    <n v="7"/>
    <x v="972"/>
    <n v="25678100"/>
    <x v="1"/>
    <x v="1"/>
    <x v="1"/>
    <x v="0"/>
    <x v="0"/>
    <n v="1"/>
    <x v="12"/>
    <n v="3668300"/>
    <n v="2.57"/>
  </r>
  <r>
    <d v="2024-01-03T00:00:00"/>
    <x v="14"/>
    <s v="Jaipur"/>
    <x v="4"/>
    <x v="4"/>
    <x v="0"/>
    <n v="77"/>
    <x v="4"/>
    <n v="32"/>
    <x v="973"/>
    <n v="151062400"/>
    <x v="1"/>
    <x v="0"/>
    <x v="1"/>
    <x v="0"/>
    <x v="0"/>
    <n v="1"/>
    <x v="12"/>
    <n v="4720700"/>
    <n v="15.11"/>
  </r>
  <r>
    <d v="2024-01-04T00:00:00"/>
    <x v="10"/>
    <s v="Kozhikode"/>
    <x v="9"/>
    <x v="10"/>
    <x v="0"/>
    <n v="25"/>
    <x v="10"/>
    <n v="155"/>
    <x v="974"/>
    <n v="155031000"/>
    <x v="1"/>
    <x v="0"/>
    <x v="1"/>
    <x v="0"/>
    <x v="0"/>
    <n v="1"/>
    <x v="12"/>
    <n v="1000200"/>
    <n v="15.5"/>
  </r>
  <r>
    <d v="2024-01-04T00:00:00"/>
    <x v="2"/>
    <s v="Kanpur"/>
    <x v="14"/>
    <x v="16"/>
    <x v="0"/>
    <n v="3"/>
    <x v="15"/>
    <n v="162"/>
    <x v="975"/>
    <n v="24834600"/>
    <x v="1"/>
    <x v="3"/>
    <x v="1"/>
    <x v="0"/>
    <x v="0"/>
    <n v="1"/>
    <x v="12"/>
    <n v="153300"/>
    <n v="2.48"/>
  </r>
  <r>
    <d v="2024-01-04T00:00:00"/>
    <x v="0"/>
    <s v="Hyderabad"/>
    <x v="13"/>
    <x v="19"/>
    <x v="0"/>
    <n v="24"/>
    <x v="17"/>
    <n v="61"/>
    <x v="976"/>
    <n v="97905000"/>
    <x v="0"/>
    <x v="0"/>
    <x v="1"/>
    <x v="0"/>
    <x v="0"/>
    <n v="1"/>
    <x v="12"/>
    <n v="1605000"/>
    <n v="9.7899999999999991"/>
  </r>
  <r>
    <d v="2024-01-04T00:00:00"/>
    <x v="5"/>
    <s v="Mysuru"/>
    <x v="3"/>
    <x v="3"/>
    <x v="0"/>
    <n v="3"/>
    <x v="3"/>
    <n v="33"/>
    <x v="977"/>
    <n v="3755400"/>
    <x v="1"/>
    <x v="2"/>
    <x v="1"/>
    <x v="0"/>
    <x v="0"/>
    <n v="1"/>
    <x v="12"/>
    <n v="113800"/>
    <n v="0.38"/>
  </r>
  <r>
    <d v="2024-01-05T00:00:00"/>
    <x v="4"/>
    <s v="Jalandhar"/>
    <x v="2"/>
    <x v="2"/>
    <x v="0"/>
    <n v="66"/>
    <x v="2"/>
    <n v="64"/>
    <x v="978"/>
    <n v="557683200"/>
    <x v="0"/>
    <x v="2"/>
    <x v="1"/>
    <x v="0"/>
    <x v="0"/>
    <n v="1"/>
    <x v="12"/>
    <n v="8713800"/>
    <n v="55.77"/>
  </r>
  <r>
    <d v="2024-01-05T00:00:00"/>
    <x v="11"/>
    <s v="Chennai"/>
    <x v="7"/>
    <x v="7"/>
    <x v="0"/>
    <n v="3"/>
    <x v="7"/>
    <n v="129"/>
    <x v="273"/>
    <n v="18330900"/>
    <x v="1"/>
    <x v="0"/>
    <x v="1"/>
    <x v="0"/>
    <x v="0"/>
    <n v="1"/>
    <x v="12"/>
    <n v="142100"/>
    <n v="1.83"/>
  </r>
  <r>
    <d v="2024-01-05T00:00:00"/>
    <x v="14"/>
    <s v="Jaipur"/>
    <x v="9"/>
    <x v="9"/>
    <x v="0"/>
    <n v="50"/>
    <x v="9"/>
    <n v="94"/>
    <x v="979"/>
    <n v="254928000"/>
    <x v="0"/>
    <x v="0"/>
    <x v="1"/>
    <x v="0"/>
    <x v="0"/>
    <n v="1"/>
    <x v="12"/>
    <n v="2712000"/>
    <n v="25.49"/>
  </r>
  <r>
    <d v="2024-01-06T00:00:00"/>
    <x v="5"/>
    <s v="Hubballi"/>
    <x v="3"/>
    <x v="3"/>
    <x v="0"/>
    <n v="3"/>
    <x v="3"/>
    <n v="27"/>
    <x v="980"/>
    <n v="2926800"/>
    <x v="1"/>
    <x v="2"/>
    <x v="1"/>
    <x v="0"/>
    <x v="0"/>
    <n v="1"/>
    <x v="12"/>
    <n v="108400"/>
    <n v="0.28999999999999998"/>
  </r>
  <r>
    <d v="2024-01-07T00:00:00"/>
    <x v="10"/>
    <s v="Kozhikode"/>
    <x v="6"/>
    <x v="6"/>
    <x v="0"/>
    <n v="72"/>
    <x v="6"/>
    <n v="178"/>
    <x v="981"/>
    <n v="772324200"/>
    <x v="1"/>
    <x v="0"/>
    <x v="1"/>
    <x v="0"/>
    <x v="0"/>
    <n v="1"/>
    <x v="12"/>
    <n v="4338900"/>
    <n v="77.23"/>
  </r>
  <r>
    <d v="2024-01-07T00:00:00"/>
    <x v="13"/>
    <s v="Indore"/>
    <x v="14"/>
    <x v="16"/>
    <x v="0"/>
    <n v="3"/>
    <x v="15"/>
    <n v="164"/>
    <x v="982"/>
    <n v="27076400"/>
    <x v="2"/>
    <x v="2"/>
    <x v="1"/>
    <x v="0"/>
    <x v="0"/>
    <n v="1"/>
    <x v="12"/>
    <n v="165100"/>
    <n v="2.71"/>
  </r>
  <r>
    <d v="2024-01-08T00:00:00"/>
    <x v="3"/>
    <s v="Nagpur"/>
    <x v="2"/>
    <x v="2"/>
    <x v="0"/>
    <n v="66"/>
    <x v="2"/>
    <n v="64"/>
    <x v="983"/>
    <n v="498662400"/>
    <x v="0"/>
    <x v="2"/>
    <x v="1"/>
    <x v="0"/>
    <x v="0"/>
    <n v="1"/>
    <x v="12"/>
    <n v="7791600"/>
    <n v="49.87"/>
  </r>
  <r>
    <d v="2024-01-08T00:00:00"/>
    <x v="5"/>
    <s v="Mysuru"/>
    <x v="14"/>
    <x v="16"/>
    <x v="0"/>
    <n v="3"/>
    <x v="15"/>
    <n v="165"/>
    <x v="984"/>
    <n v="29122500"/>
    <x v="1"/>
    <x v="0"/>
    <x v="1"/>
    <x v="0"/>
    <x v="0"/>
    <n v="1"/>
    <x v="12"/>
    <n v="176500"/>
    <n v="2.91"/>
  </r>
  <r>
    <d v="2024-01-08T00:00:00"/>
    <x v="0"/>
    <s v="Hyderabad"/>
    <x v="13"/>
    <x v="15"/>
    <x v="0"/>
    <n v="40"/>
    <x v="14"/>
    <n v="141"/>
    <x v="985"/>
    <n v="304983000"/>
    <x v="1"/>
    <x v="0"/>
    <x v="1"/>
    <x v="0"/>
    <x v="0"/>
    <n v="1"/>
    <x v="12"/>
    <n v="2163000"/>
    <n v="30.5"/>
  </r>
  <r>
    <d v="2024-01-09T00:00:00"/>
    <x v="5"/>
    <s v="Mysuru"/>
    <x v="2"/>
    <x v="2"/>
    <x v="0"/>
    <n v="66"/>
    <x v="2"/>
    <n v="64"/>
    <x v="986"/>
    <n v="555980800"/>
    <x v="2"/>
    <x v="3"/>
    <x v="1"/>
    <x v="0"/>
    <x v="0"/>
    <n v="1"/>
    <x v="12"/>
    <n v="8687200"/>
    <n v="55.6"/>
  </r>
  <r>
    <d v="2024-01-09T00:00:00"/>
    <x v="8"/>
    <s v="Durgapur"/>
    <x v="0"/>
    <x v="0"/>
    <x v="3"/>
    <n v="82"/>
    <x v="0"/>
    <n v="13"/>
    <x v="987"/>
    <n v="101017800"/>
    <x v="1"/>
    <x v="0"/>
    <x v="1"/>
    <x v="0"/>
    <x v="0"/>
    <n v="1"/>
    <x v="12"/>
    <n v="7770600"/>
    <n v="10.1"/>
  </r>
  <r>
    <d v="2024-01-10T00:00:00"/>
    <x v="1"/>
    <s v="Dwarka"/>
    <x v="5"/>
    <x v="5"/>
    <x v="0"/>
    <n v="30"/>
    <x v="5"/>
    <n v="22"/>
    <x v="988"/>
    <n v="35620200"/>
    <x v="2"/>
    <x v="2"/>
    <x v="1"/>
    <x v="0"/>
    <x v="0"/>
    <n v="1"/>
    <x v="12"/>
    <n v="1619100"/>
    <n v="3.56"/>
  </r>
  <r>
    <d v="2024-01-10T00:00:00"/>
    <x v="10"/>
    <s v="Thiruvananthapuram"/>
    <x v="15"/>
    <x v="17"/>
    <x v="0"/>
    <n v="5"/>
    <x v="15"/>
    <n v="75"/>
    <x v="989"/>
    <n v="13155000"/>
    <x v="1"/>
    <x v="0"/>
    <x v="1"/>
    <x v="0"/>
    <x v="0"/>
    <n v="1"/>
    <x v="12"/>
    <n v="175400"/>
    <n v="1.32"/>
  </r>
  <r>
    <d v="2024-01-10T00:00:00"/>
    <x v="8"/>
    <s v="Kolkata"/>
    <x v="10"/>
    <x v="11"/>
    <x v="0"/>
    <n v="69"/>
    <x v="11"/>
    <n v="50"/>
    <x v="990"/>
    <n v="299555000"/>
    <x v="1"/>
    <x v="0"/>
    <x v="1"/>
    <x v="0"/>
    <x v="0"/>
    <n v="1"/>
    <x v="12"/>
    <n v="5991100"/>
    <n v="29.96"/>
  </r>
  <r>
    <d v="2024-01-11T00:00:00"/>
    <x v="12"/>
    <s v="Faridabad"/>
    <x v="14"/>
    <x v="16"/>
    <x v="0"/>
    <n v="3"/>
    <x v="15"/>
    <n v="21"/>
    <x v="991"/>
    <n v="3372600"/>
    <x v="1"/>
    <x v="0"/>
    <x v="1"/>
    <x v="0"/>
    <x v="0"/>
    <n v="1"/>
    <x v="12"/>
    <n v="160600"/>
    <n v="0.34"/>
  </r>
  <r>
    <d v="2024-01-11T00:00:00"/>
    <x v="6"/>
    <s v="Surat"/>
    <x v="9"/>
    <x v="9"/>
    <x v="2"/>
    <n v="50"/>
    <x v="9"/>
    <n v="158"/>
    <x v="992"/>
    <n v="410357600"/>
    <x v="0"/>
    <x v="0"/>
    <x v="1"/>
    <x v="0"/>
    <x v="0"/>
    <n v="1"/>
    <x v="12"/>
    <n v="2597200"/>
    <n v="41.04"/>
  </r>
  <r>
    <d v="2024-01-11T00:00:00"/>
    <x v="5"/>
    <s v="Mysuru"/>
    <x v="2"/>
    <x v="2"/>
    <x v="1"/>
    <n v="66"/>
    <x v="2"/>
    <n v="38"/>
    <x v="993"/>
    <n v="350854000"/>
    <x v="1"/>
    <x v="0"/>
    <x v="1"/>
    <x v="0"/>
    <x v="0"/>
    <n v="1"/>
    <x v="12"/>
    <n v="9233000"/>
    <n v="35.090000000000003"/>
  </r>
  <r>
    <d v="2024-01-11T00:00:00"/>
    <x v="11"/>
    <s v="Chennai"/>
    <x v="5"/>
    <x v="5"/>
    <x v="0"/>
    <n v="30"/>
    <x v="5"/>
    <n v="24"/>
    <x v="994"/>
    <n v="40216800"/>
    <x v="0"/>
    <x v="1"/>
    <x v="1"/>
    <x v="0"/>
    <x v="0"/>
    <n v="1"/>
    <x v="12"/>
    <n v="1675700"/>
    <n v="4.0199999999999996"/>
  </r>
  <r>
    <d v="2024-01-11T00:00:00"/>
    <x v="5"/>
    <s v="Hubballi"/>
    <x v="7"/>
    <x v="7"/>
    <x v="0"/>
    <n v="3"/>
    <x v="7"/>
    <n v="87"/>
    <x v="995"/>
    <n v="14781300"/>
    <x v="0"/>
    <x v="0"/>
    <x v="1"/>
    <x v="0"/>
    <x v="0"/>
    <n v="1"/>
    <x v="12"/>
    <n v="169900"/>
    <n v="1.48"/>
  </r>
  <r>
    <d v="2024-01-12T00:00:00"/>
    <x v="3"/>
    <s v="Nashik"/>
    <x v="9"/>
    <x v="9"/>
    <x v="0"/>
    <n v="50"/>
    <x v="9"/>
    <n v="35"/>
    <x v="996"/>
    <n v="77077000"/>
    <x v="0"/>
    <x v="2"/>
    <x v="1"/>
    <x v="0"/>
    <x v="0"/>
    <n v="1"/>
    <x v="12"/>
    <n v="2202200"/>
    <n v="7.71"/>
  </r>
  <r>
    <d v="2024-01-13T00:00:00"/>
    <x v="5"/>
    <s v="Hubballi"/>
    <x v="14"/>
    <x v="16"/>
    <x v="0"/>
    <n v="3"/>
    <x v="15"/>
    <n v="31"/>
    <x v="997"/>
    <n v="4953800"/>
    <x v="1"/>
    <x v="2"/>
    <x v="1"/>
    <x v="0"/>
    <x v="0"/>
    <n v="1"/>
    <x v="12"/>
    <n v="159800"/>
    <n v="0.5"/>
  </r>
  <r>
    <d v="2024-01-13T00:00:00"/>
    <x v="11"/>
    <s v="Salem"/>
    <x v="4"/>
    <x v="4"/>
    <x v="0"/>
    <n v="77"/>
    <x v="4"/>
    <n v="30"/>
    <x v="998"/>
    <n v="165591000"/>
    <x v="1"/>
    <x v="0"/>
    <x v="1"/>
    <x v="0"/>
    <x v="0"/>
    <n v="1"/>
    <x v="12"/>
    <n v="5519700"/>
    <n v="16.559999999999999"/>
  </r>
  <r>
    <d v="2024-01-13T00:00:00"/>
    <x v="5"/>
    <s v="Hubballi"/>
    <x v="5"/>
    <x v="5"/>
    <x v="1"/>
    <n v="30"/>
    <x v="5"/>
    <n v="3"/>
    <x v="999"/>
    <n v="4931100"/>
    <x v="0"/>
    <x v="0"/>
    <x v="1"/>
    <x v="0"/>
    <x v="0"/>
    <n v="1"/>
    <x v="12"/>
    <n v="1643700"/>
    <n v="0.49"/>
  </r>
  <r>
    <d v="2024-01-14T00:00:00"/>
    <x v="14"/>
    <s v="Jaipur"/>
    <x v="1"/>
    <x v="1"/>
    <x v="0"/>
    <n v="4"/>
    <x v="1"/>
    <n v="26"/>
    <x v="1000"/>
    <n v="3733600"/>
    <x v="1"/>
    <x v="2"/>
    <x v="1"/>
    <x v="0"/>
    <x v="0"/>
    <n v="1"/>
    <x v="12"/>
    <n v="143600"/>
    <n v="0.37"/>
  </r>
  <r>
    <d v="2024-01-14T00:00:00"/>
    <x v="10"/>
    <s v="Kochi"/>
    <x v="11"/>
    <x v="23"/>
    <x v="0"/>
    <n v="59"/>
    <x v="20"/>
    <n v="118"/>
    <x v="1001"/>
    <n v="347403800"/>
    <x v="1"/>
    <x v="0"/>
    <x v="1"/>
    <x v="0"/>
    <x v="0"/>
    <n v="1"/>
    <x v="12"/>
    <n v="2944100"/>
    <n v="34.74"/>
  </r>
  <r>
    <d v="2024-01-14T00:00:00"/>
    <x v="12"/>
    <s v="Faridabad"/>
    <x v="7"/>
    <x v="7"/>
    <x v="0"/>
    <n v="3"/>
    <x v="7"/>
    <n v="51"/>
    <x v="1002"/>
    <n v="8052900"/>
    <x v="1"/>
    <x v="1"/>
    <x v="1"/>
    <x v="0"/>
    <x v="0"/>
    <n v="1"/>
    <x v="12"/>
    <n v="157900"/>
    <n v="0.81"/>
  </r>
  <r>
    <d v="2024-01-15T00:00:00"/>
    <x v="3"/>
    <s v="Pune"/>
    <x v="12"/>
    <x v="14"/>
    <x v="0"/>
    <n v="82"/>
    <x v="13"/>
    <n v="37"/>
    <x v="1003"/>
    <n v="199315300"/>
    <x v="0"/>
    <x v="1"/>
    <x v="1"/>
    <x v="0"/>
    <x v="0"/>
    <n v="1"/>
    <x v="12"/>
    <n v="5386900"/>
    <n v="19.93"/>
  </r>
  <r>
    <d v="2024-01-15T00:00:00"/>
    <x v="14"/>
    <s v="Kota"/>
    <x v="4"/>
    <x v="4"/>
    <x v="0"/>
    <n v="77"/>
    <x v="4"/>
    <n v="11"/>
    <x v="1004"/>
    <n v="60219500"/>
    <x v="0"/>
    <x v="2"/>
    <x v="1"/>
    <x v="0"/>
    <x v="0"/>
    <n v="1"/>
    <x v="12"/>
    <n v="5474500"/>
    <n v="6.02"/>
  </r>
  <r>
    <d v="2024-01-16T00:00:00"/>
    <x v="13"/>
    <s v="Gwalior"/>
    <x v="3"/>
    <x v="3"/>
    <x v="0"/>
    <n v="3"/>
    <x v="3"/>
    <n v="11"/>
    <x v="397"/>
    <n v="1285900"/>
    <x v="0"/>
    <x v="2"/>
    <x v="1"/>
    <x v="0"/>
    <x v="0"/>
    <n v="1"/>
    <x v="12"/>
    <n v="116900"/>
    <n v="0.13"/>
  </r>
  <r>
    <d v="2024-01-17T00:00:00"/>
    <x v="3"/>
    <s v="Nashik"/>
    <x v="5"/>
    <x v="5"/>
    <x v="1"/>
    <n v="30"/>
    <x v="5"/>
    <n v="50"/>
    <x v="1005"/>
    <n v="78760000"/>
    <x v="1"/>
    <x v="0"/>
    <x v="1"/>
    <x v="0"/>
    <x v="0"/>
    <n v="1"/>
    <x v="12"/>
    <n v="1575200"/>
    <n v="7.88"/>
  </r>
  <r>
    <d v="2024-01-17T00:00:00"/>
    <x v="5"/>
    <s v="Mysuru"/>
    <x v="10"/>
    <x v="11"/>
    <x v="0"/>
    <n v="69"/>
    <x v="11"/>
    <n v="62"/>
    <x v="1006"/>
    <n v="372452600"/>
    <x v="0"/>
    <x v="0"/>
    <x v="1"/>
    <x v="0"/>
    <x v="0"/>
    <n v="1"/>
    <x v="12"/>
    <n v="6007300"/>
    <n v="37.25"/>
  </r>
  <r>
    <d v="2024-01-17T00:00:00"/>
    <x v="0"/>
    <s v="Hyderabad"/>
    <x v="8"/>
    <x v="20"/>
    <x v="0"/>
    <n v="84"/>
    <x v="18"/>
    <n v="26"/>
    <x v="1007"/>
    <n v="185486600"/>
    <x v="1"/>
    <x v="0"/>
    <x v="1"/>
    <x v="0"/>
    <x v="0"/>
    <n v="1"/>
    <x v="12"/>
    <n v="7134100"/>
    <n v="18.55"/>
  </r>
  <r>
    <d v="2024-01-17T00:00:00"/>
    <x v="12"/>
    <s v="Hisar"/>
    <x v="3"/>
    <x v="3"/>
    <x v="0"/>
    <n v="3"/>
    <x v="3"/>
    <n v="103"/>
    <x v="1008"/>
    <n v="12947100"/>
    <x v="1"/>
    <x v="2"/>
    <x v="1"/>
    <x v="0"/>
    <x v="0"/>
    <n v="1"/>
    <x v="12"/>
    <n v="125700"/>
    <n v="1.29"/>
  </r>
  <r>
    <d v="2024-01-18T00:00:00"/>
    <x v="13"/>
    <s v="Bhopal"/>
    <x v="8"/>
    <x v="20"/>
    <x v="0"/>
    <n v="84"/>
    <x v="18"/>
    <n v="72"/>
    <x v="1009"/>
    <n v="515109600"/>
    <x v="1"/>
    <x v="1"/>
    <x v="1"/>
    <x v="0"/>
    <x v="0"/>
    <n v="1"/>
    <x v="12"/>
    <n v="7154300"/>
    <n v="51.51"/>
  </r>
  <r>
    <d v="2024-01-20T00:00:00"/>
    <x v="5"/>
    <s v="Hubballi"/>
    <x v="9"/>
    <x v="9"/>
    <x v="0"/>
    <n v="50"/>
    <x v="9"/>
    <n v="169"/>
    <x v="1010"/>
    <n v="404180400"/>
    <x v="1"/>
    <x v="2"/>
    <x v="1"/>
    <x v="0"/>
    <x v="0"/>
    <n v="1"/>
    <x v="12"/>
    <n v="2391600"/>
    <n v="40.42"/>
  </r>
  <r>
    <d v="2024-01-20T00:00:00"/>
    <x v="10"/>
    <s v="Kochi"/>
    <x v="15"/>
    <x v="17"/>
    <x v="0"/>
    <n v="5"/>
    <x v="15"/>
    <n v="124"/>
    <x v="982"/>
    <n v="20472400"/>
    <x v="1"/>
    <x v="1"/>
    <x v="1"/>
    <x v="0"/>
    <x v="0"/>
    <n v="1"/>
    <x v="12"/>
    <n v="165100"/>
    <n v="2.0499999999999998"/>
  </r>
  <r>
    <d v="2024-01-21T00:00:00"/>
    <x v="2"/>
    <s v="Kanpur"/>
    <x v="8"/>
    <x v="20"/>
    <x v="0"/>
    <n v="84"/>
    <x v="18"/>
    <n v="39"/>
    <x v="1011"/>
    <n v="329990700"/>
    <x v="1"/>
    <x v="2"/>
    <x v="1"/>
    <x v="0"/>
    <x v="0"/>
    <n v="1"/>
    <x v="12"/>
    <n v="8461300"/>
    <n v="33"/>
  </r>
  <r>
    <d v="2024-01-21T00:00:00"/>
    <x v="7"/>
    <s v="Vijayawada"/>
    <x v="7"/>
    <x v="7"/>
    <x v="0"/>
    <n v="3"/>
    <x v="7"/>
    <n v="150"/>
    <x v="1012"/>
    <n v="24855000"/>
    <x v="0"/>
    <x v="0"/>
    <x v="1"/>
    <x v="0"/>
    <x v="0"/>
    <n v="1"/>
    <x v="12"/>
    <n v="165700"/>
    <n v="2.4900000000000002"/>
  </r>
  <r>
    <d v="2024-01-21T00:00:00"/>
    <x v="3"/>
    <s v="Mumbai"/>
    <x v="5"/>
    <x v="5"/>
    <x v="0"/>
    <n v="30"/>
    <x v="5"/>
    <n v="33"/>
    <x v="1013"/>
    <n v="45203400"/>
    <x v="0"/>
    <x v="0"/>
    <x v="1"/>
    <x v="0"/>
    <x v="0"/>
    <n v="1"/>
    <x v="12"/>
    <n v="1369800"/>
    <n v="4.5199999999999996"/>
  </r>
  <r>
    <d v="2024-01-22T00:00:00"/>
    <x v="14"/>
    <s v="Jodhpur"/>
    <x v="8"/>
    <x v="20"/>
    <x v="0"/>
    <n v="84"/>
    <x v="18"/>
    <n v="45"/>
    <x v="1014"/>
    <n v="352827000"/>
    <x v="0"/>
    <x v="2"/>
    <x v="1"/>
    <x v="0"/>
    <x v="0"/>
    <n v="1"/>
    <x v="12"/>
    <n v="7840600"/>
    <n v="35.28"/>
  </r>
  <r>
    <d v="2024-01-22T00:00:00"/>
    <x v="5"/>
    <s v="Bengaluru"/>
    <x v="13"/>
    <x v="15"/>
    <x v="0"/>
    <n v="40"/>
    <x v="14"/>
    <n v="11"/>
    <x v="688"/>
    <n v="24347400"/>
    <x v="1"/>
    <x v="0"/>
    <x v="1"/>
    <x v="0"/>
    <x v="0"/>
    <n v="1"/>
    <x v="12"/>
    <n v="2213400"/>
    <n v="2.4300000000000002"/>
  </r>
  <r>
    <d v="2024-01-24T00:00:00"/>
    <x v="11"/>
    <s v="Coimbatore"/>
    <x v="5"/>
    <x v="5"/>
    <x v="0"/>
    <n v="30"/>
    <x v="5"/>
    <n v="34"/>
    <x v="1015"/>
    <n v="56545400"/>
    <x v="1"/>
    <x v="2"/>
    <x v="1"/>
    <x v="0"/>
    <x v="0"/>
    <n v="1"/>
    <x v="12"/>
    <n v="1663100"/>
    <n v="5.65"/>
  </r>
  <r>
    <d v="2024-01-24T00:00:00"/>
    <x v="10"/>
    <s v="Thiruvananthapuram"/>
    <x v="8"/>
    <x v="8"/>
    <x v="0"/>
    <n v="66"/>
    <x v="8"/>
    <n v="77"/>
    <x v="1016"/>
    <n v="497581700"/>
    <x v="2"/>
    <x v="0"/>
    <x v="1"/>
    <x v="0"/>
    <x v="0"/>
    <n v="1"/>
    <x v="12"/>
    <n v="6462100"/>
    <n v="49.76"/>
  </r>
  <r>
    <d v="2024-01-24T00:00:00"/>
    <x v="8"/>
    <s v="Asansol"/>
    <x v="1"/>
    <x v="21"/>
    <x v="0"/>
    <n v="3"/>
    <x v="19"/>
    <n v="90"/>
    <x v="160"/>
    <n v="11484000"/>
    <x v="2"/>
    <x v="0"/>
    <x v="1"/>
    <x v="0"/>
    <x v="0"/>
    <n v="1"/>
    <x v="12"/>
    <n v="127600"/>
    <n v="1.1499999999999999"/>
  </r>
  <r>
    <d v="2024-01-24T00:00:00"/>
    <x v="5"/>
    <s v="Mysuru"/>
    <x v="15"/>
    <x v="17"/>
    <x v="0"/>
    <n v="5"/>
    <x v="15"/>
    <n v="59"/>
    <x v="680"/>
    <n v="8619900"/>
    <x v="1"/>
    <x v="0"/>
    <x v="1"/>
    <x v="0"/>
    <x v="0"/>
    <n v="1"/>
    <x v="12"/>
    <n v="146100"/>
    <n v="0.86"/>
  </r>
  <r>
    <d v="2024-01-24T00:00:00"/>
    <x v="5"/>
    <s v="Mangaluru"/>
    <x v="11"/>
    <x v="12"/>
    <x v="2"/>
    <n v="40"/>
    <x v="12"/>
    <n v="161"/>
    <x v="1017"/>
    <n v="352171400"/>
    <x v="1"/>
    <x v="0"/>
    <x v="1"/>
    <x v="0"/>
    <x v="0"/>
    <n v="1"/>
    <x v="12"/>
    <n v="2187400"/>
    <n v="35.22"/>
  </r>
  <r>
    <d v="2024-01-24T00:00:00"/>
    <x v="13"/>
    <s v="Bhopal"/>
    <x v="1"/>
    <x v="1"/>
    <x v="0"/>
    <n v="4"/>
    <x v="1"/>
    <n v="56"/>
    <x v="858"/>
    <n v="7067200"/>
    <x v="1"/>
    <x v="0"/>
    <x v="1"/>
    <x v="0"/>
    <x v="0"/>
    <n v="1"/>
    <x v="12"/>
    <n v="126200"/>
    <n v="0.71"/>
  </r>
  <r>
    <d v="2024-01-25T00:00:00"/>
    <x v="11"/>
    <s v="Coimbatore"/>
    <x v="14"/>
    <x v="16"/>
    <x v="0"/>
    <n v="3"/>
    <x v="15"/>
    <n v="47"/>
    <x v="1018"/>
    <n v="7308500"/>
    <x v="1"/>
    <x v="2"/>
    <x v="1"/>
    <x v="0"/>
    <x v="0"/>
    <n v="1"/>
    <x v="12"/>
    <n v="155500"/>
    <n v="0.73"/>
  </r>
  <r>
    <d v="2024-01-25T00:00:00"/>
    <x v="14"/>
    <s v="Udaipur"/>
    <x v="12"/>
    <x v="18"/>
    <x v="2"/>
    <n v="60"/>
    <x v="16"/>
    <n v="78"/>
    <x v="1019"/>
    <n v="283592400"/>
    <x v="1"/>
    <x v="0"/>
    <x v="1"/>
    <x v="0"/>
    <x v="0"/>
    <n v="1"/>
    <x v="12"/>
    <n v="3635800"/>
    <n v="28.36"/>
  </r>
  <r>
    <d v="2024-01-25T00:00:00"/>
    <x v="1"/>
    <s v="Saket"/>
    <x v="0"/>
    <x v="0"/>
    <x v="0"/>
    <n v="82"/>
    <x v="0"/>
    <n v="6"/>
    <x v="1020"/>
    <n v="42231000"/>
    <x v="1"/>
    <x v="2"/>
    <x v="1"/>
    <x v="0"/>
    <x v="0"/>
    <n v="1"/>
    <x v="12"/>
    <n v="7038500"/>
    <n v="4.22"/>
  </r>
  <r>
    <d v="2024-01-25T00:00:00"/>
    <x v="11"/>
    <s v="Coimbatore"/>
    <x v="10"/>
    <x v="11"/>
    <x v="0"/>
    <n v="69"/>
    <x v="11"/>
    <n v="74"/>
    <x v="1021"/>
    <n v="381795600"/>
    <x v="0"/>
    <x v="0"/>
    <x v="1"/>
    <x v="0"/>
    <x v="0"/>
    <n v="1"/>
    <x v="12"/>
    <n v="5159400"/>
    <n v="38.18"/>
  </r>
  <r>
    <d v="2024-01-26T00:00:00"/>
    <x v="11"/>
    <s v="Salem"/>
    <x v="3"/>
    <x v="3"/>
    <x v="0"/>
    <n v="3"/>
    <x v="3"/>
    <n v="116"/>
    <x v="1022"/>
    <n v="13943200"/>
    <x v="1"/>
    <x v="0"/>
    <x v="1"/>
    <x v="0"/>
    <x v="0"/>
    <n v="1"/>
    <x v="12"/>
    <n v="120200"/>
    <n v="1.39"/>
  </r>
  <r>
    <d v="2024-01-26T00:00:00"/>
    <x v="11"/>
    <s v="Chennai"/>
    <x v="9"/>
    <x v="10"/>
    <x v="0"/>
    <n v="25"/>
    <x v="10"/>
    <n v="170"/>
    <x v="1023"/>
    <n v="214285000"/>
    <x v="1"/>
    <x v="0"/>
    <x v="1"/>
    <x v="0"/>
    <x v="0"/>
    <n v="1"/>
    <x v="12"/>
    <n v="1260500"/>
    <n v="21.43"/>
  </r>
  <r>
    <d v="2024-01-27T00:00:00"/>
    <x v="6"/>
    <s v="Surat"/>
    <x v="6"/>
    <x v="13"/>
    <x v="0"/>
    <n v="48"/>
    <x v="12"/>
    <n v="21"/>
    <x v="1024"/>
    <n v="43806000"/>
    <x v="2"/>
    <x v="0"/>
    <x v="1"/>
    <x v="0"/>
    <x v="0"/>
    <n v="1"/>
    <x v="12"/>
    <n v="2086000"/>
    <n v="4.38"/>
  </r>
  <r>
    <d v="2024-01-27T00:00:00"/>
    <x v="2"/>
    <s v="Kanpur"/>
    <x v="14"/>
    <x v="16"/>
    <x v="0"/>
    <n v="3"/>
    <x v="15"/>
    <n v="136"/>
    <x v="1025"/>
    <n v="21923200"/>
    <x v="1"/>
    <x v="0"/>
    <x v="1"/>
    <x v="0"/>
    <x v="0"/>
    <n v="1"/>
    <x v="12"/>
    <n v="161200"/>
    <n v="2.19"/>
  </r>
  <r>
    <d v="2024-01-27T00:00:00"/>
    <x v="3"/>
    <s v="Mumbai"/>
    <x v="3"/>
    <x v="3"/>
    <x v="0"/>
    <n v="3"/>
    <x v="3"/>
    <n v="75"/>
    <x v="1026"/>
    <n v="10432500"/>
    <x v="2"/>
    <x v="0"/>
    <x v="1"/>
    <x v="0"/>
    <x v="0"/>
    <n v="1"/>
    <x v="12"/>
    <n v="139100"/>
    <n v="1.04"/>
  </r>
  <r>
    <d v="2024-01-27T00:00:00"/>
    <x v="10"/>
    <s v="Thiruvananthapuram"/>
    <x v="13"/>
    <x v="15"/>
    <x v="0"/>
    <n v="40"/>
    <x v="14"/>
    <n v="124"/>
    <x v="1027"/>
    <n v="301816000"/>
    <x v="1"/>
    <x v="0"/>
    <x v="1"/>
    <x v="0"/>
    <x v="0"/>
    <n v="1"/>
    <x v="12"/>
    <n v="2434000"/>
    <n v="30.18"/>
  </r>
  <r>
    <d v="2024-01-28T00:00:00"/>
    <x v="4"/>
    <s v="Ludhiana"/>
    <x v="9"/>
    <x v="10"/>
    <x v="1"/>
    <n v="25"/>
    <x v="10"/>
    <n v="106"/>
    <x v="1028"/>
    <n v="108427400"/>
    <x v="0"/>
    <x v="0"/>
    <x v="1"/>
    <x v="0"/>
    <x v="0"/>
    <n v="1"/>
    <x v="12"/>
    <n v="1022900"/>
    <n v="10.84"/>
  </r>
  <r>
    <d v="2024-01-29T00:00:00"/>
    <x v="2"/>
    <s v="Kanpur"/>
    <x v="5"/>
    <x v="5"/>
    <x v="0"/>
    <n v="30"/>
    <x v="5"/>
    <n v="76"/>
    <x v="1029"/>
    <n v="101513200"/>
    <x v="0"/>
    <x v="1"/>
    <x v="1"/>
    <x v="0"/>
    <x v="0"/>
    <n v="1"/>
    <x v="12"/>
    <n v="1335700"/>
    <n v="10.15"/>
  </r>
  <r>
    <d v="2024-01-30T00:00:00"/>
    <x v="8"/>
    <s v="Siliguri"/>
    <x v="1"/>
    <x v="21"/>
    <x v="0"/>
    <n v="3"/>
    <x v="19"/>
    <n v="171"/>
    <x v="1030"/>
    <n v="18810000"/>
    <x v="1"/>
    <x v="0"/>
    <x v="1"/>
    <x v="0"/>
    <x v="0"/>
    <n v="1"/>
    <x v="12"/>
    <n v="110000"/>
    <n v="1.88"/>
  </r>
  <r>
    <d v="2024-01-30T00:00:00"/>
    <x v="6"/>
    <s v="Rajkot"/>
    <x v="9"/>
    <x v="10"/>
    <x v="0"/>
    <n v="25"/>
    <x v="10"/>
    <n v="93"/>
    <x v="1031"/>
    <n v="93790500"/>
    <x v="1"/>
    <x v="0"/>
    <x v="1"/>
    <x v="0"/>
    <x v="0"/>
    <n v="1"/>
    <x v="12"/>
    <n v="1008500"/>
    <n v="9.3800000000000008"/>
  </r>
  <r>
    <d v="2024-01-31T00:00:00"/>
    <x v="3"/>
    <s v="Nagpur"/>
    <x v="0"/>
    <x v="0"/>
    <x v="0"/>
    <n v="82"/>
    <x v="0"/>
    <n v="51"/>
    <x v="1032"/>
    <n v="389089200"/>
    <x v="1"/>
    <x v="0"/>
    <x v="1"/>
    <x v="0"/>
    <x v="0"/>
    <n v="1"/>
    <x v="12"/>
    <n v="7629200"/>
    <n v="38.909999999999997"/>
  </r>
  <r>
    <d v="2024-01-31T00:00:00"/>
    <x v="14"/>
    <s v="Jaipur"/>
    <x v="3"/>
    <x v="3"/>
    <x v="0"/>
    <n v="3"/>
    <x v="3"/>
    <n v="61"/>
    <x v="1022"/>
    <n v="7332200"/>
    <x v="1"/>
    <x v="2"/>
    <x v="1"/>
    <x v="0"/>
    <x v="0"/>
    <n v="1"/>
    <x v="12"/>
    <n v="120200"/>
    <n v="0.73"/>
  </r>
  <r>
    <d v="2024-01-31T00:00:00"/>
    <x v="2"/>
    <s v="Ghaziabad"/>
    <x v="0"/>
    <x v="0"/>
    <x v="1"/>
    <n v="82"/>
    <x v="0"/>
    <n v="77"/>
    <x v="1033"/>
    <n v="520958900"/>
    <x v="1"/>
    <x v="1"/>
    <x v="1"/>
    <x v="0"/>
    <x v="0"/>
    <n v="1"/>
    <x v="12"/>
    <n v="6765700"/>
    <n v="52.1"/>
  </r>
  <r>
    <d v="2024-01-31T00:00:00"/>
    <x v="3"/>
    <s v="Pune"/>
    <x v="2"/>
    <x v="2"/>
    <x v="0"/>
    <n v="66"/>
    <x v="2"/>
    <n v="6"/>
    <x v="1034"/>
    <n v="46956000"/>
    <x v="1"/>
    <x v="3"/>
    <x v="1"/>
    <x v="0"/>
    <x v="0"/>
    <n v="1"/>
    <x v="12"/>
    <n v="7826000"/>
    <n v="4.7"/>
  </r>
  <r>
    <d v="2024-01-31T00:00:00"/>
    <x v="2"/>
    <s v="Kanpur"/>
    <x v="6"/>
    <x v="6"/>
    <x v="0"/>
    <n v="72"/>
    <x v="6"/>
    <n v="51"/>
    <x v="1035"/>
    <n v="263420100"/>
    <x v="0"/>
    <x v="0"/>
    <x v="1"/>
    <x v="0"/>
    <x v="0"/>
    <n v="1"/>
    <x v="12"/>
    <n v="5165100"/>
    <n v="26.34"/>
  </r>
  <r>
    <d v="2024-01-31T00:00:00"/>
    <x v="1"/>
    <s v="Saket"/>
    <x v="13"/>
    <x v="15"/>
    <x v="0"/>
    <n v="40"/>
    <x v="14"/>
    <n v="134"/>
    <x v="1036"/>
    <n v="361022800"/>
    <x v="1"/>
    <x v="2"/>
    <x v="1"/>
    <x v="0"/>
    <x v="0"/>
    <n v="1"/>
    <x v="12"/>
    <n v="2694200"/>
    <n v="36.1"/>
  </r>
  <r>
    <d v="2024-02-01T00:00:00"/>
    <x v="3"/>
    <s v="Nagpur"/>
    <x v="13"/>
    <x v="19"/>
    <x v="2"/>
    <n v="24"/>
    <x v="17"/>
    <n v="42"/>
    <x v="1037"/>
    <n v="61929000"/>
    <x v="1"/>
    <x v="2"/>
    <x v="1"/>
    <x v="0"/>
    <x v="1"/>
    <n v="2"/>
    <x v="13"/>
    <n v="1474500"/>
    <n v="6.19"/>
  </r>
  <r>
    <d v="2024-02-01T00:00:00"/>
    <x v="5"/>
    <s v="Mysuru"/>
    <x v="14"/>
    <x v="16"/>
    <x v="0"/>
    <n v="3"/>
    <x v="15"/>
    <n v="34"/>
    <x v="1038"/>
    <n v="5640600"/>
    <x v="0"/>
    <x v="0"/>
    <x v="1"/>
    <x v="0"/>
    <x v="1"/>
    <n v="2"/>
    <x v="13"/>
    <n v="165900"/>
    <n v="0.56000000000000005"/>
  </r>
  <r>
    <d v="2024-02-01T00:00:00"/>
    <x v="12"/>
    <s v="Hisar"/>
    <x v="1"/>
    <x v="21"/>
    <x v="0"/>
    <n v="3"/>
    <x v="19"/>
    <n v="119"/>
    <x v="1039"/>
    <n v="13673100"/>
    <x v="1"/>
    <x v="0"/>
    <x v="1"/>
    <x v="0"/>
    <x v="1"/>
    <n v="2"/>
    <x v="13"/>
    <n v="114900"/>
    <n v="1.37"/>
  </r>
  <r>
    <d v="2024-02-01T00:00:00"/>
    <x v="2"/>
    <s v="Lucknow"/>
    <x v="7"/>
    <x v="7"/>
    <x v="0"/>
    <n v="3"/>
    <x v="7"/>
    <n v="12"/>
    <x v="1040"/>
    <n v="1935600"/>
    <x v="0"/>
    <x v="2"/>
    <x v="1"/>
    <x v="0"/>
    <x v="1"/>
    <n v="2"/>
    <x v="13"/>
    <n v="161300"/>
    <n v="0.19"/>
  </r>
  <r>
    <d v="2024-02-01T00:00:00"/>
    <x v="3"/>
    <s v="Nashik"/>
    <x v="10"/>
    <x v="11"/>
    <x v="1"/>
    <n v="69"/>
    <x v="11"/>
    <n v="55"/>
    <x v="1041"/>
    <n v="344789500"/>
    <x v="1"/>
    <x v="0"/>
    <x v="1"/>
    <x v="0"/>
    <x v="1"/>
    <n v="2"/>
    <x v="13"/>
    <n v="6268900"/>
    <n v="34.479999999999997"/>
  </r>
  <r>
    <d v="2024-02-02T00:00:00"/>
    <x v="1"/>
    <s v="New Delhi"/>
    <x v="0"/>
    <x v="0"/>
    <x v="0"/>
    <n v="82"/>
    <x v="0"/>
    <n v="60"/>
    <x v="1042"/>
    <n v="437118000"/>
    <x v="1"/>
    <x v="1"/>
    <x v="1"/>
    <x v="0"/>
    <x v="1"/>
    <n v="2"/>
    <x v="13"/>
    <n v="7285300"/>
    <n v="43.71"/>
  </r>
  <r>
    <d v="2024-02-02T00:00:00"/>
    <x v="6"/>
    <s v="Ahmedabad"/>
    <x v="10"/>
    <x v="11"/>
    <x v="2"/>
    <n v="69"/>
    <x v="11"/>
    <n v="19"/>
    <x v="1043"/>
    <n v="116378800"/>
    <x v="0"/>
    <x v="0"/>
    <x v="1"/>
    <x v="0"/>
    <x v="1"/>
    <n v="2"/>
    <x v="13"/>
    <n v="6125200"/>
    <n v="11.64"/>
  </r>
  <r>
    <d v="2024-02-03T00:00:00"/>
    <x v="12"/>
    <s v="Gurugram"/>
    <x v="5"/>
    <x v="5"/>
    <x v="0"/>
    <n v="30"/>
    <x v="5"/>
    <n v="52"/>
    <x v="1044"/>
    <n v="87984000"/>
    <x v="1"/>
    <x v="0"/>
    <x v="1"/>
    <x v="0"/>
    <x v="1"/>
    <n v="2"/>
    <x v="13"/>
    <n v="1692000"/>
    <n v="8.8000000000000007"/>
  </r>
  <r>
    <d v="2024-02-03T00:00:00"/>
    <x v="2"/>
    <s v="Kanpur"/>
    <x v="5"/>
    <x v="5"/>
    <x v="0"/>
    <n v="30"/>
    <x v="5"/>
    <n v="70"/>
    <x v="1045"/>
    <n v="96418000"/>
    <x v="0"/>
    <x v="0"/>
    <x v="1"/>
    <x v="0"/>
    <x v="1"/>
    <n v="2"/>
    <x v="13"/>
    <n v="1377400"/>
    <n v="9.64"/>
  </r>
  <r>
    <d v="2024-02-03T00:00:00"/>
    <x v="14"/>
    <s v="Jodhpur"/>
    <x v="8"/>
    <x v="20"/>
    <x v="1"/>
    <n v="84"/>
    <x v="18"/>
    <n v="42"/>
    <x v="1046"/>
    <n v="323282400"/>
    <x v="1"/>
    <x v="0"/>
    <x v="1"/>
    <x v="0"/>
    <x v="1"/>
    <n v="2"/>
    <x v="13"/>
    <n v="7697200"/>
    <n v="32.33"/>
  </r>
  <r>
    <d v="2024-02-03T00:00:00"/>
    <x v="5"/>
    <s v="Bengaluru"/>
    <x v="14"/>
    <x v="16"/>
    <x v="0"/>
    <n v="3"/>
    <x v="15"/>
    <n v="77"/>
    <x v="1047"/>
    <n v="11473000"/>
    <x v="0"/>
    <x v="0"/>
    <x v="1"/>
    <x v="0"/>
    <x v="1"/>
    <n v="2"/>
    <x v="13"/>
    <n v="149000"/>
    <n v="1.1499999999999999"/>
  </r>
  <r>
    <d v="2024-02-04T00:00:00"/>
    <x v="5"/>
    <s v="Mangaluru"/>
    <x v="15"/>
    <x v="17"/>
    <x v="0"/>
    <n v="5"/>
    <x v="15"/>
    <n v="73"/>
    <x v="183"/>
    <n v="10490100"/>
    <x v="0"/>
    <x v="2"/>
    <x v="1"/>
    <x v="0"/>
    <x v="1"/>
    <n v="2"/>
    <x v="13"/>
    <n v="143700"/>
    <n v="1.05"/>
  </r>
  <r>
    <d v="2024-02-04T00:00:00"/>
    <x v="6"/>
    <s v="Rajkot"/>
    <x v="13"/>
    <x v="19"/>
    <x v="0"/>
    <n v="24"/>
    <x v="17"/>
    <n v="158"/>
    <x v="1048"/>
    <n v="191369600"/>
    <x v="0"/>
    <x v="2"/>
    <x v="1"/>
    <x v="0"/>
    <x v="1"/>
    <n v="2"/>
    <x v="13"/>
    <n v="1211200"/>
    <n v="19.14"/>
  </r>
  <r>
    <d v="2024-02-05T00:00:00"/>
    <x v="1"/>
    <s v="Saket"/>
    <x v="5"/>
    <x v="5"/>
    <x v="0"/>
    <n v="30"/>
    <x v="5"/>
    <n v="16"/>
    <x v="1049"/>
    <n v="22564800"/>
    <x v="1"/>
    <x v="0"/>
    <x v="1"/>
    <x v="0"/>
    <x v="1"/>
    <n v="2"/>
    <x v="13"/>
    <n v="1410300"/>
    <n v="2.2599999999999998"/>
  </r>
  <r>
    <d v="2024-02-05T00:00:00"/>
    <x v="12"/>
    <s v="Panipat"/>
    <x v="5"/>
    <x v="5"/>
    <x v="1"/>
    <n v="30"/>
    <x v="5"/>
    <n v="43"/>
    <x v="1050"/>
    <n v="60096800"/>
    <x v="1"/>
    <x v="1"/>
    <x v="1"/>
    <x v="0"/>
    <x v="1"/>
    <n v="2"/>
    <x v="13"/>
    <n v="1397600"/>
    <n v="6.01"/>
  </r>
  <r>
    <d v="2024-02-05T00:00:00"/>
    <x v="6"/>
    <s v="Vadodara"/>
    <x v="12"/>
    <x v="18"/>
    <x v="0"/>
    <n v="60"/>
    <x v="16"/>
    <n v="66"/>
    <x v="1051"/>
    <n v="247137000"/>
    <x v="0"/>
    <x v="2"/>
    <x v="1"/>
    <x v="0"/>
    <x v="1"/>
    <n v="2"/>
    <x v="13"/>
    <n v="3744500"/>
    <n v="24.71"/>
  </r>
  <r>
    <d v="2024-02-06T00:00:00"/>
    <x v="1"/>
    <s v="Rohini"/>
    <x v="4"/>
    <x v="4"/>
    <x v="1"/>
    <n v="77"/>
    <x v="4"/>
    <n v="13"/>
    <x v="1052"/>
    <n v="56784000"/>
    <x v="1"/>
    <x v="3"/>
    <x v="1"/>
    <x v="0"/>
    <x v="1"/>
    <n v="2"/>
    <x v="13"/>
    <n v="4368000"/>
    <n v="5.68"/>
  </r>
  <r>
    <d v="2024-02-06T00:00:00"/>
    <x v="13"/>
    <s v="Gwalior"/>
    <x v="2"/>
    <x v="2"/>
    <x v="0"/>
    <n v="66"/>
    <x v="2"/>
    <n v="35"/>
    <x v="1053"/>
    <n v="323830500"/>
    <x v="0"/>
    <x v="2"/>
    <x v="1"/>
    <x v="0"/>
    <x v="1"/>
    <n v="2"/>
    <x v="13"/>
    <n v="9252300"/>
    <n v="32.380000000000003"/>
  </r>
  <r>
    <d v="2024-02-06T00:00:00"/>
    <x v="6"/>
    <s v="Vadodara"/>
    <x v="2"/>
    <x v="2"/>
    <x v="1"/>
    <n v="66"/>
    <x v="2"/>
    <n v="61"/>
    <x v="1054"/>
    <n v="480070000"/>
    <x v="1"/>
    <x v="3"/>
    <x v="1"/>
    <x v="0"/>
    <x v="1"/>
    <n v="2"/>
    <x v="13"/>
    <n v="7870000"/>
    <n v="48.01"/>
  </r>
  <r>
    <d v="2024-02-06T00:00:00"/>
    <x v="11"/>
    <s v="Chennai"/>
    <x v="8"/>
    <x v="8"/>
    <x v="0"/>
    <n v="66"/>
    <x v="8"/>
    <n v="26"/>
    <x v="1055"/>
    <n v="165627800"/>
    <x v="1"/>
    <x v="0"/>
    <x v="1"/>
    <x v="0"/>
    <x v="1"/>
    <n v="2"/>
    <x v="13"/>
    <n v="6370300"/>
    <n v="16.559999999999999"/>
  </r>
  <r>
    <d v="2024-02-07T00:00:00"/>
    <x v="3"/>
    <s v="Nashik"/>
    <x v="2"/>
    <x v="2"/>
    <x v="0"/>
    <n v="66"/>
    <x v="2"/>
    <n v="17"/>
    <x v="1056"/>
    <n v="140386000"/>
    <x v="1"/>
    <x v="3"/>
    <x v="1"/>
    <x v="0"/>
    <x v="1"/>
    <n v="2"/>
    <x v="13"/>
    <n v="8258000"/>
    <n v="14.04"/>
  </r>
  <r>
    <d v="2024-02-08T00:00:00"/>
    <x v="14"/>
    <s v="Jaipur"/>
    <x v="11"/>
    <x v="12"/>
    <x v="3"/>
    <n v="40"/>
    <x v="12"/>
    <n v="100"/>
    <x v="1057"/>
    <n v="256070000"/>
    <x v="1"/>
    <x v="2"/>
    <x v="1"/>
    <x v="0"/>
    <x v="1"/>
    <n v="2"/>
    <x v="13"/>
    <n v="2560700"/>
    <n v="25.61"/>
  </r>
  <r>
    <d v="2024-02-08T00:00:00"/>
    <x v="0"/>
    <s v="Nizamabad"/>
    <x v="5"/>
    <x v="5"/>
    <x v="0"/>
    <n v="30"/>
    <x v="5"/>
    <n v="11"/>
    <x v="1058"/>
    <n v="18044400"/>
    <x v="1"/>
    <x v="0"/>
    <x v="1"/>
    <x v="0"/>
    <x v="1"/>
    <n v="2"/>
    <x v="13"/>
    <n v="1640400"/>
    <n v="1.8"/>
  </r>
  <r>
    <d v="2024-02-09T00:00:00"/>
    <x v="13"/>
    <s v="Gwalior"/>
    <x v="1"/>
    <x v="1"/>
    <x v="0"/>
    <n v="4"/>
    <x v="1"/>
    <n v="168"/>
    <x v="412"/>
    <n v="25687200"/>
    <x v="1"/>
    <x v="3"/>
    <x v="1"/>
    <x v="0"/>
    <x v="1"/>
    <n v="2"/>
    <x v="13"/>
    <n v="152900"/>
    <n v="2.57"/>
  </r>
  <r>
    <d v="2024-02-09T00:00:00"/>
    <x v="2"/>
    <s v="Lucknow"/>
    <x v="15"/>
    <x v="17"/>
    <x v="0"/>
    <n v="5"/>
    <x v="15"/>
    <n v="67"/>
    <x v="1059"/>
    <n v="11336400"/>
    <x v="1"/>
    <x v="1"/>
    <x v="1"/>
    <x v="0"/>
    <x v="1"/>
    <n v="2"/>
    <x v="13"/>
    <n v="169200"/>
    <n v="1.1299999999999999"/>
  </r>
  <r>
    <d v="2024-02-10T00:00:00"/>
    <x v="8"/>
    <s v="Siliguri"/>
    <x v="11"/>
    <x v="23"/>
    <x v="0"/>
    <n v="59"/>
    <x v="20"/>
    <n v="171"/>
    <x v="1060"/>
    <n v="416624400"/>
    <x v="1"/>
    <x v="3"/>
    <x v="1"/>
    <x v="0"/>
    <x v="1"/>
    <n v="2"/>
    <x v="13"/>
    <n v="2436400"/>
    <n v="41.66"/>
  </r>
  <r>
    <d v="2024-02-10T00:00:00"/>
    <x v="5"/>
    <s v="Mangaluru"/>
    <x v="3"/>
    <x v="3"/>
    <x v="0"/>
    <n v="3"/>
    <x v="3"/>
    <n v="73"/>
    <x v="1061"/>
    <n v="10176200"/>
    <x v="1"/>
    <x v="1"/>
    <x v="1"/>
    <x v="0"/>
    <x v="1"/>
    <n v="2"/>
    <x v="13"/>
    <n v="139400"/>
    <n v="1.02"/>
  </r>
  <r>
    <d v="2024-02-11T00:00:00"/>
    <x v="1"/>
    <s v="Dwarka"/>
    <x v="9"/>
    <x v="10"/>
    <x v="0"/>
    <n v="25"/>
    <x v="10"/>
    <n v="151"/>
    <x v="1062"/>
    <n v="168198900"/>
    <x v="0"/>
    <x v="2"/>
    <x v="1"/>
    <x v="0"/>
    <x v="1"/>
    <n v="2"/>
    <x v="13"/>
    <n v="1113900"/>
    <n v="16.82"/>
  </r>
  <r>
    <d v="2024-02-11T00:00:00"/>
    <x v="5"/>
    <s v="Hubballi"/>
    <x v="8"/>
    <x v="8"/>
    <x v="2"/>
    <n v="66"/>
    <x v="8"/>
    <n v="55"/>
    <x v="1063"/>
    <n v="377327500"/>
    <x v="0"/>
    <x v="2"/>
    <x v="1"/>
    <x v="0"/>
    <x v="1"/>
    <n v="2"/>
    <x v="13"/>
    <n v="6860500"/>
    <n v="37.729999999999997"/>
  </r>
  <r>
    <d v="2024-02-11T00:00:00"/>
    <x v="12"/>
    <s v="Hisar"/>
    <x v="11"/>
    <x v="12"/>
    <x v="0"/>
    <n v="40"/>
    <x v="12"/>
    <n v="77"/>
    <x v="1064"/>
    <n v="145553100"/>
    <x v="1"/>
    <x v="0"/>
    <x v="1"/>
    <x v="0"/>
    <x v="1"/>
    <n v="2"/>
    <x v="13"/>
    <n v="1890300"/>
    <n v="14.56"/>
  </r>
  <r>
    <d v="2024-02-11T00:00:00"/>
    <x v="5"/>
    <s v="Bengaluru"/>
    <x v="9"/>
    <x v="10"/>
    <x v="0"/>
    <n v="25"/>
    <x v="10"/>
    <n v="165"/>
    <x v="1065"/>
    <n v="165792000"/>
    <x v="1"/>
    <x v="0"/>
    <x v="1"/>
    <x v="0"/>
    <x v="1"/>
    <n v="2"/>
    <x v="13"/>
    <n v="1004800"/>
    <n v="16.579999999999998"/>
  </r>
  <r>
    <d v="2024-02-12T00:00:00"/>
    <x v="11"/>
    <s v="Madurai"/>
    <x v="9"/>
    <x v="9"/>
    <x v="0"/>
    <n v="50"/>
    <x v="9"/>
    <n v="38"/>
    <x v="1066"/>
    <n v="100487200"/>
    <x v="0"/>
    <x v="2"/>
    <x v="1"/>
    <x v="0"/>
    <x v="1"/>
    <n v="2"/>
    <x v="13"/>
    <n v="2644400"/>
    <n v="10.050000000000001"/>
  </r>
  <r>
    <d v="2024-02-12T00:00:00"/>
    <x v="10"/>
    <s v="Kochi"/>
    <x v="9"/>
    <x v="9"/>
    <x v="0"/>
    <n v="50"/>
    <x v="9"/>
    <n v="30"/>
    <x v="1067"/>
    <n v="66534000"/>
    <x v="1"/>
    <x v="0"/>
    <x v="1"/>
    <x v="0"/>
    <x v="1"/>
    <n v="2"/>
    <x v="13"/>
    <n v="2217800"/>
    <n v="6.65"/>
  </r>
  <r>
    <d v="2024-02-12T00:00:00"/>
    <x v="13"/>
    <s v="Gwalior"/>
    <x v="1"/>
    <x v="1"/>
    <x v="0"/>
    <n v="4"/>
    <x v="1"/>
    <n v="29"/>
    <x v="1068"/>
    <n v="4062900"/>
    <x v="1"/>
    <x v="2"/>
    <x v="1"/>
    <x v="0"/>
    <x v="1"/>
    <n v="2"/>
    <x v="13"/>
    <n v="140100"/>
    <n v="0.41"/>
  </r>
  <r>
    <d v="2024-02-13T00:00:00"/>
    <x v="13"/>
    <s v="Gwalior"/>
    <x v="9"/>
    <x v="9"/>
    <x v="0"/>
    <n v="50"/>
    <x v="9"/>
    <n v="168"/>
    <x v="1069"/>
    <n v="359251200"/>
    <x v="1"/>
    <x v="2"/>
    <x v="1"/>
    <x v="0"/>
    <x v="1"/>
    <n v="2"/>
    <x v="13"/>
    <n v="2138400"/>
    <n v="35.93"/>
  </r>
  <r>
    <d v="2024-02-14T00:00:00"/>
    <x v="1"/>
    <s v="Rohini"/>
    <x v="5"/>
    <x v="5"/>
    <x v="1"/>
    <n v="30"/>
    <x v="5"/>
    <n v="28"/>
    <x v="1070"/>
    <n v="46950400"/>
    <x v="0"/>
    <x v="2"/>
    <x v="1"/>
    <x v="0"/>
    <x v="1"/>
    <n v="2"/>
    <x v="13"/>
    <n v="1676800"/>
    <n v="4.7"/>
  </r>
  <r>
    <d v="2024-02-14T00:00:00"/>
    <x v="1"/>
    <s v="Dwarka"/>
    <x v="0"/>
    <x v="0"/>
    <x v="0"/>
    <n v="82"/>
    <x v="0"/>
    <n v="41"/>
    <x v="1071"/>
    <n v="238095200"/>
    <x v="1"/>
    <x v="2"/>
    <x v="1"/>
    <x v="0"/>
    <x v="1"/>
    <n v="2"/>
    <x v="13"/>
    <n v="5807200"/>
    <n v="23.81"/>
  </r>
  <r>
    <d v="2024-02-15T00:00:00"/>
    <x v="14"/>
    <s v="Jaipur"/>
    <x v="0"/>
    <x v="0"/>
    <x v="1"/>
    <n v="82"/>
    <x v="0"/>
    <n v="79"/>
    <x v="178"/>
    <n v="583659900"/>
    <x v="1"/>
    <x v="2"/>
    <x v="1"/>
    <x v="0"/>
    <x v="1"/>
    <n v="2"/>
    <x v="13"/>
    <n v="7388100"/>
    <n v="58.37"/>
  </r>
  <r>
    <d v="2024-02-15T00:00:00"/>
    <x v="7"/>
    <s v="Tirupati"/>
    <x v="3"/>
    <x v="3"/>
    <x v="0"/>
    <n v="3"/>
    <x v="3"/>
    <n v="134"/>
    <x v="800"/>
    <n v="17567400"/>
    <x v="0"/>
    <x v="0"/>
    <x v="1"/>
    <x v="0"/>
    <x v="1"/>
    <n v="2"/>
    <x v="13"/>
    <n v="131100"/>
    <n v="1.76"/>
  </r>
  <r>
    <d v="2024-02-15T00:00:00"/>
    <x v="14"/>
    <s v="Jaipur"/>
    <x v="10"/>
    <x v="11"/>
    <x v="0"/>
    <n v="69"/>
    <x v="11"/>
    <n v="35"/>
    <x v="1072"/>
    <n v="203080500"/>
    <x v="1"/>
    <x v="3"/>
    <x v="1"/>
    <x v="0"/>
    <x v="1"/>
    <n v="2"/>
    <x v="13"/>
    <n v="5802300"/>
    <n v="20.309999999999999"/>
  </r>
  <r>
    <d v="2024-02-15T00:00:00"/>
    <x v="12"/>
    <s v="Hisar"/>
    <x v="11"/>
    <x v="23"/>
    <x v="1"/>
    <n v="59"/>
    <x v="20"/>
    <n v="52"/>
    <x v="1073"/>
    <n v="139802000"/>
    <x v="1"/>
    <x v="1"/>
    <x v="1"/>
    <x v="0"/>
    <x v="1"/>
    <n v="2"/>
    <x v="13"/>
    <n v="2688500"/>
    <n v="13.98"/>
  </r>
  <r>
    <d v="2024-02-16T00:00:00"/>
    <x v="11"/>
    <s v="Coimbatore"/>
    <x v="13"/>
    <x v="15"/>
    <x v="0"/>
    <n v="40"/>
    <x v="14"/>
    <n v="152"/>
    <x v="1074"/>
    <n v="353156800"/>
    <x v="0"/>
    <x v="0"/>
    <x v="1"/>
    <x v="0"/>
    <x v="1"/>
    <n v="2"/>
    <x v="13"/>
    <n v="2323400"/>
    <n v="35.32"/>
  </r>
  <r>
    <d v="2024-02-16T00:00:00"/>
    <x v="12"/>
    <s v="Hisar"/>
    <x v="10"/>
    <x v="11"/>
    <x v="0"/>
    <n v="69"/>
    <x v="11"/>
    <n v="45"/>
    <x v="1075"/>
    <n v="276210000"/>
    <x v="2"/>
    <x v="2"/>
    <x v="1"/>
    <x v="0"/>
    <x v="1"/>
    <n v="2"/>
    <x v="13"/>
    <n v="6138000"/>
    <n v="27.62"/>
  </r>
  <r>
    <d v="2024-02-17T00:00:00"/>
    <x v="1"/>
    <s v="Dwarka"/>
    <x v="9"/>
    <x v="9"/>
    <x v="0"/>
    <n v="50"/>
    <x v="9"/>
    <n v="140"/>
    <x v="1076"/>
    <n v="378840000"/>
    <x v="1"/>
    <x v="0"/>
    <x v="1"/>
    <x v="0"/>
    <x v="1"/>
    <n v="2"/>
    <x v="13"/>
    <n v="2706000"/>
    <n v="37.880000000000003"/>
  </r>
  <r>
    <d v="2024-02-17T00:00:00"/>
    <x v="1"/>
    <s v="Rohini"/>
    <x v="11"/>
    <x v="23"/>
    <x v="1"/>
    <n v="59"/>
    <x v="20"/>
    <n v="62"/>
    <x v="1077"/>
    <n v="161460400"/>
    <x v="2"/>
    <x v="2"/>
    <x v="1"/>
    <x v="0"/>
    <x v="1"/>
    <n v="2"/>
    <x v="13"/>
    <n v="2604200"/>
    <n v="16.149999999999999"/>
  </r>
  <r>
    <d v="2024-02-17T00:00:00"/>
    <x v="13"/>
    <s v="Bhopal"/>
    <x v="11"/>
    <x v="12"/>
    <x v="1"/>
    <n v="40"/>
    <x v="12"/>
    <n v="46"/>
    <x v="1078"/>
    <n v="117042400"/>
    <x v="1"/>
    <x v="0"/>
    <x v="1"/>
    <x v="0"/>
    <x v="1"/>
    <n v="2"/>
    <x v="13"/>
    <n v="2544400"/>
    <n v="11.7"/>
  </r>
  <r>
    <d v="2024-02-17T00:00:00"/>
    <x v="11"/>
    <s v="Salem"/>
    <x v="13"/>
    <x v="15"/>
    <x v="0"/>
    <n v="40"/>
    <x v="14"/>
    <n v="163"/>
    <x v="1079"/>
    <n v="346293500"/>
    <x v="1"/>
    <x v="2"/>
    <x v="1"/>
    <x v="0"/>
    <x v="1"/>
    <n v="2"/>
    <x v="13"/>
    <n v="2124500"/>
    <n v="34.630000000000003"/>
  </r>
  <r>
    <d v="2024-02-18T00:00:00"/>
    <x v="1"/>
    <s v="Dwarka"/>
    <x v="1"/>
    <x v="1"/>
    <x v="0"/>
    <n v="4"/>
    <x v="1"/>
    <n v="60"/>
    <x v="436"/>
    <n v="9282000"/>
    <x v="1"/>
    <x v="2"/>
    <x v="1"/>
    <x v="0"/>
    <x v="1"/>
    <n v="2"/>
    <x v="13"/>
    <n v="154700"/>
    <n v="0.93"/>
  </r>
  <r>
    <d v="2024-02-18T00:00:00"/>
    <x v="0"/>
    <s v="Hyderabad"/>
    <x v="6"/>
    <x v="6"/>
    <x v="1"/>
    <n v="72"/>
    <x v="6"/>
    <n v="150"/>
    <x v="1080"/>
    <n v="708165000"/>
    <x v="1"/>
    <x v="0"/>
    <x v="1"/>
    <x v="0"/>
    <x v="1"/>
    <n v="2"/>
    <x v="13"/>
    <n v="4721100"/>
    <n v="70.819999999999993"/>
  </r>
  <r>
    <d v="2024-02-18T00:00:00"/>
    <x v="9"/>
    <s v="Gaya"/>
    <x v="14"/>
    <x v="16"/>
    <x v="0"/>
    <n v="3"/>
    <x v="15"/>
    <n v="163"/>
    <x v="1081"/>
    <n v="26357100"/>
    <x v="1"/>
    <x v="1"/>
    <x v="1"/>
    <x v="0"/>
    <x v="1"/>
    <n v="2"/>
    <x v="13"/>
    <n v="161700"/>
    <n v="2.64"/>
  </r>
  <r>
    <d v="2024-02-19T00:00:00"/>
    <x v="11"/>
    <s v="Salem"/>
    <x v="7"/>
    <x v="7"/>
    <x v="0"/>
    <n v="3"/>
    <x v="7"/>
    <n v="132"/>
    <x v="1082"/>
    <n v="25053600"/>
    <x v="1"/>
    <x v="1"/>
    <x v="1"/>
    <x v="0"/>
    <x v="1"/>
    <n v="2"/>
    <x v="13"/>
    <n v="189800"/>
    <n v="2.5099999999999998"/>
  </r>
  <r>
    <d v="2024-02-20T00:00:00"/>
    <x v="5"/>
    <s v="Bengaluru"/>
    <x v="5"/>
    <x v="5"/>
    <x v="0"/>
    <n v="30"/>
    <x v="5"/>
    <n v="72"/>
    <x v="1083"/>
    <n v="93024000"/>
    <x v="1"/>
    <x v="0"/>
    <x v="1"/>
    <x v="0"/>
    <x v="1"/>
    <n v="2"/>
    <x v="13"/>
    <n v="1292000"/>
    <n v="9.3000000000000007"/>
  </r>
  <r>
    <d v="2024-02-20T00:00:00"/>
    <x v="8"/>
    <s v="Asansol"/>
    <x v="11"/>
    <x v="23"/>
    <x v="0"/>
    <n v="59"/>
    <x v="20"/>
    <n v="91"/>
    <x v="1084"/>
    <n v="211311100"/>
    <x v="1"/>
    <x v="0"/>
    <x v="1"/>
    <x v="0"/>
    <x v="1"/>
    <n v="2"/>
    <x v="13"/>
    <n v="2322100"/>
    <n v="21.13"/>
  </r>
  <r>
    <d v="2024-02-20T00:00:00"/>
    <x v="7"/>
    <s v="Tirupati"/>
    <x v="8"/>
    <x v="8"/>
    <x v="0"/>
    <n v="66"/>
    <x v="8"/>
    <n v="74"/>
    <x v="1085"/>
    <n v="391171400"/>
    <x v="1"/>
    <x v="2"/>
    <x v="1"/>
    <x v="0"/>
    <x v="1"/>
    <n v="2"/>
    <x v="13"/>
    <n v="5286100"/>
    <n v="39.119999999999997"/>
  </r>
  <r>
    <d v="2024-02-22T00:00:00"/>
    <x v="12"/>
    <s v="Faridabad"/>
    <x v="7"/>
    <x v="7"/>
    <x v="0"/>
    <n v="3"/>
    <x v="7"/>
    <n v="125"/>
    <x v="1086"/>
    <n v="23512500"/>
    <x v="0"/>
    <x v="2"/>
    <x v="1"/>
    <x v="0"/>
    <x v="1"/>
    <n v="2"/>
    <x v="13"/>
    <n v="188100"/>
    <n v="2.35"/>
  </r>
  <r>
    <d v="2024-02-22T00:00:00"/>
    <x v="11"/>
    <s v="Salem"/>
    <x v="2"/>
    <x v="2"/>
    <x v="0"/>
    <n v="66"/>
    <x v="2"/>
    <n v="60"/>
    <x v="1087"/>
    <n v="538626000"/>
    <x v="1"/>
    <x v="1"/>
    <x v="1"/>
    <x v="0"/>
    <x v="1"/>
    <n v="2"/>
    <x v="13"/>
    <n v="8977100"/>
    <n v="53.86"/>
  </r>
  <r>
    <d v="2024-02-22T00:00:00"/>
    <x v="5"/>
    <s v="Bengaluru"/>
    <x v="8"/>
    <x v="20"/>
    <x v="1"/>
    <n v="84"/>
    <x v="18"/>
    <n v="77"/>
    <x v="1088"/>
    <n v="630306600"/>
    <x v="0"/>
    <x v="2"/>
    <x v="1"/>
    <x v="0"/>
    <x v="1"/>
    <n v="2"/>
    <x v="13"/>
    <n v="8185800"/>
    <n v="63.03"/>
  </r>
  <r>
    <d v="2024-02-23T00:00:00"/>
    <x v="1"/>
    <s v="Saket"/>
    <x v="11"/>
    <x v="23"/>
    <x v="2"/>
    <n v="59"/>
    <x v="20"/>
    <n v="25"/>
    <x v="1089"/>
    <n v="62685000"/>
    <x v="1"/>
    <x v="0"/>
    <x v="1"/>
    <x v="0"/>
    <x v="1"/>
    <n v="2"/>
    <x v="13"/>
    <n v="2507400"/>
    <n v="6.27"/>
  </r>
  <r>
    <d v="2024-02-23T00:00:00"/>
    <x v="3"/>
    <s v="Mumbai"/>
    <x v="1"/>
    <x v="1"/>
    <x v="0"/>
    <n v="4"/>
    <x v="1"/>
    <n v="141"/>
    <x v="1090"/>
    <n v="22390800"/>
    <x v="1"/>
    <x v="0"/>
    <x v="1"/>
    <x v="0"/>
    <x v="1"/>
    <n v="2"/>
    <x v="13"/>
    <n v="158800"/>
    <n v="2.2400000000000002"/>
  </r>
  <r>
    <d v="2024-02-23T00:00:00"/>
    <x v="6"/>
    <s v="Ahmedabad"/>
    <x v="8"/>
    <x v="8"/>
    <x v="2"/>
    <n v="66"/>
    <x v="8"/>
    <n v="64"/>
    <x v="1091"/>
    <n v="378809600"/>
    <x v="1"/>
    <x v="0"/>
    <x v="1"/>
    <x v="0"/>
    <x v="1"/>
    <n v="2"/>
    <x v="13"/>
    <n v="5918900"/>
    <n v="37.880000000000003"/>
  </r>
  <r>
    <d v="2024-02-23T00:00:00"/>
    <x v="2"/>
    <s v="Noida"/>
    <x v="5"/>
    <x v="5"/>
    <x v="0"/>
    <n v="30"/>
    <x v="5"/>
    <n v="13"/>
    <x v="1092"/>
    <n v="20746700"/>
    <x v="1"/>
    <x v="2"/>
    <x v="1"/>
    <x v="0"/>
    <x v="1"/>
    <n v="2"/>
    <x v="13"/>
    <n v="1595900"/>
    <n v="2.0699999999999998"/>
  </r>
  <r>
    <d v="2024-02-23T00:00:00"/>
    <x v="2"/>
    <s v="Ghaziabad"/>
    <x v="7"/>
    <x v="7"/>
    <x v="0"/>
    <n v="3"/>
    <x v="7"/>
    <n v="45"/>
    <x v="1093"/>
    <n v="7438500"/>
    <x v="1"/>
    <x v="2"/>
    <x v="1"/>
    <x v="0"/>
    <x v="1"/>
    <n v="2"/>
    <x v="13"/>
    <n v="165300"/>
    <n v="0.74"/>
  </r>
  <r>
    <d v="2024-02-24T00:00:00"/>
    <x v="2"/>
    <s v="Noida"/>
    <x v="11"/>
    <x v="12"/>
    <x v="2"/>
    <n v="40"/>
    <x v="12"/>
    <n v="86"/>
    <x v="1094"/>
    <n v="203071800"/>
    <x v="1"/>
    <x v="0"/>
    <x v="1"/>
    <x v="0"/>
    <x v="1"/>
    <n v="2"/>
    <x v="13"/>
    <n v="2361300"/>
    <n v="20.309999999999999"/>
  </r>
  <r>
    <d v="2024-02-24T00:00:00"/>
    <x v="1"/>
    <s v="New Delhi"/>
    <x v="10"/>
    <x v="11"/>
    <x v="0"/>
    <n v="69"/>
    <x v="11"/>
    <n v="40"/>
    <x v="1095"/>
    <n v="250704000"/>
    <x v="1"/>
    <x v="2"/>
    <x v="1"/>
    <x v="0"/>
    <x v="1"/>
    <n v="2"/>
    <x v="13"/>
    <n v="6267600"/>
    <n v="25.07"/>
  </r>
  <r>
    <d v="2024-02-25T00:00:00"/>
    <x v="6"/>
    <s v="Rajkot"/>
    <x v="5"/>
    <x v="5"/>
    <x v="2"/>
    <n v="30"/>
    <x v="5"/>
    <n v="42"/>
    <x v="1096"/>
    <n v="67426800"/>
    <x v="1"/>
    <x v="2"/>
    <x v="1"/>
    <x v="0"/>
    <x v="1"/>
    <n v="2"/>
    <x v="13"/>
    <n v="1605400"/>
    <n v="6.74"/>
  </r>
  <r>
    <d v="2024-02-25T00:00:00"/>
    <x v="10"/>
    <s v="Kozhikode"/>
    <x v="6"/>
    <x v="13"/>
    <x v="2"/>
    <n v="48"/>
    <x v="12"/>
    <n v="40"/>
    <x v="1097"/>
    <n v="76572000"/>
    <x v="1"/>
    <x v="2"/>
    <x v="1"/>
    <x v="0"/>
    <x v="1"/>
    <n v="2"/>
    <x v="13"/>
    <n v="1914300"/>
    <n v="7.66"/>
  </r>
  <r>
    <d v="2024-02-25T00:00:00"/>
    <x v="11"/>
    <s v="Chennai"/>
    <x v="9"/>
    <x v="10"/>
    <x v="0"/>
    <n v="25"/>
    <x v="10"/>
    <n v="101"/>
    <x v="1098"/>
    <n v="114554200"/>
    <x v="0"/>
    <x v="0"/>
    <x v="1"/>
    <x v="0"/>
    <x v="1"/>
    <n v="2"/>
    <x v="13"/>
    <n v="1134200"/>
    <n v="11.46"/>
  </r>
  <r>
    <d v="2024-02-25T00:00:00"/>
    <x v="3"/>
    <s v="Nashik"/>
    <x v="12"/>
    <x v="14"/>
    <x v="1"/>
    <n v="82"/>
    <x v="13"/>
    <n v="44"/>
    <x v="1099"/>
    <n v="267278000"/>
    <x v="0"/>
    <x v="0"/>
    <x v="1"/>
    <x v="0"/>
    <x v="1"/>
    <n v="2"/>
    <x v="13"/>
    <n v="6074500"/>
    <n v="26.73"/>
  </r>
  <r>
    <d v="2024-02-25T00:00:00"/>
    <x v="8"/>
    <s v="Siliguri"/>
    <x v="10"/>
    <x v="11"/>
    <x v="1"/>
    <n v="69"/>
    <x v="11"/>
    <n v="6"/>
    <x v="20"/>
    <n v="29611200"/>
    <x v="1"/>
    <x v="3"/>
    <x v="1"/>
    <x v="0"/>
    <x v="1"/>
    <n v="2"/>
    <x v="13"/>
    <n v="4935200"/>
    <n v="2.96"/>
  </r>
  <r>
    <d v="2024-02-25T00:00:00"/>
    <x v="13"/>
    <s v="Gwalior"/>
    <x v="10"/>
    <x v="11"/>
    <x v="0"/>
    <n v="69"/>
    <x v="11"/>
    <n v="20"/>
    <x v="1100"/>
    <n v="112916000"/>
    <x v="1"/>
    <x v="0"/>
    <x v="1"/>
    <x v="0"/>
    <x v="1"/>
    <n v="2"/>
    <x v="13"/>
    <n v="5645800"/>
    <n v="11.29"/>
  </r>
  <r>
    <d v="2024-02-26T00:00:00"/>
    <x v="6"/>
    <s v="Ahmedabad"/>
    <x v="10"/>
    <x v="11"/>
    <x v="0"/>
    <n v="69"/>
    <x v="11"/>
    <n v="24"/>
    <x v="1101"/>
    <n v="155829600"/>
    <x v="1"/>
    <x v="0"/>
    <x v="1"/>
    <x v="0"/>
    <x v="1"/>
    <n v="2"/>
    <x v="13"/>
    <n v="6492900"/>
    <n v="15.58"/>
  </r>
  <r>
    <d v="2024-02-26T00:00:00"/>
    <x v="11"/>
    <s v="Salem"/>
    <x v="7"/>
    <x v="7"/>
    <x v="0"/>
    <n v="3"/>
    <x v="7"/>
    <n v="46"/>
    <x v="1102"/>
    <n v="8146600"/>
    <x v="0"/>
    <x v="0"/>
    <x v="1"/>
    <x v="0"/>
    <x v="1"/>
    <n v="2"/>
    <x v="13"/>
    <n v="177100"/>
    <n v="0.81"/>
  </r>
  <r>
    <d v="2024-02-26T00:00:00"/>
    <x v="10"/>
    <s v="Kozhikode"/>
    <x v="2"/>
    <x v="2"/>
    <x v="0"/>
    <n v="66"/>
    <x v="2"/>
    <n v="16"/>
    <x v="1103"/>
    <n v="140368000"/>
    <x v="1"/>
    <x v="2"/>
    <x v="1"/>
    <x v="0"/>
    <x v="1"/>
    <n v="2"/>
    <x v="13"/>
    <n v="8773000"/>
    <n v="14.04"/>
  </r>
  <r>
    <d v="2024-02-27T00:00:00"/>
    <x v="0"/>
    <s v="Hyderabad"/>
    <x v="3"/>
    <x v="3"/>
    <x v="0"/>
    <n v="3"/>
    <x v="3"/>
    <n v="91"/>
    <x v="1104"/>
    <n v="9145500"/>
    <x v="1"/>
    <x v="0"/>
    <x v="1"/>
    <x v="0"/>
    <x v="1"/>
    <n v="2"/>
    <x v="13"/>
    <n v="100500"/>
    <n v="0.91"/>
  </r>
  <r>
    <d v="2024-02-28T00:00:00"/>
    <x v="4"/>
    <s v="Ludhiana"/>
    <x v="4"/>
    <x v="4"/>
    <x v="0"/>
    <n v="77"/>
    <x v="4"/>
    <n v="39"/>
    <x v="1105"/>
    <n v="190530600"/>
    <x v="0"/>
    <x v="0"/>
    <x v="1"/>
    <x v="0"/>
    <x v="1"/>
    <n v="2"/>
    <x v="13"/>
    <n v="4885400"/>
    <n v="19.05"/>
  </r>
  <r>
    <d v="2024-02-28T00:00:00"/>
    <x v="11"/>
    <s v="Madurai"/>
    <x v="10"/>
    <x v="11"/>
    <x v="0"/>
    <n v="69"/>
    <x v="11"/>
    <n v="8"/>
    <x v="1106"/>
    <n v="42841600"/>
    <x v="1"/>
    <x v="0"/>
    <x v="1"/>
    <x v="0"/>
    <x v="1"/>
    <n v="2"/>
    <x v="13"/>
    <n v="5355200"/>
    <n v="4.28"/>
  </r>
  <r>
    <d v="2024-02-29T00:00:00"/>
    <x v="13"/>
    <s v="Indore"/>
    <x v="13"/>
    <x v="15"/>
    <x v="0"/>
    <n v="40"/>
    <x v="14"/>
    <n v="19"/>
    <x v="698"/>
    <n v="44859000"/>
    <x v="2"/>
    <x v="1"/>
    <x v="1"/>
    <x v="0"/>
    <x v="1"/>
    <n v="2"/>
    <x v="13"/>
    <n v="2361000"/>
    <n v="4.49"/>
  </r>
  <r>
    <d v="2024-02-29T00:00:00"/>
    <x v="13"/>
    <s v="Gwalior"/>
    <x v="5"/>
    <x v="5"/>
    <x v="0"/>
    <n v="30"/>
    <x v="5"/>
    <n v="16"/>
    <x v="1107"/>
    <n v="23985600"/>
    <x v="1"/>
    <x v="1"/>
    <x v="1"/>
    <x v="0"/>
    <x v="1"/>
    <n v="2"/>
    <x v="13"/>
    <n v="1499100"/>
    <n v="2.4"/>
  </r>
  <r>
    <d v="2024-02-29T00:00:00"/>
    <x v="0"/>
    <s v="Warangal"/>
    <x v="3"/>
    <x v="3"/>
    <x v="0"/>
    <n v="3"/>
    <x v="3"/>
    <n v="139"/>
    <x v="1108"/>
    <n v="16791200"/>
    <x v="1"/>
    <x v="0"/>
    <x v="1"/>
    <x v="0"/>
    <x v="1"/>
    <n v="2"/>
    <x v="13"/>
    <n v="120800"/>
    <n v="1.68"/>
  </r>
  <r>
    <d v="2024-02-29T00:00:00"/>
    <x v="1"/>
    <s v="Rohini"/>
    <x v="9"/>
    <x v="9"/>
    <x v="0"/>
    <n v="50"/>
    <x v="9"/>
    <n v="89"/>
    <x v="1109"/>
    <n v="198772600"/>
    <x v="1"/>
    <x v="0"/>
    <x v="1"/>
    <x v="0"/>
    <x v="1"/>
    <n v="2"/>
    <x v="13"/>
    <n v="2233400"/>
    <n v="19.88"/>
  </r>
  <r>
    <d v="2024-03-01T00:00:00"/>
    <x v="1"/>
    <s v="New Delhi"/>
    <x v="11"/>
    <x v="23"/>
    <x v="0"/>
    <n v="59"/>
    <x v="20"/>
    <n v="168"/>
    <x v="1110"/>
    <n v="371263200"/>
    <x v="1"/>
    <x v="0"/>
    <x v="1"/>
    <x v="0"/>
    <x v="2"/>
    <n v="3"/>
    <x v="14"/>
    <n v="2209900"/>
    <n v="37.130000000000003"/>
  </r>
  <r>
    <d v="2024-03-01T00:00:00"/>
    <x v="3"/>
    <s v="Nagpur"/>
    <x v="0"/>
    <x v="0"/>
    <x v="2"/>
    <n v="82"/>
    <x v="0"/>
    <n v="74"/>
    <x v="1111"/>
    <n v="489006800"/>
    <x v="1"/>
    <x v="0"/>
    <x v="1"/>
    <x v="0"/>
    <x v="2"/>
    <n v="3"/>
    <x v="14"/>
    <n v="6608200"/>
    <n v="48.9"/>
  </r>
  <r>
    <d v="2024-03-01T00:00:00"/>
    <x v="6"/>
    <s v="Surat"/>
    <x v="9"/>
    <x v="9"/>
    <x v="0"/>
    <n v="50"/>
    <x v="9"/>
    <n v="26"/>
    <x v="1112"/>
    <n v="62059400"/>
    <x v="1"/>
    <x v="0"/>
    <x v="1"/>
    <x v="0"/>
    <x v="2"/>
    <n v="3"/>
    <x v="14"/>
    <n v="2386900"/>
    <n v="6.21"/>
  </r>
  <r>
    <d v="2024-03-02T00:00:00"/>
    <x v="3"/>
    <s v="Nagpur"/>
    <x v="11"/>
    <x v="12"/>
    <x v="2"/>
    <n v="40"/>
    <x v="12"/>
    <n v="77"/>
    <x v="1113"/>
    <n v="189866600"/>
    <x v="1"/>
    <x v="0"/>
    <x v="1"/>
    <x v="0"/>
    <x v="2"/>
    <n v="3"/>
    <x v="14"/>
    <n v="2465800"/>
    <n v="18.989999999999998"/>
  </r>
  <r>
    <d v="2024-03-02T00:00:00"/>
    <x v="3"/>
    <s v="Nashik"/>
    <x v="7"/>
    <x v="7"/>
    <x v="0"/>
    <n v="3"/>
    <x v="7"/>
    <n v="87"/>
    <x v="142"/>
    <n v="13841700"/>
    <x v="1"/>
    <x v="2"/>
    <x v="1"/>
    <x v="0"/>
    <x v="2"/>
    <n v="3"/>
    <x v="14"/>
    <n v="159100"/>
    <n v="1.38"/>
  </r>
  <r>
    <d v="2024-03-03T00:00:00"/>
    <x v="5"/>
    <s v="Mangaluru"/>
    <x v="6"/>
    <x v="6"/>
    <x v="0"/>
    <n v="72"/>
    <x v="6"/>
    <n v="70"/>
    <x v="1114"/>
    <n v="309771000"/>
    <x v="1"/>
    <x v="2"/>
    <x v="1"/>
    <x v="0"/>
    <x v="2"/>
    <n v="3"/>
    <x v="14"/>
    <n v="4425300"/>
    <n v="30.98"/>
  </r>
  <r>
    <d v="2024-03-03T00:00:00"/>
    <x v="6"/>
    <s v="Ahmedabad"/>
    <x v="12"/>
    <x v="14"/>
    <x v="1"/>
    <n v="82"/>
    <x v="13"/>
    <n v="65"/>
    <x v="1115"/>
    <n v="367425500"/>
    <x v="1"/>
    <x v="3"/>
    <x v="1"/>
    <x v="0"/>
    <x v="2"/>
    <n v="3"/>
    <x v="14"/>
    <n v="5652700"/>
    <n v="36.74"/>
  </r>
  <r>
    <d v="2024-03-03T00:00:00"/>
    <x v="5"/>
    <s v="Mangaluru"/>
    <x v="6"/>
    <x v="6"/>
    <x v="1"/>
    <n v="72"/>
    <x v="6"/>
    <n v="77"/>
    <x v="1116"/>
    <n v="441510300"/>
    <x v="1"/>
    <x v="0"/>
    <x v="1"/>
    <x v="0"/>
    <x v="2"/>
    <n v="3"/>
    <x v="14"/>
    <n v="5733900"/>
    <n v="44.15"/>
  </r>
  <r>
    <d v="2024-03-03T00:00:00"/>
    <x v="3"/>
    <s v="Nagpur"/>
    <x v="14"/>
    <x v="16"/>
    <x v="0"/>
    <n v="3"/>
    <x v="15"/>
    <n v="78"/>
    <x v="1117"/>
    <n v="13806000"/>
    <x v="1"/>
    <x v="0"/>
    <x v="1"/>
    <x v="0"/>
    <x v="2"/>
    <n v="3"/>
    <x v="14"/>
    <n v="177000"/>
    <n v="1.38"/>
  </r>
  <r>
    <d v="2024-03-03T00:00:00"/>
    <x v="6"/>
    <s v="Ahmedabad"/>
    <x v="5"/>
    <x v="5"/>
    <x v="0"/>
    <n v="30"/>
    <x v="5"/>
    <n v="73"/>
    <x v="1118"/>
    <n v="113807000"/>
    <x v="1"/>
    <x v="0"/>
    <x v="1"/>
    <x v="0"/>
    <x v="2"/>
    <n v="3"/>
    <x v="14"/>
    <n v="1559000"/>
    <n v="11.38"/>
  </r>
  <r>
    <d v="2024-03-04T00:00:00"/>
    <x v="2"/>
    <s v="Kanpur"/>
    <x v="9"/>
    <x v="10"/>
    <x v="0"/>
    <n v="25"/>
    <x v="10"/>
    <n v="86"/>
    <x v="1119"/>
    <n v="94213000"/>
    <x v="1"/>
    <x v="2"/>
    <x v="1"/>
    <x v="0"/>
    <x v="2"/>
    <n v="3"/>
    <x v="14"/>
    <n v="1095500"/>
    <n v="9.42"/>
  </r>
  <r>
    <d v="2024-03-04T00:00:00"/>
    <x v="9"/>
    <s v="Muzaffarpur"/>
    <x v="6"/>
    <x v="13"/>
    <x v="0"/>
    <n v="48"/>
    <x v="12"/>
    <n v="137"/>
    <x v="1120"/>
    <n v="319908700"/>
    <x v="1"/>
    <x v="0"/>
    <x v="1"/>
    <x v="0"/>
    <x v="2"/>
    <n v="3"/>
    <x v="14"/>
    <n v="2335100"/>
    <n v="31.99"/>
  </r>
  <r>
    <d v="2024-03-04T00:00:00"/>
    <x v="0"/>
    <s v="Hyderabad"/>
    <x v="1"/>
    <x v="21"/>
    <x v="0"/>
    <n v="3"/>
    <x v="19"/>
    <n v="114"/>
    <x v="1121"/>
    <n v="13839600"/>
    <x v="1"/>
    <x v="0"/>
    <x v="1"/>
    <x v="0"/>
    <x v="2"/>
    <n v="3"/>
    <x v="14"/>
    <n v="121400"/>
    <n v="1.38"/>
  </r>
  <r>
    <d v="2024-03-04T00:00:00"/>
    <x v="5"/>
    <s v="Mangaluru"/>
    <x v="0"/>
    <x v="0"/>
    <x v="3"/>
    <n v="82"/>
    <x v="0"/>
    <n v="33"/>
    <x v="1122"/>
    <n v="249437100"/>
    <x v="1"/>
    <x v="0"/>
    <x v="1"/>
    <x v="0"/>
    <x v="2"/>
    <n v="3"/>
    <x v="14"/>
    <n v="7558700"/>
    <n v="24.94"/>
  </r>
  <r>
    <d v="2024-03-06T00:00:00"/>
    <x v="2"/>
    <s v="Lucknow"/>
    <x v="8"/>
    <x v="20"/>
    <x v="0"/>
    <n v="84"/>
    <x v="18"/>
    <n v="17"/>
    <x v="1123"/>
    <n v="140394500"/>
    <x v="1"/>
    <x v="0"/>
    <x v="1"/>
    <x v="0"/>
    <x v="2"/>
    <n v="3"/>
    <x v="14"/>
    <n v="8258500"/>
    <n v="14.04"/>
  </r>
  <r>
    <d v="2024-03-06T00:00:00"/>
    <x v="6"/>
    <s v="Surat"/>
    <x v="11"/>
    <x v="23"/>
    <x v="3"/>
    <n v="59"/>
    <x v="20"/>
    <n v="137"/>
    <x v="1124"/>
    <n v="402369000"/>
    <x v="0"/>
    <x v="0"/>
    <x v="1"/>
    <x v="0"/>
    <x v="2"/>
    <n v="3"/>
    <x v="14"/>
    <n v="2937000"/>
    <n v="40.24"/>
  </r>
  <r>
    <d v="2024-03-07T00:00:00"/>
    <x v="3"/>
    <s v="Mumbai"/>
    <x v="11"/>
    <x v="12"/>
    <x v="0"/>
    <n v="40"/>
    <x v="12"/>
    <n v="59"/>
    <x v="1125"/>
    <n v="153187600"/>
    <x v="1"/>
    <x v="2"/>
    <x v="1"/>
    <x v="0"/>
    <x v="2"/>
    <n v="3"/>
    <x v="14"/>
    <n v="2596400"/>
    <n v="15.32"/>
  </r>
  <r>
    <d v="2024-03-07T00:00:00"/>
    <x v="13"/>
    <s v="Indore"/>
    <x v="6"/>
    <x v="6"/>
    <x v="2"/>
    <n v="72"/>
    <x v="6"/>
    <n v="25"/>
    <x v="1126"/>
    <n v="128092500"/>
    <x v="1"/>
    <x v="2"/>
    <x v="1"/>
    <x v="0"/>
    <x v="2"/>
    <n v="3"/>
    <x v="14"/>
    <n v="5123700"/>
    <n v="12.81"/>
  </r>
  <r>
    <d v="2024-03-08T00:00:00"/>
    <x v="10"/>
    <s v="Kozhikode"/>
    <x v="12"/>
    <x v="14"/>
    <x v="0"/>
    <n v="82"/>
    <x v="13"/>
    <n v="40"/>
    <x v="1127"/>
    <n v="213036000"/>
    <x v="1"/>
    <x v="3"/>
    <x v="1"/>
    <x v="0"/>
    <x v="2"/>
    <n v="3"/>
    <x v="14"/>
    <n v="5325900"/>
    <n v="21.3"/>
  </r>
  <r>
    <d v="2024-03-08T00:00:00"/>
    <x v="8"/>
    <s v="Kolkata"/>
    <x v="12"/>
    <x v="18"/>
    <x v="0"/>
    <n v="60"/>
    <x v="16"/>
    <n v="59"/>
    <x v="1128"/>
    <n v="190452000"/>
    <x v="1"/>
    <x v="0"/>
    <x v="1"/>
    <x v="0"/>
    <x v="2"/>
    <n v="3"/>
    <x v="14"/>
    <n v="3228000"/>
    <n v="19.05"/>
  </r>
  <r>
    <d v="2024-03-09T00:00:00"/>
    <x v="5"/>
    <s v="Bengaluru"/>
    <x v="8"/>
    <x v="8"/>
    <x v="1"/>
    <n v="66"/>
    <x v="8"/>
    <n v="49"/>
    <x v="1129"/>
    <n v="263879700"/>
    <x v="1"/>
    <x v="0"/>
    <x v="1"/>
    <x v="0"/>
    <x v="2"/>
    <n v="3"/>
    <x v="14"/>
    <n v="5385300"/>
    <n v="26.39"/>
  </r>
  <r>
    <d v="2024-03-09T00:00:00"/>
    <x v="3"/>
    <s v="Nashik"/>
    <x v="15"/>
    <x v="17"/>
    <x v="0"/>
    <n v="5"/>
    <x v="15"/>
    <n v="148"/>
    <x v="925"/>
    <n v="23043600"/>
    <x v="0"/>
    <x v="2"/>
    <x v="1"/>
    <x v="0"/>
    <x v="2"/>
    <n v="3"/>
    <x v="14"/>
    <n v="155700"/>
    <n v="2.2999999999999998"/>
  </r>
  <r>
    <d v="2024-03-10T00:00:00"/>
    <x v="6"/>
    <s v="Vadodara"/>
    <x v="7"/>
    <x v="7"/>
    <x v="0"/>
    <n v="3"/>
    <x v="7"/>
    <n v="31"/>
    <x v="1130"/>
    <n v="5527300"/>
    <x v="1"/>
    <x v="0"/>
    <x v="1"/>
    <x v="0"/>
    <x v="2"/>
    <n v="3"/>
    <x v="14"/>
    <n v="178300"/>
    <n v="0.55000000000000004"/>
  </r>
  <r>
    <d v="2024-03-10T00:00:00"/>
    <x v="5"/>
    <s v="Hubballi"/>
    <x v="9"/>
    <x v="10"/>
    <x v="3"/>
    <n v="25"/>
    <x v="10"/>
    <n v="15"/>
    <x v="1131"/>
    <n v="15189000"/>
    <x v="1"/>
    <x v="2"/>
    <x v="1"/>
    <x v="0"/>
    <x v="2"/>
    <n v="3"/>
    <x v="14"/>
    <n v="1012600"/>
    <n v="1.52"/>
  </r>
  <r>
    <d v="2024-03-10T00:00:00"/>
    <x v="10"/>
    <s v="Kozhikode"/>
    <x v="12"/>
    <x v="14"/>
    <x v="0"/>
    <n v="82"/>
    <x v="13"/>
    <n v="70"/>
    <x v="1132"/>
    <n v="430192000"/>
    <x v="1"/>
    <x v="0"/>
    <x v="1"/>
    <x v="0"/>
    <x v="2"/>
    <n v="3"/>
    <x v="14"/>
    <n v="6145600"/>
    <n v="43.02"/>
  </r>
  <r>
    <d v="2024-03-10T00:00:00"/>
    <x v="9"/>
    <s v="Patna"/>
    <x v="6"/>
    <x v="6"/>
    <x v="0"/>
    <n v="72"/>
    <x v="6"/>
    <n v="129"/>
    <x v="1133"/>
    <n v="588756000"/>
    <x v="1"/>
    <x v="1"/>
    <x v="1"/>
    <x v="0"/>
    <x v="2"/>
    <n v="3"/>
    <x v="14"/>
    <n v="4564000"/>
    <n v="58.88"/>
  </r>
  <r>
    <d v="2024-03-11T00:00:00"/>
    <x v="1"/>
    <s v="Rohini"/>
    <x v="1"/>
    <x v="1"/>
    <x v="0"/>
    <n v="4"/>
    <x v="1"/>
    <n v="36"/>
    <x v="1134"/>
    <n v="5479200"/>
    <x v="0"/>
    <x v="2"/>
    <x v="1"/>
    <x v="0"/>
    <x v="2"/>
    <n v="3"/>
    <x v="14"/>
    <n v="152200"/>
    <n v="0.55000000000000004"/>
  </r>
  <r>
    <d v="2024-03-11T00:00:00"/>
    <x v="1"/>
    <s v="Dwarka"/>
    <x v="7"/>
    <x v="7"/>
    <x v="0"/>
    <n v="3"/>
    <x v="7"/>
    <n v="104"/>
    <x v="188"/>
    <n v="17524000"/>
    <x v="0"/>
    <x v="0"/>
    <x v="1"/>
    <x v="0"/>
    <x v="2"/>
    <n v="3"/>
    <x v="14"/>
    <n v="168500"/>
    <n v="1.75"/>
  </r>
  <r>
    <d v="2024-03-11T00:00:00"/>
    <x v="0"/>
    <s v="Warangal"/>
    <x v="6"/>
    <x v="13"/>
    <x v="2"/>
    <n v="48"/>
    <x v="12"/>
    <n v="82"/>
    <x v="1135"/>
    <n v="158391200"/>
    <x v="1"/>
    <x v="0"/>
    <x v="1"/>
    <x v="0"/>
    <x v="2"/>
    <n v="3"/>
    <x v="14"/>
    <n v="1931600"/>
    <n v="15.84"/>
  </r>
  <r>
    <d v="2024-03-12T00:00:00"/>
    <x v="1"/>
    <s v="New Delhi"/>
    <x v="10"/>
    <x v="11"/>
    <x v="0"/>
    <n v="69"/>
    <x v="11"/>
    <n v="24"/>
    <x v="1136"/>
    <n v="151514400"/>
    <x v="1"/>
    <x v="0"/>
    <x v="1"/>
    <x v="0"/>
    <x v="2"/>
    <n v="3"/>
    <x v="14"/>
    <n v="6313100"/>
    <n v="15.15"/>
  </r>
  <r>
    <d v="2024-03-12T00:00:00"/>
    <x v="8"/>
    <s v="Kolkata"/>
    <x v="0"/>
    <x v="0"/>
    <x v="3"/>
    <n v="82"/>
    <x v="0"/>
    <n v="3"/>
    <x v="1137"/>
    <n v="20793300"/>
    <x v="1"/>
    <x v="1"/>
    <x v="1"/>
    <x v="0"/>
    <x v="2"/>
    <n v="3"/>
    <x v="14"/>
    <n v="6931100"/>
    <n v="2.08"/>
  </r>
  <r>
    <d v="2024-03-12T00:00:00"/>
    <x v="3"/>
    <s v="Pune"/>
    <x v="12"/>
    <x v="14"/>
    <x v="0"/>
    <n v="82"/>
    <x v="13"/>
    <n v="72"/>
    <x v="1138"/>
    <n v="425786400"/>
    <x v="1"/>
    <x v="2"/>
    <x v="1"/>
    <x v="0"/>
    <x v="2"/>
    <n v="3"/>
    <x v="14"/>
    <n v="5913700"/>
    <n v="42.58"/>
  </r>
  <r>
    <d v="2024-03-12T00:00:00"/>
    <x v="0"/>
    <s v="Nizamabad"/>
    <x v="1"/>
    <x v="21"/>
    <x v="0"/>
    <n v="3"/>
    <x v="19"/>
    <n v="96"/>
    <x v="1139"/>
    <n v="10051200"/>
    <x v="1"/>
    <x v="0"/>
    <x v="1"/>
    <x v="0"/>
    <x v="2"/>
    <n v="3"/>
    <x v="14"/>
    <n v="104700"/>
    <n v="1.01"/>
  </r>
  <r>
    <d v="2024-03-13T00:00:00"/>
    <x v="12"/>
    <s v="Panipat"/>
    <x v="11"/>
    <x v="23"/>
    <x v="0"/>
    <n v="59"/>
    <x v="20"/>
    <n v="45"/>
    <x v="1140"/>
    <n v="112198500"/>
    <x v="0"/>
    <x v="0"/>
    <x v="1"/>
    <x v="0"/>
    <x v="2"/>
    <n v="3"/>
    <x v="14"/>
    <n v="2493300"/>
    <n v="11.22"/>
  </r>
  <r>
    <d v="2024-03-13T00:00:00"/>
    <x v="3"/>
    <s v="Nagpur"/>
    <x v="2"/>
    <x v="2"/>
    <x v="2"/>
    <n v="66"/>
    <x v="2"/>
    <n v="59"/>
    <x v="1141"/>
    <n v="453397300"/>
    <x v="1"/>
    <x v="0"/>
    <x v="1"/>
    <x v="0"/>
    <x v="2"/>
    <n v="3"/>
    <x v="14"/>
    <n v="7684700"/>
    <n v="45.34"/>
  </r>
  <r>
    <d v="2024-03-13T00:00:00"/>
    <x v="1"/>
    <s v="Rohini"/>
    <x v="11"/>
    <x v="23"/>
    <x v="2"/>
    <n v="59"/>
    <x v="20"/>
    <n v="78"/>
    <x v="1142"/>
    <n v="241620600"/>
    <x v="1"/>
    <x v="0"/>
    <x v="1"/>
    <x v="0"/>
    <x v="2"/>
    <n v="3"/>
    <x v="14"/>
    <n v="3097700"/>
    <n v="24.16"/>
  </r>
  <r>
    <d v="2024-03-14T00:00:00"/>
    <x v="3"/>
    <s v="Mumbai"/>
    <x v="4"/>
    <x v="4"/>
    <x v="0"/>
    <n v="77"/>
    <x v="4"/>
    <n v="36"/>
    <x v="1143"/>
    <n v="161020800"/>
    <x v="1"/>
    <x v="0"/>
    <x v="1"/>
    <x v="0"/>
    <x v="2"/>
    <n v="3"/>
    <x v="14"/>
    <n v="4472800"/>
    <n v="16.100000000000001"/>
  </r>
  <r>
    <d v="2024-03-14T00:00:00"/>
    <x v="3"/>
    <s v="Pune"/>
    <x v="7"/>
    <x v="7"/>
    <x v="0"/>
    <n v="3"/>
    <x v="7"/>
    <n v="34"/>
    <x v="1144"/>
    <n v="6130200"/>
    <x v="0"/>
    <x v="1"/>
    <x v="1"/>
    <x v="0"/>
    <x v="2"/>
    <n v="3"/>
    <x v="14"/>
    <n v="180300"/>
    <n v="0.61"/>
  </r>
  <r>
    <d v="2024-03-14T00:00:00"/>
    <x v="0"/>
    <s v="Warangal"/>
    <x v="11"/>
    <x v="12"/>
    <x v="0"/>
    <n v="40"/>
    <x v="12"/>
    <n v="29"/>
    <x v="1145"/>
    <n v="68445800"/>
    <x v="1"/>
    <x v="0"/>
    <x v="1"/>
    <x v="0"/>
    <x v="2"/>
    <n v="3"/>
    <x v="14"/>
    <n v="2360200"/>
    <n v="6.84"/>
  </r>
  <r>
    <d v="2024-03-14T00:00:00"/>
    <x v="11"/>
    <s v="Madurai"/>
    <x v="9"/>
    <x v="9"/>
    <x v="0"/>
    <n v="50"/>
    <x v="9"/>
    <n v="11"/>
    <x v="1146"/>
    <n v="27088600"/>
    <x v="1"/>
    <x v="2"/>
    <x v="1"/>
    <x v="0"/>
    <x v="2"/>
    <n v="3"/>
    <x v="14"/>
    <n v="2462600"/>
    <n v="2.71"/>
  </r>
  <r>
    <d v="2024-03-15T00:00:00"/>
    <x v="8"/>
    <s v="Siliguri"/>
    <x v="3"/>
    <x v="3"/>
    <x v="0"/>
    <n v="3"/>
    <x v="3"/>
    <n v="48"/>
    <x v="971"/>
    <n v="6220800"/>
    <x v="0"/>
    <x v="1"/>
    <x v="1"/>
    <x v="0"/>
    <x v="2"/>
    <n v="3"/>
    <x v="14"/>
    <n v="129600"/>
    <n v="0.62"/>
  </r>
  <r>
    <d v="2024-03-16T00:00:00"/>
    <x v="2"/>
    <s v="Lucknow"/>
    <x v="13"/>
    <x v="19"/>
    <x v="0"/>
    <n v="24"/>
    <x v="17"/>
    <n v="44"/>
    <x v="1147"/>
    <n v="57112000"/>
    <x v="1"/>
    <x v="0"/>
    <x v="1"/>
    <x v="0"/>
    <x v="2"/>
    <n v="3"/>
    <x v="14"/>
    <n v="1298000"/>
    <n v="5.71"/>
  </r>
  <r>
    <d v="2024-03-16T00:00:00"/>
    <x v="3"/>
    <s v="Nagpur"/>
    <x v="5"/>
    <x v="5"/>
    <x v="0"/>
    <n v="30"/>
    <x v="5"/>
    <n v="33"/>
    <x v="1148"/>
    <n v="44427900"/>
    <x v="0"/>
    <x v="2"/>
    <x v="1"/>
    <x v="0"/>
    <x v="2"/>
    <n v="3"/>
    <x v="14"/>
    <n v="1346300"/>
    <n v="4.4400000000000004"/>
  </r>
  <r>
    <d v="2024-03-17T00:00:00"/>
    <x v="13"/>
    <s v="Bhopal"/>
    <x v="8"/>
    <x v="8"/>
    <x v="0"/>
    <n v="66"/>
    <x v="8"/>
    <n v="66"/>
    <x v="1149"/>
    <n v="414143400"/>
    <x v="0"/>
    <x v="1"/>
    <x v="1"/>
    <x v="0"/>
    <x v="2"/>
    <n v="3"/>
    <x v="14"/>
    <n v="6274900"/>
    <n v="41.41"/>
  </r>
  <r>
    <d v="2024-03-17T00:00:00"/>
    <x v="11"/>
    <s v="Coimbatore"/>
    <x v="4"/>
    <x v="4"/>
    <x v="0"/>
    <n v="77"/>
    <x v="4"/>
    <n v="23"/>
    <x v="1150"/>
    <n v="112161800"/>
    <x v="1"/>
    <x v="0"/>
    <x v="1"/>
    <x v="0"/>
    <x v="2"/>
    <n v="3"/>
    <x v="14"/>
    <n v="4876600"/>
    <n v="11.22"/>
  </r>
  <r>
    <d v="2024-03-18T00:00:00"/>
    <x v="5"/>
    <s v="Hubballi"/>
    <x v="10"/>
    <x v="11"/>
    <x v="0"/>
    <n v="69"/>
    <x v="11"/>
    <n v="21"/>
    <x v="1151"/>
    <n v="107845500"/>
    <x v="1"/>
    <x v="0"/>
    <x v="1"/>
    <x v="0"/>
    <x v="2"/>
    <n v="3"/>
    <x v="14"/>
    <n v="5135500"/>
    <n v="10.78"/>
  </r>
  <r>
    <d v="2024-03-19T00:00:00"/>
    <x v="5"/>
    <s v="Mysuru"/>
    <x v="1"/>
    <x v="1"/>
    <x v="0"/>
    <n v="4"/>
    <x v="1"/>
    <n v="158"/>
    <x v="1152"/>
    <n v="20429400"/>
    <x v="1"/>
    <x v="2"/>
    <x v="1"/>
    <x v="0"/>
    <x v="2"/>
    <n v="3"/>
    <x v="14"/>
    <n v="129300"/>
    <n v="2.04"/>
  </r>
  <r>
    <d v="2024-03-19T00:00:00"/>
    <x v="4"/>
    <s v="Amritsar"/>
    <x v="13"/>
    <x v="15"/>
    <x v="0"/>
    <n v="40"/>
    <x v="14"/>
    <n v="127"/>
    <x v="1153"/>
    <n v="321170300"/>
    <x v="1"/>
    <x v="0"/>
    <x v="1"/>
    <x v="0"/>
    <x v="2"/>
    <n v="3"/>
    <x v="14"/>
    <n v="2528900"/>
    <n v="32.119999999999997"/>
  </r>
  <r>
    <d v="2024-03-19T00:00:00"/>
    <x v="6"/>
    <s v="Vadodara"/>
    <x v="1"/>
    <x v="1"/>
    <x v="0"/>
    <n v="4"/>
    <x v="1"/>
    <n v="35"/>
    <x v="963"/>
    <n v="4991000"/>
    <x v="1"/>
    <x v="0"/>
    <x v="1"/>
    <x v="0"/>
    <x v="2"/>
    <n v="3"/>
    <x v="14"/>
    <n v="142600"/>
    <n v="0.5"/>
  </r>
  <r>
    <d v="2024-03-20T00:00:00"/>
    <x v="3"/>
    <s v="Mumbai"/>
    <x v="9"/>
    <x v="9"/>
    <x v="3"/>
    <n v="50"/>
    <x v="9"/>
    <n v="80"/>
    <x v="1154"/>
    <n v="174424000"/>
    <x v="1"/>
    <x v="2"/>
    <x v="1"/>
    <x v="0"/>
    <x v="2"/>
    <n v="3"/>
    <x v="14"/>
    <n v="2180300"/>
    <n v="17.440000000000001"/>
  </r>
  <r>
    <d v="2024-03-20T00:00:00"/>
    <x v="1"/>
    <s v="Dwarka"/>
    <x v="15"/>
    <x v="17"/>
    <x v="0"/>
    <n v="5"/>
    <x v="15"/>
    <n v="56"/>
    <x v="1155"/>
    <n v="8176000"/>
    <x v="0"/>
    <x v="0"/>
    <x v="1"/>
    <x v="0"/>
    <x v="2"/>
    <n v="3"/>
    <x v="14"/>
    <n v="146000"/>
    <n v="0.82"/>
  </r>
  <r>
    <d v="2024-03-21T00:00:00"/>
    <x v="10"/>
    <s v="Thiruvananthapuram"/>
    <x v="8"/>
    <x v="20"/>
    <x v="1"/>
    <n v="84"/>
    <x v="18"/>
    <n v="35"/>
    <x v="1156"/>
    <n v="266245000"/>
    <x v="0"/>
    <x v="2"/>
    <x v="1"/>
    <x v="0"/>
    <x v="2"/>
    <n v="3"/>
    <x v="14"/>
    <n v="7607000"/>
    <n v="26.62"/>
  </r>
  <r>
    <d v="2024-03-21T00:00:00"/>
    <x v="8"/>
    <s v="Kolkata"/>
    <x v="14"/>
    <x v="16"/>
    <x v="0"/>
    <n v="3"/>
    <x v="15"/>
    <n v="142"/>
    <x v="881"/>
    <n v="21527200"/>
    <x v="1"/>
    <x v="0"/>
    <x v="1"/>
    <x v="0"/>
    <x v="2"/>
    <n v="3"/>
    <x v="14"/>
    <n v="151600"/>
    <n v="2.15"/>
  </r>
  <r>
    <d v="2024-03-21T00:00:00"/>
    <x v="5"/>
    <s v="Mangaluru"/>
    <x v="4"/>
    <x v="4"/>
    <x v="0"/>
    <n v="77"/>
    <x v="4"/>
    <n v="8"/>
    <x v="1157"/>
    <n v="45046400"/>
    <x v="1"/>
    <x v="1"/>
    <x v="1"/>
    <x v="0"/>
    <x v="2"/>
    <n v="3"/>
    <x v="14"/>
    <n v="5630800"/>
    <n v="4.5"/>
  </r>
  <r>
    <d v="2024-03-21T00:00:00"/>
    <x v="2"/>
    <s v="Noida"/>
    <x v="10"/>
    <x v="11"/>
    <x v="0"/>
    <n v="69"/>
    <x v="11"/>
    <n v="24"/>
    <x v="1158"/>
    <n v="138074400"/>
    <x v="1"/>
    <x v="0"/>
    <x v="1"/>
    <x v="0"/>
    <x v="2"/>
    <n v="3"/>
    <x v="14"/>
    <n v="5753100"/>
    <n v="13.81"/>
  </r>
  <r>
    <d v="2024-03-22T00:00:00"/>
    <x v="1"/>
    <s v="Dwarka"/>
    <x v="6"/>
    <x v="6"/>
    <x v="0"/>
    <n v="72"/>
    <x v="6"/>
    <n v="118"/>
    <x v="1159"/>
    <n v="553915600"/>
    <x v="1"/>
    <x v="0"/>
    <x v="1"/>
    <x v="0"/>
    <x v="2"/>
    <n v="3"/>
    <x v="14"/>
    <n v="4694200"/>
    <n v="55.39"/>
  </r>
  <r>
    <d v="2024-03-23T00:00:00"/>
    <x v="11"/>
    <s v="Salem"/>
    <x v="11"/>
    <x v="23"/>
    <x v="1"/>
    <n v="59"/>
    <x v="20"/>
    <n v="167"/>
    <x v="1160"/>
    <n v="383482100"/>
    <x v="1"/>
    <x v="0"/>
    <x v="1"/>
    <x v="0"/>
    <x v="2"/>
    <n v="3"/>
    <x v="14"/>
    <n v="2296300"/>
    <n v="38.35"/>
  </r>
  <r>
    <d v="2024-03-23T00:00:00"/>
    <x v="0"/>
    <s v="Hyderabad"/>
    <x v="8"/>
    <x v="20"/>
    <x v="2"/>
    <n v="84"/>
    <x v="18"/>
    <n v="75"/>
    <x v="1161"/>
    <n v="549690000"/>
    <x v="1"/>
    <x v="3"/>
    <x v="1"/>
    <x v="0"/>
    <x v="2"/>
    <n v="3"/>
    <x v="14"/>
    <n v="7329200"/>
    <n v="54.97"/>
  </r>
  <r>
    <d v="2024-03-23T00:00:00"/>
    <x v="2"/>
    <s v="Ghaziabad"/>
    <x v="3"/>
    <x v="3"/>
    <x v="0"/>
    <n v="3"/>
    <x v="3"/>
    <n v="34"/>
    <x v="329"/>
    <n v="4158200"/>
    <x v="1"/>
    <x v="3"/>
    <x v="1"/>
    <x v="0"/>
    <x v="2"/>
    <n v="3"/>
    <x v="14"/>
    <n v="122300"/>
    <n v="0.42"/>
  </r>
  <r>
    <d v="2024-03-23T00:00:00"/>
    <x v="10"/>
    <s v="Kozhikode"/>
    <x v="1"/>
    <x v="21"/>
    <x v="0"/>
    <n v="3"/>
    <x v="19"/>
    <n v="128"/>
    <x v="1162"/>
    <n v="11878400"/>
    <x v="1"/>
    <x v="0"/>
    <x v="1"/>
    <x v="0"/>
    <x v="2"/>
    <n v="3"/>
    <x v="14"/>
    <n v="92800"/>
    <n v="1.19"/>
  </r>
  <r>
    <d v="2024-03-24T00:00:00"/>
    <x v="0"/>
    <s v="Nizamabad"/>
    <x v="15"/>
    <x v="17"/>
    <x v="0"/>
    <n v="5"/>
    <x v="15"/>
    <n v="156"/>
    <x v="1163"/>
    <n v="28719600"/>
    <x v="0"/>
    <x v="2"/>
    <x v="1"/>
    <x v="0"/>
    <x v="2"/>
    <n v="3"/>
    <x v="14"/>
    <n v="184100"/>
    <n v="2.87"/>
  </r>
  <r>
    <d v="2024-03-24T00:00:00"/>
    <x v="3"/>
    <s v="Nagpur"/>
    <x v="1"/>
    <x v="1"/>
    <x v="0"/>
    <n v="4"/>
    <x v="1"/>
    <n v="25"/>
    <x v="1164"/>
    <n v="3975000"/>
    <x v="0"/>
    <x v="0"/>
    <x v="1"/>
    <x v="0"/>
    <x v="2"/>
    <n v="3"/>
    <x v="14"/>
    <n v="159000"/>
    <n v="0.4"/>
  </r>
  <r>
    <d v="2024-03-24T00:00:00"/>
    <x v="5"/>
    <s v="Hubballi"/>
    <x v="6"/>
    <x v="6"/>
    <x v="0"/>
    <n v="72"/>
    <x v="6"/>
    <n v="64"/>
    <x v="1165"/>
    <n v="314592000"/>
    <x v="1"/>
    <x v="2"/>
    <x v="1"/>
    <x v="0"/>
    <x v="2"/>
    <n v="3"/>
    <x v="14"/>
    <n v="4915500"/>
    <n v="31.46"/>
  </r>
  <r>
    <d v="2024-03-25T00:00:00"/>
    <x v="13"/>
    <s v="Bhopal"/>
    <x v="3"/>
    <x v="3"/>
    <x v="0"/>
    <n v="3"/>
    <x v="3"/>
    <n v="60"/>
    <x v="1166"/>
    <n v="6024000"/>
    <x v="0"/>
    <x v="2"/>
    <x v="1"/>
    <x v="0"/>
    <x v="2"/>
    <n v="3"/>
    <x v="14"/>
    <n v="100400"/>
    <n v="0.6"/>
  </r>
  <r>
    <d v="2024-03-25T00:00:00"/>
    <x v="3"/>
    <s v="Nagpur"/>
    <x v="10"/>
    <x v="11"/>
    <x v="0"/>
    <n v="69"/>
    <x v="11"/>
    <n v="3"/>
    <x v="1167"/>
    <n v="16298400"/>
    <x v="1"/>
    <x v="2"/>
    <x v="1"/>
    <x v="0"/>
    <x v="2"/>
    <n v="3"/>
    <x v="14"/>
    <n v="5432800"/>
    <n v="1.63"/>
  </r>
  <r>
    <d v="2024-03-25T00:00:00"/>
    <x v="11"/>
    <s v="Salem"/>
    <x v="7"/>
    <x v="7"/>
    <x v="0"/>
    <n v="3"/>
    <x v="7"/>
    <n v="165"/>
    <x v="568"/>
    <n v="24651000"/>
    <x v="1"/>
    <x v="0"/>
    <x v="1"/>
    <x v="0"/>
    <x v="2"/>
    <n v="3"/>
    <x v="14"/>
    <n v="149400"/>
    <n v="2.4700000000000002"/>
  </r>
  <r>
    <d v="2024-03-25T00:00:00"/>
    <x v="2"/>
    <s v="Lucknow"/>
    <x v="2"/>
    <x v="2"/>
    <x v="2"/>
    <n v="66"/>
    <x v="2"/>
    <n v="54"/>
    <x v="1168"/>
    <n v="464254200"/>
    <x v="1"/>
    <x v="0"/>
    <x v="1"/>
    <x v="0"/>
    <x v="2"/>
    <n v="3"/>
    <x v="14"/>
    <n v="8597300"/>
    <n v="46.43"/>
  </r>
  <r>
    <d v="2024-03-27T00:00:00"/>
    <x v="14"/>
    <s v="Jaipur"/>
    <x v="7"/>
    <x v="7"/>
    <x v="0"/>
    <n v="3"/>
    <x v="7"/>
    <n v="93"/>
    <x v="1169"/>
    <n v="14266200"/>
    <x v="0"/>
    <x v="2"/>
    <x v="1"/>
    <x v="0"/>
    <x v="2"/>
    <n v="3"/>
    <x v="14"/>
    <n v="153400"/>
    <n v="1.43"/>
  </r>
  <r>
    <d v="2024-03-27T00:00:00"/>
    <x v="7"/>
    <s v="Vijayawada"/>
    <x v="9"/>
    <x v="10"/>
    <x v="0"/>
    <n v="25"/>
    <x v="10"/>
    <n v="24"/>
    <x v="840"/>
    <n v="27194400"/>
    <x v="1"/>
    <x v="0"/>
    <x v="1"/>
    <x v="0"/>
    <x v="2"/>
    <n v="3"/>
    <x v="14"/>
    <n v="1133100"/>
    <n v="2.72"/>
  </r>
  <r>
    <d v="2024-03-27T00:00:00"/>
    <x v="12"/>
    <s v="Gurugram"/>
    <x v="3"/>
    <x v="3"/>
    <x v="0"/>
    <n v="3"/>
    <x v="3"/>
    <n v="69"/>
    <x v="164"/>
    <n v="8211000"/>
    <x v="1"/>
    <x v="1"/>
    <x v="1"/>
    <x v="0"/>
    <x v="2"/>
    <n v="3"/>
    <x v="14"/>
    <n v="119000"/>
    <n v="0.82"/>
  </r>
  <r>
    <d v="2024-03-28T00:00:00"/>
    <x v="8"/>
    <s v="Siliguri"/>
    <x v="1"/>
    <x v="21"/>
    <x v="0"/>
    <n v="3"/>
    <x v="19"/>
    <n v="10"/>
    <x v="1170"/>
    <n v="998000"/>
    <x v="0"/>
    <x v="0"/>
    <x v="1"/>
    <x v="0"/>
    <x v="2"/>
    <n v="3"/>
    <x v="14"/>
    <n v="99800"/>
    <n v="0.1"/>
  </r>
  <r>
    <d v="2024-03-28T00:00:00"/>
    <x v="11"/>
    <s v="Madurai"/>
    <x v="9"/>
    <x v="10"/>
    <x v="0"/>
    <n v="25"/>
    <x v="10"/>
    <n v="44"/>
    <x v="1171"/>
    <n v="53816400"/>
    <x v="1"/>
    <x v="0"/>
    <x v="1"/>
    <x v="0"/>
    <x v="2"/>
    <n v="3"/>
    <x v="14"/>
    <n v="1223100"/>
    <n v="5.38"/>
  </r>
  <r>
    <d v="2024-03-28T00:00:00"/>
    <x v="6"/>
    <s v="Vadodara"/>
    <x v="1"/>
    <x v="21"/>
    <x v="0"/>
    <n v="3"/>
    <x v="19"/>
    <n v="137"/>
    <x v="333"/>
    <n v="14261700"/>
    <x v="1"/>
    <x v="0"/>
    <x v="1"/>
    <x v="0"/>
    <x v="2"/>
    <n v="3"/>
    <x v="14"/>
    <n v="104100"/>
    <n v="1.43"/>
  </r>
  <r>
    <d v="2024-03-29T00:00:00"/>
    <x v="13"/>
    <s v="Indore"/>
    <x v="15"/>
    <x v="17"/>
    <x v="0"/>
    <n v="5"/>
    <x v="15"/>
    <n v="32"/>
    <x v="1172"/>
    <n v="4972800"/>
    <x v="1"/>
    <x v="2"/>
    <x v="1"/>
    <x v="0"/>
    <x v="2"/>
    <n v="3"/>
    <x v="14"/>
    <n v="155400"/>
    <n v="0.5"/>
  </r>
  <r>
    <d v="2024-03-29T00:00:00"/>
    <x v="6"/>
    <s v="Vadodara"/>
    <x v="5"/>
    <x v="5"/>
    <x v="0"/>
    <n v="30"/>
    <x v="5"/>
    <n v="75"/>
    <x v="1173"/>
    <n v="99975000"/>
    <x v="1"/>
    <x v="1"/>
    <x v="1"/>
    <x v="0"/>
    <x v="2"/>
    <n v="3"/>
    <x v="14"/>
    <n v="1333000"/>
    <n v="10"/>
  </r>
  <r>
    <d v="2024-03-29T00:00:00"/>
    <x v="14"/>
    <s v="Jaipur"/>
    <x v="6"/>
    <x v="6"/>
    <x v="0"/>
    <n v="72"/>
    <x v="6"/>
    <n v="89"/>
    <x v="1174"/>
    <n v="448631200"/>
    <x v="2"/>
    <x v="2"/>
    <x v="1"/>
    <x v="0"/>
    <x v="2"/>
    <n v="3"/>
    <x v="14"/>
    <n v="5040800"/>
    <n v="44.86"/>
  </r>
  <r>
    <d v="2024-03-30T00:00:00"/>
    <x v="5"/>
    <s v="Hubballi"/>
    <x v="6"/>
    <x v="6"/>
    <x v="0"/>
    <n v="72"/>
    <x v="6"/>
    <n v="41"/>
    <x v="1175"/>
    <n v="217070400"/>
    <x v="1"/>
    <x v="0"/>
    <x v="1"/>
    <x v="0"/>
    <x v="2"/>
    <n v="3"/>
    <x v="14"/>
    <n v="5294400"/>
    <n v="21.71"/>
  </r>
  <r>
    <d v="2024-03-30T00:00:00"/>
    <x v="11"/>
    <s v="Madurai"/>
    <x v="1"/>
    <x v="1"/>
    <x v="0"/>
    <n v="4"/>
    <x v="1"/>
    <n v="162"/>
    <x v="56"/>
    <n v="21967200"/>
    <x v="2"/>
    <x v="0"/>
    <x v="1"/>
    <x v="0"/>
    <x v="2"/>
    <n v="3"/>
    <x v="14"/>
    <n v="135600"/>
    <n v="2.2000000000000002"/>
  </r>
  <r>
    <d v="2024-03-30T00:00:00"/>
    <x v="9"/>
    <s v="Muzaffarpur"/>
    <x v="4"/>
    <x v="4"/>
    <x v="0"/>
    <n v="77"/>
    <x v="4"/>
    <n v="10"/>
    <x v="1176"/>
    <n v="44509000"/>
    <x v="1"/>
    <x v="2"/>
    <x v="1"/>
    <x v="0"/>
    <x v="2"/>
    <n v="3"/>
    <x v="14"/>
    <n v="4450900"/>
    <n v="4.45"/>
  </r>
  <r>
    <d v="2024-03-30T00:00:00"/>
    <x v="7"/>
    <s v="Visakhapatnam"/>
    <x v="13"/>
    <x v="19"/>
    <x v="0"/>
    <n v="24"/>
    <x v="17"/>
    <n v="15"/>
    <x v="1177"/>
    <n v="23040000"/>
    <x v="1"/>
    <x v="0"/>
    <x v="1"/>
    <x v="0"/>
    <x v="2"/>
    <n v="3"/>
    <x v="14"/>
    <n v="1536000"/>
    <n v="2.2999999999999998"/>
  </r>
  <r>
    <d v="2024-03-30T00:00:00"/>
    <x v="8"/>
    <s v="Siliguri"/>
    <x v="9"/>
    <x v="9"/>
    <x v="1"/>
    <n v="50"/>
    <x v="9"/>
    <n v="40"/>
    <x v="1178"/>
    <n v="106308000"/>
    <x v="1"/>
    <x v="0"/>
    <x v="1"/>
    <x v="0"/>
    <x v="2"/>
    <n v="3"/>
    <x v="14"/>
    <n v="2657700"/>
    <n v="10.63"/>
  </r>
  <r>
    <d v="2024-03-30T00:00:00"/>
    <x v="0"/>
    <s v="Warangal"/>
    <x v="5"/>
    <x v="5"/>
    <x v="0"/>
    <n v="30"/>
    <x v="5"/>
    <n v="32"/>
    <x v="1179"/>
    <n v="46118400"/>
    <x v="0"/>
    <x v="2"/>
    <x v="1"/>
    <x v="0"/>
    <x v="2"/>
    <n v="3"/>
    <x v="14"/>
    <n v="1441200"/>
    <n v="4.6100000000000003"/>
  </r>
  <r>
    <d v="2024-03-31T00:00:00"/>
    <x v="6"/>
    <s v="Ahmedabad"/>
    <x v="4"/>
    <x v="4"/>
    <x v="0"/>
    <n v="77"/>
    <x v="4"/>
    <n v="43"/>
    <x v="1180"/>
    <n v="229327600"/>
    <x v="0"/>
    <x v="0"/>
    <x v="1"/>
    <x v="0"/>
    <x v="2"/>
    <n v="3"/>
    <x v="14"/>
    <n v="5333200"/>
    <n v="22.93"/>
  </r>
  <r>
    <d v="2024-03-31T00:00:00"/>
    <x v="1"/>
    <s v="Saket"/>
    <x v="8"/>
    <x v="8"/>
    <x v="1"/>
    <n v="66"/>
    <x v="8"/>
    <n v="19"/>
    <x v="1181"/>
    <n v="116238200"/>
    <x v="1"/>
    <x v="1"/>
    <x v="1"/>
    <x v="0"/>
    <x v="2"/>
    <n v="3"/>
    <x v="14"/>
    <n v="6117800"/>
    <n v="11.62"/>
  </r>
  <r>
    <d v="2024-03-31T00:00:00"/>
    <x v="13"/>
    <s v="Bhopal"/>
    <x v="9"/>
    <x v="10"/>
    <x v="0"/>
    <n v="25"/>
    <x v="10"/>
    <n v="114"/>
    <x v="1182"/>
    <n v="128500800"/>
    <x v="1"/>
    <x v="0"/>
    <x v="1"/>
    <x v="0"/>
    <x v="2"/>
    <n v="3"/>
    <x v="14"/>
    <n v="1127200"/>
    <n v="12.85"/>
  </r>
  <r>
    <d v="2024-03-31T00:00:00"/>
    <x v="6"/>
    <s v="Vadodara"/>
    <x v="2"/>
    <x v="2"/>
    <x v="0"/>
    <n v="66"/>
    <x v="2"/>
    <n v="30"/>
    <x v="1183"/>
    <n v="230280000"/>
    <x v="1"/>
    <x v="0"/>
    <x v="1"/>
    <x v="0"/>
    <x v="2"/>
    <n v="3"/>
    <x v="14"/>
    <n v="7676000"/>
    <n v="23.03"/>
  </r>
  <r>
    <d v="2024-04-01T00:00:00"/>
    <x v="6"/>
    <s v="Rajkot"/>
    <x v="10"/>
    <x v="11"/>
    <x v="0"/>
    <n v="69"/>
    <x v="11"/>
    <n v="75"/>
    <x v="1184"/>
    <n v="379200000"/>
    <x v="0"/>
    <x v="0"/>
    <x v="1"/>
    <x v="1"/>
    <x v="3"/>
    <n v="4"/>
    <x v="15"/>
    <n v="5056000"/>
    <n v="37.92"/>
  </r>
  <r>
    <d v="2024-04-02T00:00:00"/>
    <x v="13"/>
    <s v="Indore"/>
    <x v="9"/>
    <x v="10"/>
    <x v="0"/>
    <n v="25"/>
    <x v="10"/>
    <n v="64"/>
    <x v="1185"/>
    <n v="79372800"/>
    <x v="1"/>
    <x v="2"/>
    <x v="1"/>
    <x v="1"/>
    <x v="3"/>
    <n v="4"/>
    <x v="15"/>
    <n v="1240200"/>
    <n v="7.94"/>
  </r>
  <r>
    <d v="2024-04-02T00:00:00"/>
    <x v="2"/>
    <s v="Lucknow"/>
    <x v="9"/>
    <x v="9"/>
    <x v="0"/>
    <n v="50"/>
    <x v="9"/>
    <n v="176"/>
    <x v="1186"/>
    <n v="461964800"/>
    <x v="0"/>
    <x v="1"/>
    <x v="1"/>
    <x v="1"/>
    <x v="3"/>
    <n v="4"/>
    <x v="15"/>
    <n v="2624800"/>
    <n v="46.2"/>
  </r>
  <r>
    <d v="2024-04-02T00:00:00"/>
    <x v="6"/>
    <s v="Vadodara"/>
    <x v="15"/>
    <x v="17"/>
    <x v="0"/>
    <n v="5"/>
    <x v="15"/>
    <n v="132"/>
    <x v="1187"/>
    <n v="24934800"/>
    <x v="1"/>
    <x v="0"/>
    <x v="1"/>
    <x v="1"/>
    <x v="3"/>
    <n v="4"/>
    <x v="15"/>
    <n v="188900"/>
    <n v="2.4900000000000002"/>
  </r>
  <r>
    <d v="2024-04-02T00:00:00"/>
    <x v="2"/>
    <s v="Lucknow"/>
    <x v="8"/>
    <x v="20"/>
    <x v="0"/>
    <n v="84"/>
    <x v="18"/>
    <n v="70"/>
    <x v="1188"/>
    <n v="565607000"/>
    <x v="1"/>
    <x v="0"/>
    <x v="1"/>
    <x v="1"/>
    <x v="3"/>
    <n v="4"/>
    <x v="15"/>
    <n v="8080100"/>
    <n v="56.56"/>
  </r>
  <r>
    <d v="2024-04-02T00:00:00"/>
    <x v="13"/>
    <s v="Gwalior"/>
    <x v="9"/>
    <x v="10"/>
    <x v="0"/>
    <n v="25"/>
    <x v="10"/>
    <n v="110"/>
    <x v="217"/>
    <n v="119405000"/>
    <x v="0"/>
    <x v="0"/>
    <x v="1"/>
    <x v="1"/>
    <x v="3"/>
    <n v="4"/>
    <x v="15"/>
    <n v="1085500"/>
    <n v="11.94"/>
  </r>
  <r>
    <d v="2024-04-03T00:00:00"/>
    <x v="13"/>
    <s v="Bhopal"/>
    <x v="15"/>
    <x v="17"/>
    <x v="0"/>
    <n v="5"/>
    <x v="15"/>
    <n v="116"/>
    <x v="1189"/>
    <n v="21935600"/>
    <x v="1"/>
    <x v="1"/>
    <x v="1"/>
    <x v="1"/>
    <x v="3"/>
    <n v="4"/>
    <x v="15"/>
    <n v="189100"/>
    <n v="2.19"/>
  </r>
  <r>
    <d v="2024-04-03T00:00:00"/>
    <x v="14"/>
    <s v="Udaipur"/>
    <x v="9"/>
    <x v="10"/>
    <x v="0"/>
    <n v="25"/>
    <x v="10"/>
    <n v="43"/>
    <x v="1190"/>
    <n v="48456700"/>
    <x v="1"/>
    <x v="3"/>
    <x v="1"/>
    <x v="1"/>
    <x v="3"/>
    <n v="4"/>
    <x v="15"/>
    <n v="1126900"/>
    <n v="4.8499999999999996"/>
  </r>
  <r>
    <d v="2024-04-03T00:00:00"/>
    <x v="12"/>
    <s v="Panipat"/>
    <x v="1"/>
    <x v="21"/>
    <x v="0"/>
    <n v="3"/>
    <x v="19"/>
    <n v="38"/>
    <x v="1191"/>
    <n v="3834200"/>
    <x v="2"/>
    <x v="0"/>
    <x v="1"/>
    <x v="1"/>
    <x v="3"/>
    <n v="4"/>
    <x v="15"/>
    <n v="100900"/>
    <n v="0.38"/>
  </r>
  <r>
    <d v="2024-04-04T00:00:00"/>
    <x v="8"/>
    <s v="Durgapur"/>
    <x v="9"/>
    <x v="9"/>
    <x v="0"/>
    <n v="50"/>
    <x v="9"/>
    <n v="160"/>
    <x v="1192"/>
    <n v="324624000"/>
    <x v="1"/>
    <x v="0"/>
    <x v="1"/>
    <x v="1"/>
    <x v="3"/>
    <n v="4"/>
    <x v="15"/>
    <n v="2028900"/>
    <n v="32.46"/>
  </r>
  <r>
    <d v="2024-04-04T00:00:00"/>
    <x v="5"/>
    <s v="Mangaluru"/>
    <x v="10"/>
    <x v="11"/>
    <x v="1"/>
    <n v="69"/>
    <x v="11"/>
    <n v="79"/>
    <x v="1193"/>
    <n v="491316800"/>
    <x v="0"/>
    <x v="2"/>
    <x v="1"/>
    <x v="1"/>
    <x v="3"/>
    <n v="4"/>
    <x v="15"/>
    <n v="6219200"/>
    <n v="49.13"/>
  </r>
  <r>
    <d v="2024-04-04T00:00:00"/>
    <x v="1"/>
    <s v="Saket"/>
    <x v="0"/>
    <x v="0"/>
    <x v="0"/>
    <n v="82"/>
    <x v="0"/>
    <n v="40"/>
    <x v="1194"/>
    <n v="268224000"/>
    <x v="1"/>
    <x v="0"/>
    <x v="1"/>
    <x v="1"/>
    <x v="3"/>
    <n v="4"/>
    <x v="15"/>
    <n v="6705600"/>
    <n v="26.82"/>
  </r>
  <r>
    <d v="2024-04-06T00:00:00"/>
    <x v="12"/>
    <s v="Gurugram"/>
    <x v="6"/>
    <x v="13"/>
    <x v="3"/>
    <n v="48"/>
    <x v="12"/>
    <n v="107"/>
    <x v="1195"/>
    <n v="210490400"/>
    <x v="0"/>
    <x v="0"/>
    <x v="1"/>
    <x v="1"/>
    <x v="3"/>
    <n v="4"/>
    <x v="15"/>
    <n v="1967200"/>
    <n v="21.05"/>
  </r>
  <r>
    <d v="2024-04-06T00:00:00"/>
    <x v="3"/>
    <s v="Mumbai"/>
    <x v="10"/>
    <x v="11"/>
    <x v="0"/>
    <n v="69"/>
    <x v="11"/>
    <n v="73"/>
    <x v="1196"/>
    <n v="439992900"/>
    <x v="1"/>
    <x v="0"/>
    <x v="1"/>
    <x v="1"/>
    <x v="3"/>
    <n v="4"/>
    <x v="15"/>
    <n v="6027300"/>
    <n v="44"/>
  </r>
  <r>
    <d v="2024-04-07T00:00:00"/>
    <x v="1"/>
    <s v="Saket"/>
    <x v="13"/>
    <x v="19"/>
    <x v="0"/>
    <n v="24"/>
    <x v="17"/>
    <n v="142"/>
    <x v="1197"/>
    <n v="191444400"/>
    <x v="2"/>
    <x v="0"/>
    <x v="1"/>
    <x v="1"/>
    <x v="3"/>
    <n v="4"/>
    <x v="15"/>
    <n v="1348200"/>
    <n v="19.14"/>
  </r>
  <r>
    <d v="2024-04-08T00:00:00"/>
    <x v="3"/>
    <s v="Pune"/>
    <x v="0"/>
    <x v="0"/>
    <x v="0"/>
    <n v="82"/>
    <x v="0"/>
    <n v="43"/>
    <x v="1198"/>
    <n v="304526000"/>
    <x v="1"/>
    <x v="0"/>
    <x v="1"/>
    <x v="1"/>
    <x v="3"/>
    <n v="4"/>
    <x v="15"/>
    <n v="7082000"/>
    <n v="30.45"/>
  </r>
  <r>
    <d v="2024-04-08T00:00:00"/>
    <x v="2"/>
    <s v="Lucknow"/>
    <x v="8"/>
    <x v="20"/>
    <x v="0"/>
    <n v="84"/>
    <x v="18"/>
    <n v="40"/>
    <x v="1199"/>
    <n v="332952000"/>
    <x v="1"/>
    <x v="0"/>
    <x v="1"/>
    <x v="1"/>
    <x v="3"/>
    <n v="4"/>
    <x v="15"/>
    <n v="8323800"/>
    <n v="33.299999999999997"/>
  </r>
  <r>
    <d v="2024-04-08T00:00:00"/>
    <x v="14"/>
    <s v="Jodhpur"/>
    <x v="3"/>
    <x v="3"/>
    <x v="0"/>
    <n v="3"/>
    <x v="3"/>
    <n v="89"/>
    <x v="1200"/>
    <n v="9932400"/>
    <x v="1"/>
    <x v="0"/>
    <x v="1"/>
    <x v="1"/>
    <x v="3"/>
    <n v="4"/>
    <x v="15"/>
    <n v="111600"/>
    <n v="0.99"/>
  </r>
  <r>
    <d v="2024-04-08T00:00:00"/>
    <x v="1"/>
    <s v="Saket"/>
    <x v="6"/>
    <x v="13"/>
    <x v="0"/>
    <n v="48"/>
    <x v="12"/>
    <n v="90"/>
    <x v="1201"/>
    <n v="214830000"/>
    <x v="2"/>
    <x v="0"/>
    <x v="1"/>
    <x v="1"/>
    <x v="3"/>
    <n v="4"/>
    <x v="15"/>
    <n v="2387000"/>
    <n v="21.48"/>
  </r>
  <r>
    <d v="2024-04-08T00:00:00"/>
    <x v="4"/>
    <s v="Jalandhar"/>
    <x v="6"/>
    <x v="13"/>
    <x v="0"/>
    <n v="48"/>
    <x v="12"/>
    <n v="159"/>
    <x v="1202"/>
    <n v="410522100"/>
    <x v="1"/>
    <x v="0"/>
    <x v="1"/>
    <x v="1"/>
    <x v="3"/>
    <n v="4"/>
    <x v="15"/>
    <n v="2581900"/>
    <n v="41.05"/>
  </r>
  <r>
    <d v="2024-04-08T00:00:00"/>
    <x v="1"/>
    <s v="New Delhi"/>
    <x v="13"/>
    <x v="15"/>
    <x v="0"/>
    <n v="40"/>
    <x v="14"/>
    <n v="62"/>
    <x v="1203"/>
    <n v="124979600"/>
    <x v="1"/>
    <x v="0"/>
    <x v="1"/>
    <x v="1"/>
    <x v="3"/>
    <n v="4"/>
    <x v="15"/>
    <n v="2015800"/>
    <n v="12.5"/>
  </r>
  <r>
    <d v="2024-04-09T00:00:00"/>
    <x v="5"/>
    <s v="Hubballi"/>
    <x v="6"/>
    <x v="13"/>
    <x v="2"/>
    <n v="48"/>
    <x v="12"/>
    <n v="87"/>
    <x v="1204"/>
    <n v="167361900"/>
    <x v="0"/>
    <x v="2"/>
    <x v="1"/>
    <x v="1"/>
    <x v="3"/>
    <n v="4"/>
    <x v="15"/>
    <n v="1923700"/>
    <n v="16.739999999999998"/>
  </r>
  <r>
    <d v="2024-04-10T00:00:00"/>
    <x v="4"/>
    <s v="Ludhiana"/>
    <x v="9"/>
    <x v="10"/>
    <x v="0"/>
    <n v="25"/>
    <x v="10"/>
    <n v="34"/>
    <x v="1205"/>
    <n v="43513200"/>
    <x v="1"/>
    <x v="0"/>
    <x v="1"/>
    <x v="1"/>
    <x v="3"/>
    <n v="4"/>
    <x v="15"/>
    <n v="1279800"/>
    <n v="4.3499999999999996"/>
  </r>
  <r>
    <d v="2024-04-10T00:00:00"/>
    <x v="3"/>
    <s v="Mumbai"/>
    <x v="12"/>
    <x v="18"/>
    <x v="1"/>
    <n v="60"/>
    <x v="16"/>
    <n v="52"/>
    <x v="1206"/>
    <n v="150378800"/>
    <x v="1"/>
    <x v="0"/>
    <x v="1"/>
    <x v="1"/>
    <x v="3"/>
    <n v="4"/>
    <x v="15"/>
    <n v="2891900"/>
    <n v="15.04"/>
  </r>
  <r>
    <d v="2024-04-10T00:00:00"/>
    <x v="8"/>
    <s v="Kolkata"/>
    <x v="2"/>
    <x v="2"/>
    <x v="2"/>
    <n v="66"/>
    <x v="2"/>
    <n v="55"/>
    <x v="1207"/>
    <n v="450538000"/>
    <x v="1"/>
    <x v="0"/>
    <x v="1"/>
    <x v="1"/>
    <x v="3"/>
    <n v="4"/>
    <x v="15"/>
    <n v="8191600"/>
    <n v="45.05"/>
  </r>
  <r>
    <d v="2024-04-11T00:00:00"/>
    <x v="3"/>
    <s v="Nashik"/>
    <x v="7"/>
    <x v="7"/>
    <x v="0"/>
    <n v="3"/>
    <x v="7"/>
    <n v="39"/>
    <x v="139"/>
    <n v="5775900"/>
    <x v="1"/>
    <x v="0"/>
    <x v="1"/>
    <x v="1"/>
    <x v="3"/>
    <n v="4"/>
    <x v="15"/>
    <n v="148100"/>
    <n v="0.57999999999999996"/>
  </r>
  <r>
    <d v="2024-04-11T00:00:00"/>
    <x v="6"/>
    <s v="Rajkot"/>
    <x v="3"/>
    <x v="3"/>
    <x v="0"/>
    <n v="3"/>
    <x v="3"/>
    <n v="35"/>
    <x v="1208"/>
    <n v="4459000"/>
    <x v="1"/>
    <x v="0"/>
    <x v="1"/>
    <x v="1"/>
    <x v="3"/>
    <n v="4"/>
    <x v="15"/>
    <n v="127400"/>
    <n v="0.45"/>
  </r>
  <r>
    <d v="2024-04-11T00:00:00"/>
    <x v="6"/>
    <s v="Rajkot"/>
    <x v="2"/>
    <x v="2"/>
    <x v="0"/>
    <n v="66"/>
    <x v="2"/>
    <n v="77"/>
    <x v="1209"/>
    <n v="704688600"/>
    <x v="1"/>
    <x v="1"/>
    <x v="1"/>
    <x v="1"/>
    <x v="3"/>
    <n v="4"/>
    <x v="15"/>
    <n v="9151800"/>
    <n v="70.47"/>
  </r>
  <r>
    <d v="2024-04-12T00:00:00"/>
    <x v="14"/>
    <s v="Kota"/>
    <x v="9"/>
    <x v="9"/>
    <x v="0"/>
    <n v="50"/>
    <x v="9"/>
    <n v="156"/>
    <x v="1210"/>
    <n v="423571200"/>
    <x v="2"/>
    <x v="0"/>
    <x v="1"/>
    <x v="1"/>
    <x v="3"/>
    <n v="4"/>
    <x v="15"/>
    <n v="2715200"/>
    <n v="42.36"/>
  </r>
  <r>
    <d v="2024-04-12T00:00:00"/>
    <x v="0"/>
    <s v="Nizamabad"/>
    <x v="7"/>
    <x v="7"/>
    <x v="0"/>
    <n v="3"/>
    <x v="7"/>
    <n v="163"/>
    <x v="1211"/>
    <n v="27726300"/>
    <x v="1"/>
    <x v="1"/>
    <x v="1"/>
    <x v="1"/>
    <x v="3"/>
    <n v="4"/>
    <x v="15"/>
    <n v="170100"/>
    <n v="2.77"/>
  </r>
  <r>
    <d v="2024-04-12T00:00:00"/>
    <x v="11"/>
    <s v="Coimbatore"/>
    <x v="3"/>
    <x v="3"/>
    <x v="0"/>
    <n v="3"/>
    <x v="3"/>
    <n v="172"/>
    <x v="243"/>
    <n v="22600800"/>
    <x v="1"/>
    <x v="2"/>
    <x v="1"/>
    <x v="1"/>
    <x v="3"/>
    <n v="4"/>
    <x v="15"/>
    <n v="131400"/>
    <n v="2.2599999999999998"/>
  </r>
  <r>
    <d v="2024-04-12T00:00:00"/>
    <x v="12"/>
    <s v="Faridabad"/>
    <x v="8"/>
    <x v="8"/>
    <x v="2"/>
    <n v="66"/>
    <x v="8"/>
    <n v="38"/>
    <x v="1212"/>
    <n v="232624600"/>
    <x v="1"/>
    <x v="0"/>
    <x v="1"/>
    <x v="1"/>
    <x v="3"/>
    <n v="4"/>
    <x v="15"/>
    <n v="6121700"/>
    <n v="23.26"/>
  </r>
  <r>
    <d v="2024-04-12T00:00:00"/>
    <x v="4"/>
    <s v="Jalandhar"/>
    <x v="7"/>
    <x v="7"/>
    <x v="0"/>
    <n v="3"/>
    <x v="7"/>
    <n v="148"/>
    <x v="1213"/>
    <n v="21119600"/>
    <x v="0"/>
    <x v="0"/>
    <x v="1"/>
    <x v="1"/>
    <x v="3"/>
    <n v="4"/>
    <x v="15"/>
    <n v="142700"/>
    <n v="2.11"/>
  </r>
  <r>
    <d v="2024-04-12T00:00:00"/>
    <x v="11"/>
    <s v="Chennai"/>
    <x v="9"/>
    <x v="9"/>
    <x v="3"/>
    <n v="50"/>
    <x v="9"/>
    <n v="118"/>
    <x v="1214"/>
    <n v="293914400"/>
    <x v="0"/>
    <x v="0"/>
    <x v="1"/>
    <x v="1"/>
    <x v="3"/>
    <n v="4"/>
    <x v="15"/>
    <n v="2490800"/>
    <n v="29.39"/>
  </r>
  <r>
    <d v="2024-04-13T00:00:00"/>
    <x v="13"/>
    <s v="Gwalior"/>
    <x v="15"/>
    <x v="17"/>
    <x v="0"/>
    <n v="5"/>
    <x v="15"/>
    <n v="137"/>
    <x v="1215"/>
    <n v="25413500"/>
    <x v="0"/>
    <x v="0"/>
    <x v="1"/>
    <x v="1"/>
    <x v="3"/>
    <n v="4"/>
    <x v="15"/>
    <n v="185500"/>
    <n v="2.54"/>
  </r>
  <r>
    <d v="2024-04-13T00:00:00"/>
    <x v="12"/>
    <s v="Panipat"/>
    <x v="6"/>
    <x v="13"/>
    <x v="0"/>
    <n v="48"/>
    <x v="12"/>
    <n v="62"/>
    <x v="1216"/>
    <n v="152507600"/>
    <x v="0"/>
    <x v="0"/>
    <x v="1"/>
    <x v="1"/>
    <x v="3"/>
    <n v="4"/>
    <x v="15"/>
    <n v="2459800"/>
    <n v="15.25"/>
  </r>
  <r>
    <d v="2024-04-13T00:00:00"/>
    <x v="2"/>
    <s v="Noida"/>
    <x v="13"/>
    <x v="15"/>
    <x v="0"/>
    <n v="40"/>
    <x v="14"/>
    <n v="123"/>
    <x v="1217"/>
    <n v="278964000"/>
    <x v="1"/>
    <x v="2"/>
    <x v="1"/>
    <x v="1"/>
    <x v="3"/>
    <n v="4"/>
    <x v="15"/>
    <n v="2268000"/>
    <n v="27.9"/>
  </r>
  <r>
    <d v="2024-04-13T00:00:00"/>
    <x v="3"/>
    <s v="Nagpur"/>
    <x v="8"/>
    <x v="8"/>
    <x v="0"/>
    <n v="66"/>
    <x v="8"/>
    <n v="48"/>
    <x v="1218"/>
    <n v="252110400"/>
    <x v="1"/>
    <x v="1"/>
    <x v="1"/>
    <x v="1"/>
    <x v="3"/>
    <n v="4"/>
    <x v="15"/>
    <n v="5252300"/>
    <n v="25.21"/>
  </r>
  <r>
    <d v="2024-04-14T00:00:00"/>
    <x v="2"/>
    <s v="Kanpur"/>
    <x v="4"/>
    <x v="4"/>
    <x v="1"/>
    <n v="77"/>
    <x v="4"/>
    <n v="38"/>
    <x v="1219"/>
    <n v="188423000"/>
    <x v="0"/>
    <x v="0"/>
    <x v="1"/>
    <x v="1"/>
    <x v="3"/>
    <n v="4"/>
    <x v="15"/>
    <n v="4958500"/>
    <n v="18.84"/>
  </r>
  <r>
    <d v="2024-04-14T00:00:00"/>
    <x v="13"/>
    <s v="Gwalior"/>
    <x v="14"/>
    <x v="16"/>
    <x v="0"/>
    <n v="3"/>
    <x v="15"/>
    <n v="178"/>
    <x v="1220"/>
    <n v="25934600"/>
    <x v="2"/>
    <x v="2"/>
    <x v="1"/>
    <x v="1"/>
    <x v="3"/>
    <n v="4"/>
    <x v="15"/>
    <n v="145700"/>
    <n v="2.59"/>
  </r>
  <r>
    <d v="2024-04-15T00:00:00"/>
    <x v="3"/>
    <s v="Pune"/>
    <x v="9"/>
    <x v="10"/>
    <x v="3"/>
    <n v="25"/>
    <x v="10"/>
    <n v="95"/>
    <x v="1221"/>
    <n v="107492500"/>
    <x v="1"/>
    <x v="0"/>
    <x v="1"/>
    <x v="1"/>
    <x v="3"/>
    <n v="4"/>
    <x v="15"/>
    <n v="1131500"/>
    <n v="10.75"/>
  </r>
  <r>
    <d v="2024-04-15T00:00:00"/>
    <x v="6"/>
    <s v="Rajkot"/>
    <x v="7"/>
    <x v="7"/>
    <x v="0"/>
    <n v="3"/>
    <x v="7"/>
    <n v="38"/>
    <x v="1222"/>
    <n v="6156000"/>
    <x v="1"/>
    <x v="0"/>
    <x v="1"/>
    <x v="1"/>
    <x v="3"/>
    <n v="4"/>
    <x v="15"/>
    <n v="162000"/>
    <n v="0.62"/>
  </r>
  <r>
    <d v="2024-04-15T00:00:00"/>
    <x v="5"/>
    <s v="Bengaluru"/>
    <x v="0"/>
    <x v="0"/>
    <x v="1"/>
    <n v="82"/>
    <x v="0"/>
    <n v="3"/>
    <x v="1223"/>
    <n v="21546300"/>
    <x v="1"/>
    <x v="2"/>
    <x v="1"/>
    <x v="1"/>
    <x v="3"/>
    <n v="4"/>
    <x v="15"/>
    <n v="7182100"/>
    <n v="2.15"/>
  </r>
  <r>
    <d v="2024-04-16T00:00:00"/>
    <x v="7"/>
    <s v="Tirupati"/>
    <x v="3"/>
    <x v="3"/>
    <x v="0"/>
    <n v="3"/>
    <x v="3"/>
    <n v="105"/>
    <x v="1224"/>
    <n v="14143500"/>
    <x v="1"/>
    <x v="0"/>
    <x v="1"/>
    <x v="1"/>
    <x v="3"/>
    <n v="4"/>
    <x v="15"/>
    <n v="134700"/>
    <n v="1.41"/>
  </r>
  <r>
    <d v="2024-04-17T00:00:00"/>
    <x v="1"/>
    <s v="Saket"/>
    <x v="5"/>
    <x v="5"/>
    <x v="0"/>
    <n v="30"/>
    <x v="5"/>
    <n v="9"/>
    <x v="1225"/>
    <n v="14748300"/>
    <x v="1"/>
    <x v="1"/>
    <x v="1"/>
    <x v="1"/>
    <x v="3"/>
    <n v="4"/>
    <x v="15"/>
    <n v="1638700"/>
    <n v="1.47"/>
  </r>
  <r>
    <d v="2024-04-17T00:00:00"/>
    <x v="12"/>
    <s v="Faridabad"/>
    <x v="10"/>
    <x v="11"/>
    <x v="1"/>
    <n v="69"/>
    <x v="11"/>
    <n v="20"/>
    <x v="1226"/>
    <n v="97738000"/>
    <x v="1"/>
    <x v="0"/>
    <x v="1"/>
    <x v="1"/>
    <x v="3"/>
    <n v="4"/>
    <x v="15"/>
    <n v="4886900"/>
    <n v="9.77"/>
  </r>
  <r>
    <d v="2024-04-17T00:00:00"/>
    <x v="1"/>
    <s v="New Delhi"/>
    <x v="12"/>
    <x v="14"/>
    <x v="1"/>
    <n v="82"/>
    <x v="13"/>
    <n v="13"/>
    <x v="1227"/>
    <n v="59992400"/>
    <x v="2"/>
    <x v="2"/>
    <x v="1"/>
    <x v="1"/>
    <x v="3"/>
    <n v="4"/>
    <x v="15"/>
    <n v="4614800"/>
    <n v="6"/>
  </r>
  <r>
    <d v="2024-04-18T00:00:00"/>
    <x v="3"/>
    <s v="Nagpur"/>
    <x v="11"/>
    <x v="23"/>
    <x v="0"/>
    <n v="59"/>
    <x v="20"/>
    <n v="89"/>
    <x v="1228"/>
    <n v="238039400"/>
    <x v="1"/>
    <x v="2"/>
    <x v="1"/>
    <x v="1"/>
    <x v="3"/>
    <n v="4"/>
    <x v="15"/>
    <n v="2674600"/>
    <n v="23.8"/>
  </r>
  <r>
    <d v="2024-04-18T00:00:00"/>
    <x v="11"/>
    <s v="Salem"/>
    <x v="15"/>
    <x v="17"/>
    <x v="0"/>
    <n v="5"/>
    <x v="15"/>
    <n v="172"/>
    <x v="1229"/>
    <n v="28930400"/>
    <x v="1"/>
    <x v="0"/>
    <x v="1"/>
    <x v="1"/>
    <x v="3"/>
    <n v="4"/>
    <x v="15"/>
    <n v="168200"/>
    <n v="2.89"/>
  </r>
  <r>
    <d v="2024-04-18T00:00:00"/>
    <x v="11"/>
    <s v="Madurai"/>
    <x v="8"/>
    <x v="8"/>
    <x v="0"/>
    <n v="66"/>
    <x v="8"/>
    <n v="34"/>
    <x v="1230"/>
    <n v="235337800"/>
    <x v="1"/>
    <x v="2"/>
    <x v="1"/>
    <x v="1"/>
    <x v="3"/>
    <n v="4"/>
    <x v="15"/>
    <n v="6921700"/>
    <n v="23.53"/>
  </r>
  <r>
    <d v="2024-04-18T00:00:00"/>
    <x v="7"/>
    <s v="Vijayawada"/>
    <x v="8"/>
    <x v="8"/>
    <x v="0"/>
    <n v="66"/>
    <x v="8"/>
    <n v="3"/>
    <x v="1231"/>
    <n v="19358400"/>
    <x v="1"/>
    <x v="0"/>
    <x v="1"/>
    <x v="1"/>
    <x v="3"/>
    <n v="4"/>
    <x v="15"/>
    <n v="6452800"/>
    <n v="1.94"/>
  </r>
  <r>
    <d v="2024-04-18T00:00:00"/>
    <x v="0"/>
    <s v="Nizamabad"/>
    <x v="5"/>
    <x v="5"/>
    <x v="0"/>
    <n v="30"/>
    <x v="5"/>
    <n v="29"/>
    <x v="1232"/>
    <n v="45202300"/>
    <x v="1"/>
    <x v="0"/>
    <x v="1"/>
    <x v="1"/>
    <x v="3"/>
    <n v="4"/>
    <x v="15"/>
    <n v="1558700"/>
    <n v="4.5199999999999996"/>
  </r>
  <r>
    <d v="2024-04-19T00:00:00"/>
    <x v="5"/>
    <s v="Mysuru"/>
    <x v="15"/>
    <x v="17"/>
    <x v="0"/>
    <n v="5"/>
    <x v="15"/>
    <n v="149"/>
    <x v="813"/>
    <n v="26983900"/>
    <x v="0"/>
    <x v="1"/>
    <x v="1"/>
    <x v="1"/>
    <x v="3"/>
    <n v="4"/>
    <x v="15"/>
    <n v="181100"/>
    <n v="2.7"/>
  </r>
  <r>
    <d v="2024-04-19T00:00:00"/>
    <x v="7"/>
    <s v="Visakhapatnam"/>
    <x v="0"/>
    <x v="0"/>
    <x v="0"/>
    <n v="82"/>
    <x v="0"/>
    <n v="43"/>
    <x v="1233"/>
    <n v="303816500"/>
    <x v="1"/>
    <x v="2"/>
    <x v="1"/>
    <x v="1"/>
    <x v="3"/>
    <n v="4"/>
    <x v="15"/>
    <n v="7065500"/>
    <n v="30.38"/>
  </r>
  <r>
    <d v="2024-04-20T00:00:00"/>
    <x v="11"/>
    <s v="Coimbatore"/>
    <x v="13"/>
    <x v="15"/>
    <x v="1"/>
    <n v="40"/>
    <x v="14"/>
    <n v="127"/>
    <x v="1234"/>
    <n v="354190300"/>
    <x v="1"/>
    <x v="1"/>
    <x v="1"/>
    <x v="1"/>
    <x v="3"/>
    <n v="4"/>
    <x v="15"/>
    <n v="2788900"/>
    <n v="35.42"/>
  </r>
  <r>
    <d v="2024-04-20T00:00:00"/>
    <x v="14"/>
    <s v="Jodhpur"/>
    <x v="12"/>
    <x v="18"/>
    <x v="0"/>
    <n v="60"/>
    <x v="16"/>
    <n v="11"/>
    <x v="1235"/>
    <n v="34235300"/>
    <x v="1"/>
    <x v="1"/>
    <x v="1"/>
    <x v="1"/>
    <x v="3"/>
    <n v="4"/>
    <x v="15"/>
    <n v="3112300"/>
    <n v="3.42"/>
  </r>
  <r>
    <d v="2024-04-21T00:00:00"/>
    <x v="10"/>
    <s v="Thiruvananthapuram"/>
    <x v="1"/>
    <x v="21"/>
    <x v="0"/>
    <n v="3"/>
    <x v="19"/>
    <n v="146"/>
    <x v="1236"/>
    <n v="14760600"/>
    <x v="1"/>
    <x v="3"/>
    <x v="1"/>
    <x v="1"/>
    <x v="3"/>
    <n v="4"/>
    <x v="15"/>
    <n v="101100"/>
    <n v="1.48"/>
  </r>
  <r>
    <d v="2024-04-21T00:00:00"/>
    <x v="10"/>
    <s v="Kozhikode"/>
    <x v="13"/>
    <x v="22"/>
    <x v="1"/>
    <n v="35"/>
    <x v="10"/>
    <n v="30"/>
    <x v="1237"/>
    <n v="65898000"/>
    <x v="1"/>
    <x v="0"/>
    <x v="1"/>
    <x v="1"/>
    <x v="3"/>
    <n v="4"/>
    <x v="15"/>
    <n v="2196600"/>
    <n v="6.59"/>
  </r>
  <r>
    <d v="2024-04-21T00:00:00"/>
    <x v="10"/>
    <s v="Kozhikode"/>
    <x v="11"/>
    <x v="12"/>
    <x v="0"/>
    <n v="40"/>
    <x v="12"/>
    <n v="79"/>
    <x v="1238"/>
    <n v="200091200"/>
    <x v="2"/>
    <x v="0"/>
    <x v="1"/>
    <x v="1"/>
    <x v="3"/>
    <n v="4"/>
    <x v="15"/>
    <n v="2532800"/>
    <n v="20.010000000000002"/>
  </r>
  <r>
    <d v="2024-04-22T00:00:00"/>
    <x v="10"/>
    <s v="Kochi"/>
    <x v="5"/>
    <x v="5"/>
    <x v="1"/>
    <n v="30"/>
    <x v="5"/>
    <n v="11"/>
    <x v="1239"/>
    <n v="17868400"/>
    <x v="1"/>
    <x v="0"/>
    <x v="1"/>
    <x v="1"/>
    <x v="3"/>
    <n v="4"/>
    <x v="15"/>
    <n v="1624400"/>
    <n v="1.79"/>
  </r>
  <r>
    <d v="2024-04-22T00:00:00"/>
    <x v="4"/>
    <s v="Amritsar"/>
    <x v="2"/>
    <x v="2"/>
    <x v="2"/>
    <n v="66"/>
    <x v="2"/>
    <n v="34"/>
    <x v="1240"/>
    <n v="261497400"/>
    <x v="2"/>
    <x v="1"/>
    <x v="1"/>
    <x v="1"/>
    <x v="3"/>
    <n v="4"/>
    <x v="15"/>
    <n v="7691100"/>
    <n v="26.15"/>
  </r>
  <r>
    <d v="2024-04-23T00:00:00"/>
    <x v="3"/>
    <s v="Mumbai"/>
    <x v="14"/>
    <x v="16"/>
    <x v="0"/>
    <n v="3"/>
    <x v="15"/>
    <n v="171"/>
    <x v="1241"/>
    <n v="25154100"/>
    <x v="0"/>
    <x v="0"/>
    <x v="1"/>
    <x v="1"/>
    <x v="3"/>
    <n v="4"/>
    <x v="15"/>
    <n v="147100"/>
    <n v="2.52"/>
  </r>
  <r>
    <d v="2024-04-23T00:00:00"/>
    <x v="11"/>
    <s v="Coimbatore"/>
    <x v="6"/>
    <x v="6"/>
    <x v="3"/>
    <n v="72"/>
    <x v="6"/>
    <n v="157"/>
    <x v="1242"/>
    <n v="810638100"/>
    <x v="0"/>
    <x v="2"/>
    <x v="1"/>
    <x v="1"/>
    <x v="3"/>
    <n v="4"/>
    <x v="15"/>
    <n v="5163300"/>
    <n v="81.06"/>
  </r>
  <r>
    <d v="2024-04-23T00:00:00"/>
    <x v="1"/>
    <s v="Saket"/>
    <x v="0"/>
    <x v="0"/>
    <x v="3"/>
    <n v="82"/>
    <x v="0"/>
    <n v="35"/>
    <x v="1243"/>
    <n v="205443000"/>
    <x v="0"/>
    <x v="1"/>
    <x v="1"/>
    <x v="1"/>
    <x v="3"/>
    <n v="4"/>
    <x v="15"/>
    <n v="5869800"/>
    <n v="20.54"/>
  </r>
  <r>
    <d v="2024-04-23T00:00:00"/>
    <x v="1"/>
    <s v="Rohini"/>
    <x v="2"/>
    <x v="2"/>
    <x v="0"/>
    <n v="66"/>
    <x v="2"/>
    <n v="53"/>
    <x v="1244"/>
    <n v="423708500"/>
    <x v="1"/>
    <x v="2"/>
    <x v="1"/>
    <x v="1"/>
    <x v="3"/>
    <n v="4"/>
    <x v="15"/>
    <n v="7994500"/>
    <n v="42.37"/>
  </r>
  <r>
    <d v="2024-04-24T00:00:00"/>
    <x v="11"/>
    <s v="Salem"/>
    <x v="13"/>
    <x v="19"/>
    <x v="0"/>
    <n v="24"/>
    <x v="17"/>
    <n v="53"/>
    <x v="1245"/>
    <n v="81386800"/>
    <x v="0"/>
    <x v="0"/>
    <x v="1"/>
    <x v="1"/>
    <x v="3"/>
    <n v="4"/>
    <x v="15"/>
    <n v="1535600"/>
    <n v="8.14"/>
  </r>
  <r>
    <d v="2024-04-24T00:00:00"/>
    <x v="3"/>
    <s v="Pune"/>
    <x v="10"/>
    <x v="11"/>
    <x v="2"/>
    <n v="69"/>
    <x v="11"/>
    <n v="50"/>
    <x v="1246"/>
    <n v="272555000"/>
    <x v="1"/>
    <x v="2"/>
    <x v="1"/>
    <x v="1"/>
    <x v="3"/>
    <n v="4"/>
    <x v="15"/>
    <n v="5451100"/>
    <n v="27.26"/>
  </r>
  <r>
    <d v="2024-04-24T00:00:00"/>
    <x v="5"/>
    <s v="Bengaluru"/>
    <x v="3"/>
    <x v="3"/>
    <x v="0"/>
    <n v="3"/>
    <x v="3"/>
    <n v="87"/>
    <x v="1247"/>
    <n v="11788500"/>
    <x v="1"/>
    <x v="0"/>
    <x v="1"/>
    <x v="1"/>
    <x v="3"/>
    <n v="4"/>
    <x v="15"/>
    <n v="135500"/>
    <n v="1.18"/>
  </r>
  <r>
    <d v="2024-04-24T00:00:00"/>
    <x v="2"/>
    <s v="Lucknow"/>
    <x v="4"/>
    <x v="4"/>
    <x v="1"/>
    <n v="77"/>
    <x v="4"/>
    <n v="33"/>
    <x v="1248"/>
    <n v="158228400"/>
    <x v="2"/>
    <x v="0"/>
    <x v="1"/>
    <x v="1"/>
    <x v="3"/>
    <n v="4"/>
    <x v="15"/>
    <n v="4794800"/>
    <n v="15.82"/>
  </r>
  <r>
    <d v="2024-04-25T00:00:00"/>
    <x v="3"/>
    <s v="Nagpur"/>
    <x v="7"/>
    <x v="7"/>
    <x v="0"/>
    <n v="3"/>
    <x v="7"/>
    <n v="83"/>
    <x v="201"/>
    <n v="12450000"/>
    <x v="1"/>
    <x v="0"/>
    <x v="1"/>
    <x v="1"/>
    <x v="3"/>
    <n v="4"/>
    <x v="15"/>
    <n v="150000"/>
    <n v="1.24"/>
  </r>
  <r>
    <d v="2024-04-26T00:00:00"/>
    <x v="5"/>
    <s v="Mysuru"/>
    <x v="7"/>
    <x v="7"/>
    <x v="0"/>
    <n v="3"/>
    <x v="7"/>
    <n v="135"/>
    <x v="285"/>
    <n v="22329000"/>
    <x v="1"/>
    <x v="0"/>
    <x v="1"/>
    <x v="1"/>
    <x v="3"/>
    <n v="4"/>
    <x v="15"/>
    <n v="165400"/>
    <n v="2.23"/>
  </r>
  <r>
    <d v="2024-04-26T00:00:00"/>
    <x v="8"/>
    <s v="Kolkata"/>
    <x v="5"/>
    <x v="5"/>
    <x v="2"/>
    <n v="30"/>
    <x v="5"/>
    <n v="38"/>
    <x v="1249"/>
    <n v="46523400"/>
    <x v="0"/>
    <x v="2"/>
    <x v="1"/>
    <x v="1"/>
    <x v="3"/>
    <n v="4"/>
    <x v="15"/>
    <n v="1224300"/>
    <n v="4.6500000000000004"/>
  </r>
  <r>
    <d v="2024-04-26T00:00:00"/>
    <x v="13"/>
    <s v="Gwalior"/>
    <x v="3"/>
    <x v="3"/>
    <x v="0"/>
    <n v="3"/>
    <x v="3"/>
    <n v="94"/>
    <x v="1250"/>
    <n v="9559800"/>
    <x v="1"/>
    <x v="0"/>
    <x v="1"/>
    <x v="1"/>
    <x v="3"/>
    <n v="4"/>
    <x v="15"/>
    <n v="101700"/>
    <n v="0.96"/>
  </r>
  <r>
    <d v="2024-04-27T00:00:00"/>
    <x v="6"/>
    <s v="Surat"/>
    <x v="10"/>
    <x v="11"/>
    <x v="0"/>
    <n v="69"/>
    <x v="11"/>
    <n v="52"/>
    <x v="1251"/>
    <n v="295505600"/>
    <x v="0"/>
    <x v="0"/>
    <x v="1"/>
    <x v="1"/>
    <x v="3"/>
    <n v="4"/>
    <x v="15"/>
    <n v="5682800"/>
    <n v="29.55"/>
  </r>
  <r>
    <d v="2024-04-28T00:00:00"/>
    <x v="14"/>
    <s v="Jodhpur"/>
    <x v="4"/>
    <x v="4"/>
    <x v="0"/>
    <n v="77"/>
    <x v="4"/>
    <n v="48"/>
    <x v="1252"/>
    <n v="280550400"/>
    <x v="1"/>
    <x v="0"/>
    <x v="1"/>
    <x v="1"/>
    <x v="3"/>
    <n v="4"/>
    <x v="15"/>
    <n v="5844800"/>
    <n v="28.06"/>
  </r>
  <r>
    <d v="2024-04-28T00:00:00"/>
    <x v="8"/>
    <s v="Siliguri"/>
    <x v="4"/>
    <x v="4"/>
    <x v="0"/>
    <n v="77"/>
    <x v="4"/>
    <n v="26"/>
    <x v="1253"/>
    <n v="127714600"/>
    <x v="2"/>
    <x v="0"/>
    <x v="1"/>
    <x v="1"/>
    <x v="3"/>
    <n v="4"/>
    <x v="15"/>
    <n v="4912100"/>
    <n v="12.77"/>
  </r>
  <r>
    <d v="2024-04-28T00:00:00"/>
    <x v="11"/>
    <s v="Coimbatore"/>
    <x v="10"/>
    <x v="11"/>
    <x v="0"/>
    <n v="69"/>
    <x v="11"/>
    <n v="48"/>
    <x v="1254"/>
    <n v="240700800"/>
    <x v="1"/>
    <x v="2"/>
    <x v="1"/>
    <x v="1"/>
    <x v="3"/>
    <n v="4"/>
    <x v="15"/>
    <n v="5014600"/>
    <n v="24.07"/>
  </r>
  <r>
    <d v="2024-04-28T00:00:00"/>
    <x v="5"/>
    <s v="Bengaluru"/>
    <x v="14"/>
    <x v="16"/>
    <x v="0"/>
    <n v="3"/>
    <x v="15"/>
    <n v="169"/>
    <x v="1255"/>
    <n v="30301700"/>
    <x v="0"/>
    <x v="0"/>
    <x v="1"/>
    <x v="1"/>
    <x v="3"/>
    <n v="4"/>
    <x v="15"/>
    <n v="179300"/>
    <n v="3.03"/>
  </r>
  <r>
    <d v="2024-04-28T00:00:00"/>
    <x v="0"/>
    <s v="Warangal"/>
    <x v="8"/>
    <x v="20"/>
    <x v="0"/>
    <n v="84"/>
    <x v="18"/>
    <n v="54"/>
    <x v="1256"/>
    <n v="412279200"/>
    <x v="1"/>
    <x v="1"/>
    <x v="1"/>
    <x v="1"/>
    <x v="3"/>
    <n v="4"/>
    <x v="15"/>
    <n v="7634800"/>
    <n v="41.23"/>
  </r>
  <r>
    <d v="2024-04-29T00:00:00"/>
    <x v="2"/>
    <s v="Kanpur"/>
    <x v="1"/>
    <x v="1"/>
    <x v="0"/>
    <n v="4"/>
    <x v="1"/>
    <n v="170"/>
    <x v="418"/>
    <n v="24140000"/>
    <x v="1"/>
    <x v="1"/>
    <x v="1"/>
    <x v="1"/>
    <x v="3"/>
    <n v="4"/>
    <x v="15"/>
    <n v="142000"/>
    <n v="2.41"/>
  </r>
  <r>
    <d v="2024-04-29T00:00:00"/>
    <x v="3"/>
    <s v="Pune"/>
    <x v="12"/>
    <x v="18"/>
    <x v="2"/>
    <n v="60"/>
    <x v="16"/>
    <n v="23"/>
    <x v="1257"/>
    <n v="72870900"/>
    <x v="1"/>
    <x v="0"/>
    <x v="1"/>
    <x v="1"/>
    <x v="3"/>
    <n v="4"/>
    <x v="15"/>
    <n v="3168300"/>
    <n v="7.29"/>
  </r>
  <r>
    <d v="2024-04-29T00:00:00"/>
    <x v="11"/>
    <s v="Coimbatore"/>
    <x v="12"/>
    <x v="14"/>
    <x v="2"/>
    <n v="82"/>
    <x v="13"/>
    <n v="74"/>
    <x v="1258"/>
    <n v="353882800"/>
    <x v="1"/>
    <x v="0"/>
    <x v="1"/>
    <x v="1"/>
    <x v="3"/>
    <n v="4"/>
    <x v="15"/>
    <n v="4782200"/>
    <n v="35.39"/>
  </r>
  <r>
    <d v="2024-04-29T00:00:00"/>
    <x v="3"/>
    <s v="Mumbai"/>
    <x v="11"/>
    <x v="23"/>
    <x v="0"/>
    <n v="59"/>
    <x v="20"/>
    <n v="165"/>
    <x v="1259"/>
    <n v="480447000"/>
    <x v="2"/>
    <x v="0"/>
    <x v="1"/>
    <x v="1"/>
    <x v="3"/>
    <n v="4"/>
    <x v="15"/>
    <n v="2911800"/>
    <n v="48.04"/>
  </r>
  <r>
    <d v="2024-04-30T00:00:00"/>
    <x v="1"/>
    <s v="Dwarka"/>
    <x v="2"/>
    <x v="2"/>
    <x v="1"/>
    <n v="66"/>
    <x v="2"/>
    <n v="69"/>
    <x v="1260"/>
    <n v="513677400"/>
    <x v="1"/>
    <x v="0"/>
    <x v="1"/>
    <x v="1"/>
    <x v="3"/>
    <n v="4"/>
    <x v="15"/>
    <n v="7444600"/>
    <n v="51.37"/>
  </r>
  <r>
    <d v="2024-05-01T00:00:00"/>
    <x v="10"/>
    <s v="Kochi"/>
    <x v="4"/>
    <x v="4"/>
    <x v="0"/>
    <n v="77"/>
    <x v="4"/>
    <n v="49"/>
    <x v="1261"/>
    <n v="250292000"/>
    <x v="1"/>
    <x v="1"/>
    <x v="1"/>
    <x v="1"/>
    <x v="4"/>
    <n v="5"/>
    <x v="16"/>
    <n v="5108000"/>
    <n v="25.03"/>
  </r>
  <r>
    <d v="2024-05-01T00:00:00"/>
    <x v="1"/>
    <s v="Saket"/>
    <x v="1"/>
    <x v="1"/>
    <x v="0"/>
    <n v="4"/>
    <x v="1"/>
    <n v="103"/>
    <x v="1262"/>
    <n v="14646600"/>
    <x v="1"/>
    <x v="2"/>
    <x v="1"/>
    <x v="1"/>
    <x v="4"/>
    <n v="5"/>
    <x v="16"/>
    <n v="142200"/>
    <n v="1.46"/>
  </r>
  <r>
    <d v="2024-05-02T00:00:00"/>
    <x v="10"/>
    <s v="Kozhikode"/>
    <x v="14"/>
    <x v="16"/>
    <x v="0"/>
    <n v="3"/>
    <x v="15"/>
    <n v="58"/>
    <x v="543"/>
    <n v="9106000"/>
    <x v="0"/>
    <x v="0"/>
    <x v="1"/>
    <x v="1"/>
    <x v="4"/>
    <n v="5"/>
    <x v="16"/>
    <n v="157000"/>
    <n v="0.91"/>
  </r>
  <r>
    <d v="2024-05-02T00:00:00"/>
    <x v="3"/>
    <s v="Nashik"/>
    <x v="7"/>
    <x v="7"/>
    <x v="0"/>
    <n v="3"/>
    <x v="7"/>
    <n v="109"/>
    <x v="1263"/>
    <n v="15946700"/>
    <x v="1"/>
    <x v="0"/>
    <x v="1"/>
    <x v="1"/>
    <x v="4"/>
    <n v="5"/>
    <x v="16"/>
    <n v="146300"/>
    <n v="1.59"/>
  </r>
  <r>
    <d v="2024-05-02T00:00:00"/>
    <x v="10"/>
    <s v="Kozhikode"/>
    <x v="5"/>
    <x v="5"/>
    <x v="0"/>
    <n v="30"/>
    <x v="5"/>
    <n v="54"/>
    <x v="1264"/>
    <n v="89321400"/>
    <x v="0"/>
    <x v="0"/>
    <x v="1"/>
    <x v="1"/>
    <x v="4"/>
    <n v="5"/>
    <x v="16"/>
    <n v="1654100"/>
    <n v="8.93"/>
  </r>
  <r>
    <d v="2024-05-02T00:00:00"/>
    <x v="12"/>
    <s v="Gurugram"/>
    <x v="8"/>
    <x v="8"/>
    <x v="0"/>
    <n v="66"/>
    <x v="8"/>
    <n v="52"/>
    <x v="1265"/>
    <n v="340579200"/>
    <x v="0"/>
    <x v="0"/>
    <x v="1"/>
    <x v="1"/>
    <x v="4"/>
    <n v="5"/>
    <x v="16"/>
    <n v="6549600"/>
    <n v="34.06"/>
  </r>
  <r>
    <d v="2024-05-02T00:00:00"/>
    <x v="2"/>
    <s v="Kanpur"/>
    <x v="7"/>
    <x v="7"/>
    <x v="0"/>
    <n v="3"/>
    <x v="7"/>
    <n v="37"/>
    <x v="1164"/>
    <n v="5883000"/>
    <x v="1"/>
    <x v="2"/>
    <x v="1"/>
    <x v="1"/>
    <x v="4"/>
    <n v="5"/>
    <x v="16"/>
    <n v="159000"/>
    <n v="0.59"/>
  </r>
  <r>
    <d v="2024-05-02T00:00:00"/>
    <x v="0"/>
    <s v="Hyderabad"/>
    <x v="8"/>
    <x v="8"/>
    <x v="0"/>
    <n v="66"/>
    <x v="8"/>
    <n v="28"/>
    <x v="1266"/>
    <n v="149447200"/>
    <x v="1"/>
    <x v="2"/>
    <x v="1"/>
    <x v="1"/>
    <x v="4"/>
    <n v="5"/>
    <x v="16"/>
    <n v="5337400"/>
    <n v="14.94"/>
  </r>
  <r>
    <d v="2024-05-03T00:00:00"/>
    <x v="8"/>
    <s v="Siliguri"/>
    <x v="0"/>
    <x v="0"/>
    <x v="0"/>
    <n v="82"/>
    <x v="0"/>
    <n v="34"/>
    <x v="1267"/>
    <n v="224559800"/>
    <x v="1"/>
    <x v="0"/>
    <x v="1"/>
    <x v="1"/>
    <x v="4"/>
    <n v="5"/>
    <x v="16"/>
    <n v="6604700"/>
    <n v="22.46"/>
  </r>
  <r>
    <d v="2024-05-04T00:00:00"/>
    <x v="14"/>
    <s v="Udaipur"/>
    <x v="3"/>
    <x v="3"/>
    <x v="0"/>
    <n v="3"/>
    <x v="3"/>
    <n v="133"/>
    <x v="1268"/>
    <n v="13552700"/>
    <x v="1"/>
    <x v="3"/>
    <x v="1"/>
    <x v="1"/>
    <x v="4"/>
    <n v="5"/>
    <x v="16"/>
    <n v="101900"/>
    <n v="1.36"/>
  </r>
  <r>
    <d v="2024-05-04T00:00:00"/>
    <x v="11"/>
    <s v="Madurai"/>
    <x v="9"/>
    <x v="10"/>
    <x v="0"/>
    <n v="25"/>
    <x v="10"/>
    <n v="12"/>
    <x v="1269"/>
    <n v="15586800"/>
    <x v="0"/>
    <x v="0"/>
    <x v="1"/>
    <x v="1"/>
    <x v="4"/>
    <n v="5"/>
    <x v="16"/>
    <n v="1298900"/>
    <n v="1.56"/>
  </r>
  <r>
    <d v="2024-05-05T00:00:00"/>
    <x v="14"/>
    <s v="Jaipur"/>
    <x v="15"/>
    <x v="17"/>
    <x v="0"/>
    <n v="5"/>
    <x v="15"/>
    <n v="107"/>
    <x v="1270"/>
    <n v="18307700"/>
    <x v="1"/>
    <x v="3"/>
    <x v="1"/>
    <x v="1"/>
    <x v="4"/>
    <n v="5"/>
    <x v="16"/>
    <n v="171100"/>
    <n v="1.83"/>
  </r>
  <r>
    <d v="2024-05-05T00:00:00"/>
    <x v="12"/>
    <s v="Panipat"/>
    <x v="1"/>
    <x v="1"/>
    <x v="0"/>
    <n v="4"/>
    <x v="1"/>
    <n v="19"/>
    <x v="1271"/>
    <n v="2329400"/>
    <x v="1"/>
    <x v="0"/>
    <x v="1"/>
    <x v="1"/>
    <x v="4"/>
    <n v="5"/>
    <x v="16"/>
    <n v="122600"/>
    <n v="0.23"/>
  </r>
  <r>
    <d v="2024-05-05T00:00:00"/>
    <x v="6"/>
    <s v="Rajkot"/>
    <x v="6"/>
    <x v="6"/>
    <x v="0"/>
    <n v="72"/>
    <x v="6"/>
    <n v="38"/>
    <x v="1272"/>
    <n v="210425000"/>
    <x v="1"/>
    <x v="0"/>
    <x v="1"/>
    <x v="1"/>
    <x v="4"/>
    <n v="5"/>
    <x v="16"/>
    <n v="5537500"/>
    <n v="21.04"/>
  </r>
  <r>
    <d v="2024-05-05T00:00:00"/>
    <x v="0"/>
    <s v="Nizamabad"/>
    <x v="0"/>
    <x v="0"/>
    <x v="2"/>
    <n v="82"/>
    <x v="0"/>
    <n v="56"/>
    <x v="1273"/>
    <n v="420739200"/>
    <x v="1"/>
    <x v="0"/>
    <x v="1"/>
    <x v="1"/>
    <x v="4"/>
    <n v="5"/>
    <x v="16"/>
    <n v="7513200"/>
    <n v="42.07"/>
  </r>
  <r>
    <d v="2024-05-05T00:00:00"/>
    <x v="1"/>
    <s v="Saket"/>
    <x v="1"/>
    <x v="1"/>
    <x v="0"/>
    <n v="4"/>
    <x v="1"/>
    <n v="134"/>
    <x v="241"/>
    <n v="17138600"/>
    <x v="1"/>
    <x v="0"/>
    <x v="1"/>
    <x v="1"/>
    <x v="4"/>
    <n v="5"/>
    <x v="16"/>
    <n v="127900"/>
    <n v="1.71"/>
  </r>
  <r>
    <d v="2024-05-06T00:00:00"/>
    <x v="1"/>
    <s v="Saket"/>
    <x v="5"/>
    <x v="5"/>
    <x v="0"/>
    <n v="30"/>
    <x v="5"/>
    <n v="60"/>
    <x v="1274"/>
    <n v="94632000"/>
    <x v="1"/>
    <x v="2"/>
    <x v="1"/>
    <x v="1"/>
    <x v="4"/>
    <n v="5"/>
    <x v="16"/>
    <n v="1577200"/>
    <n v="9.4600000000000009"/>
  </r>
  <r>
    <d v="2024-05-06T00:00:00"/>
    <x v="11"/>
    <s v="Chennai"/>
    <x v="14"/>
    <x v="16"/>
    <x v="0"/>
    <n v="3"/>
    <x v="15"/>
    <n v="73"/>
    <x v="1275"/>
    <n v="11541300"/>
    <x v="2"/>
    <x v="0"/>
    <x v="1"/>
    <x v="1"/>
    <x v="4"/>
    <n v="5"/>
    <x v="16"/>
    <n v="158100"/>
    <n v="1.1499999999999999"/>
  </r>
  <r>
    <d v="2024-05-06T00:00:00"/>
    <x v="13"/>
    <s v="Bhopal"/>
    <x v="8"/>
    <x v="20"/>
    <x v="1"/>
    <n v="84"/>
    <x v="18"/>
    <n v="9"/>
    <x v="1276"/>
    <n v="64490400"/>
    <x v="1"/>
    <x v="2"/>
    <x v="1"/>
    <x v="1"/>
    <x v="4"/>
    <n v="5"/>
    <x v="16"/>
    <n v="7165600"/>
    <n v="6.45"/>
  </r>
  <r>
    <d v="2024-05-06T00:00:00"/>
    <x v="11"/>
    <s v="Chennai"/>
    <x v="4"/>
    <x v="4"/>
    <x v="0"/>
    <n v="77"/>
    <x v="4"/>
    <n v="58"/>
    <x v="1277"/>
    <n v="313194200"/>
    <x v="1"/>
    <x v="1"/>
    <x v="1"/>
    <x v="1"/>
    <x v="4"/>
    <n v="5"/>
    <x v="16"/>
    <n v="5399900"/>
    <n v="31.32"/>
  </r>
  <r>
    <d v="2024-05-07T00:00:00"/>
    <x v="6"/>
    <s v="Vadodara"/>
    <x v="0"/>
    <x v="0"/>
    <x v="0"/>
    <n v="82"/>
    <x v="0"/>
    <n v="36"/>
    <x v="1278"/>
    <n v="244278000"/>
    <x v="1"/>
    <x v="0"/>
    <x v="1"/>
    <x v="1"/>
    <x v="4"/>
    <n v="5"/>
    <x v="16"/>
    <n v="6785500"/>
    <n v="24.43"/>
  </r>
  <r>
    <d v="2024-05-08T00:00:00"/>
    <x v="5"/>
    <s v="Mysuru"/>
    <x v="8"/>
    <x v="20"/>
    <x v="2"/>
    <n v="84"/>
    <x v="18"/>
    <n v="24"/>
    <x v="1279"/>
    <n v="199804800"/>
    <x v="1"/>
    <x v="2"/>
    <x v="1"/>
    <x v="1"/>
    <x v="4"/>
    <n v="5"/>
    <x v="16"/>
    <n v="8325200"/>
    <n v="19.98"/>
  </r>
  <r>
    <d v="2024-05-08T00:00:00"/>
    <x v="4"/>
    <s v="Jalandhar"/>
    <x v="6"/>
    <x v="13"/>
    <x v="0"/>
    <n v="48"/>
    <x v="12"/>
    <n v="127"/>
    <x v="1280"/>
    <n v="302285400"/>
    <x v="1"/>
    <x v="0"/>
    <x v="1"/>
    <x v="1"/>
    <x v="4"/>
    <n v="5"/>
    <x v="16"/>
    <n v="2380200"/>
    <n v="30.23"/>
  </r>
  <r>
    <d v="2024-05-08T00:00:00"/>
    <x v="1"/>
    <s v="Rohini"/>
    <x v="11"/>
    <x v="23"/>
    <x v="0"/>
    <n v="59"/>
    <x v="20"/>
    <n v="14"/>
    <x v="1281"/>
    <n v="41749400"/>
    <x v="1"/>
    <x v="0"/>
    <x v="1"/>
    <x v="1"/>
    <x v="4"/>
    <n v="5"/>
    <x v="16"/>
    <n v="2982100"/>
    <n v="4.17"/>
  </r>
  <r>
    <d v="2024-05-09T00:00:00"/>
    <x v="6"/>
    <s v="Vadodara"/>
    <x v="6"/>
    <x v="6"/>
    <x v="0"/>
    <n v="72"/>
    <x v="6"/>
    <n v="11"/>
    <x v="1282"/>
    <n v="63303900"/>
    <x v="1"/>
    <x v="3"/>
    <x v="1"/>
    <x v="1"/>
    <x v="4"/>
    <n v="5"/>
    <x v="16"/>
    <n v="5754900"/>
    <n v="6.33"/>
  </r>
  <r>
    <d v="2024-05-09T00:00:00"/>
    <x v="11"/>
    <s v="Coimbatore"/>
    <x v="3"/>
    <x v="3"/>
    <x v="0"/>
    <n v="3"/>
    <x v="3"/>
    <n v="113"/>
    <x v="1283"/>
    <n v="12045800"/>
    <x v="0"/>
    <x v="2"/>
    <x v="1"/>
    <x v="1"/>
    <x v="4"/>
    <n v="5"/>
    <x v="16"/>
    <n v="106600"/>
    <n v="1.2"/>
  </r>
  <r>
    <d v="2024-05-09T00:00:00"/>
    <x v="8"/>
    <s v="Asansol"/>
    <x v="12"/>
    <x v="14"/>
    <x v="3"/>
    <n v="82"/>
    <x v="13"/>
    <n v="13"/>
    <x v="1284"/>
    <n v="74315800"/>
    <x v="0"/>
    <x v="0"/>
    <x v="1"/>
    <x v="1"/>
    <x v="4"/>
    <n v="5"/>
    <x v="16"/>
    <n v="5716600"/>
    <n v="7.43"/>
  </r>
  <r>
    <d v="2024-05-09T00:00:00"/>
    <x v="5"/>
    <s v="Bengaluru"/>
    <x v="14"/>
    <x v="16"/>
    <x v="0"/>
    <n v="3"/>
    <x v="15"/>
    <n v="93"/>
    <x v="1285"/>
    <n v="15186900"/>
    <x v="1"/>
    <x v="2"/>
    <x v="1"/>
    <x v="1"/>
    <x v="4"/>
    <n v="5"/>
    <x v="16"/>
    <n v="163300"/>
    <n v="1.52"/>
  </r>
  <r>
    <d v="2024-05-10T00:00:00"/>
    <x v="5"/>
    <s v="Mangaluru"/>
    <x v="15"/>
    <x v="17"/>
    <x v="0"/>
    <n v="5"/>
    <x v="15"/>
    <n v="52"/>
    <x v="1286"/>
    <n v="7815600"/>
    <x v="1"/>
    <x v="0"/>
    <x v="1"/>
    <x v="1"/>
    <x v="4"/>
    <n v="5"/>
    <x v="16"/>
    <n v="150300"/>
    <n v="0.78"/>
  </r>
  <r>
    <d v="2024-05-11T00:00:00"/>
    <x v="13"/>
    <s v="Indore"/>
    <x v="13"/>
    <x v="15"/>
    <x v="1"/>
    <n v="40"/>
    <x v="14"/>
    <n v="144"/>
    <x v="1287"/>
    <n v="381384000"/>
    <x v="1"/>
    <x v="2"/>
    <x v="1"/>
    <x v="1"/>
    <x v="4"/>
    <n v="5"/>
    <x v="16"/>
    <n v="2648500"/>
    <n v="38.14"/>
  </r>
  <r>
    <d v="2024-05-11T00:00:00"/>
    <x v="14"/>
    <s v="Jaipur"/>
    <x v="12"/>
    <x v="18"/>
    <x v="1"/>
    <n v="60"/>
    <x v="16"/>
    <n v="61"/>
    <x v="1288"/>
    <n v="216037600"/>
    <x v="1"/>
    <x v="1"/>
    <x v="1"/>
    <x v="1"/>
    <x v="4"/>
    <n v="5"/>
    <x v="16"/>
    <n v="3541600"/>
    <n v="21.6"/>
  </r>
  <r>
    <d v="2024-05-11T00:00:00"/>
    <x v="5"/>
    <s v="Hubballi"/>
    <x v="13"/>
    <x v="22"/>
    <x v="0"/>
    <n v="35"/>
    <x v="10"/>
    <n v="107"/>
    <x v="1289"/>
    <n v="233613100"/>
    <x v="1"/>
    <x v="0"/>
    <x v="1"/>
    <x v="1"/>
    <x v="4"/>
    <n v="5"/>
    <x v="16"/>
    <n v="2183300"/>
    <n v="23.36"/>
  </r>
  <r>
    <d v="2024-05-12T00:00:00"/>
    <x v="7"/>
    <s v="Tirupati"/>
    <x v="7"/>
    <x v="7"/>
    <x v="0"/>
    <n v="3"/>
    <x v="7"/>
    <n v="165"/>
    <x v="1290"/>
    <n v="24156000"/>
    <x v="0"/>
    <x v="0"/>
    <x v="1"/>
    <x v="1"/>
    <x v="4"/>
    <n v="5"/>
    <x v="16"/>
    <n v="146400"/>
    <n v="2.42"/>
  </r>
  <r>
    <d v="2024-05-12T00:00:00"/>
    <x v="1"/>
    <s v="Dwarka"/>
    <x v="8"/>
    <x v="8"/>
    <x v="3"/>
    <n v="66"/>
    <x v="8"/>
    <n v="69"/>
    <x v="1291"/>
    <n v="388670100"/>
    <x v="2"/>
    <x v="2"/>
    <x v="1"/>
    <x v="1"/>
    <x v="4"/>
    <n v="5"/>
    <x v="16"/>
    <n v="5632900"/>
    <n v="38.869999999999997"/>
  </r>
  <r>
    <d v="2024-05-12T00:00:00"/>
    <x v="6"/>
    <s v="Rajkot"/>
    <x v="4"/>
    <x v="4"/>
    <x v="0"/>
    <n v="77"/>
    <x v="4"/>
    <n v="54"/>
    <x v="1292"/>
    <n v="242956800"/>
    <x v="1"/>
    <x v="2"/>
    <x v="1"/>
    <x v="1"/>
    <x v="4"/>
    <n v="5"/>
    <x v="16"/>
    <n v="4499200"/>
    <n v="24.3"/>
  </r>
  <r>
    <d v="2024-05-13T00:00:00"/>
    <x v="2"/>
    <s v="Noida"/>
    <x v="7"/>
    <x v="7"/>
    <x v="0"/>
    <n v="3"/>
    <x v="7"/>
    <n v="174"/>
    <x v="1293"/>
    <n v="27979200"/>
    <x v="1"/>
    <x v="1"/>
    <x v="1"/>
    <x v="1"/>
    <x v="4"/>
    <n v="5"/>
    <x v="16"/>
    <n v="160800"/>
    <n v="2.8"/>
  </r>
  <r>
    <d v="2024-05-13T00:00:00"/>
    <x v="1"/>
    <s v="Dwarka"/>
    <x v="14"/>
    <x v="16"/>
    <x v="0"/>
    <n v="3"/>
    <x v="15"/>
    <n v="14"/>
    <x v="1294"/>
    <n v="2108400"/>
    <x v="1"/>
    <x v="2"/>
    <x v="1"/>
    <x v="1"/>
    <x v="4"/>
    <n v="5"/>
    <x v="16"/>
    <n v="150600"/>
    <n v="0.21"/>
  </r>
  <r>
    <d v="2024-05-13T00:00:00"/>
    <x v="3"/>
    <s v="Pune"/>
    <x v="9"/>
    <x v="10"/>
    <x v="2"/>
    <n v="25"/>
    <x v="10"/>
    <n v="80"/>
    <x v="1295"/>
    <n v="80904000"/>
    <x v="1"/>
    <x v="3"/>
    <x v="1"/>
    <x v="1"/>
    <x v="4"/>
    <n v="5"/>
    <x v="16"/>
    <n v="1011300"/>
    <n v="8.09"/>
  </r>
  <r>
    <d v="2024-05-14T00:00:00"/>
    <x v="7"/>
    <s v="Visakhapatnam"/>
    <x v="15"/>
    <x v="17"/>
    <x v="0"/>
    <n v="5"/>
    <x v="15"/>
    <n v="167"/>
    <x v="1296"/>
    <n v="24549000"/>
    <x v="1"/>
    <x v="1"/>
    <x v="1"/>
    <x v="1"/>
    <x v="4"/>
    <n v="5"/>
    <x v="16"/>
    <n v="147000"/>
    <n v="2.4500000000000002"/>
  </r>
  <r>
    <d v="2024-05-14T00:00:00"/>
    <x v="8"/>
    <s v="Asansol"/>
    <x v="0"/>
    <x v="0"/>
    <x v="2"/>
    <n v="82"/>
    <x v="0"/>
    <n v="47"/>
    <x v="1297"/>
    <n v="285548500"/>
    <x v="1"/>
    <x v="2"/>
    <x v="1"/>
    <x v="1"/>
    <x v="4"/>
    <n v="5"/>
    <x v="16"/>
    <n v="6075500"/>
    <n v="28.55"/>
  </r>
  <r>
    <d v="2024-05-15T00:00:00"/>
    <x v="5"/>
    <s v="Hubballi"/>
    <x v="2"/>
    <x v="2"/>
    <x v="0"/>
    <n v="66"/>
    <x v="2"/>
    <n v="66"/>
    <x v="1298"/>
    <n v="530626800"/>
    <x v="1"/>
    <x v="0"/>
    <x v="1"/>
    <x v="1"/>
    <x v="4"/>
    <n v="5"/>
    <x v="16"/>
    <n v="8039800"/>
    <n v="53.06"/>
  </r>
  <r>
    <d v="2024-05-15T00:00:00"/>
    <x v="5"/>
    <s v="Mangaluru"/>
    <x v="4"/>
    <x v="4"/>
    <x v="0"/>
    <n v="77"/>
    <x v="4"/>
    <n v="26"/>
    <x v="1299"/>
    <n v="112512400"/>
    <x v="1"/>
    <x v="2"/>
    <x v="1"/>
    <x v="1"/>
    <x v="4"/>
    <n v="5"/>
    <x v="16"/>
    <n v="4327400"/>
    <n v="11.25"/>
  </r>
  <r>
    <d v="2024-05-15T00:00:00"/>
    <x v="3"/>
    <s v="Nashik"/>
    <x v="3"/>
    <x v="3"/>
    <x v="0"/>
    <n v="3"/>
    <x v="3"/>
    <n v="136"/>
    <x v="1300"/>
    <n v="17462400"/>
    <x v="1"/>
    <x v="2"/>
    <x v="1"/>
    <x v="1"/>
    <x v="4"/>
    <n v="5"/>
    <x v="16"/>
    <n v="128400"/>
    <n v="1.75"/>
  </r>
  <r>
    <d v="2024-05-16T00:00:00"/>
    <x v="3"/>
    <s v="Mumbai"/>
    <x v="14"/>
    <x v="16"/>
    <x v="0"/>
    <n v="3"/>
    <x v="15"/>
    <n v="171"/>
    <x v="1301"/>
    <n v="25496100"/>
    <x v="1"/>
    <x v="0"/>
    <x v="1"/>
    <x v="1"/>
    <x v="4"/>
    <n v="5"/>
    <x v="16"/>
    <n v="149100"/>
    <n v="2.5499999999999998"/>
  </r>
  <r>
    <d v="2024-05-16T00:00:00"/>
    <x v="3"/>
    <s v="Pune"/>
    <x v="14"/>
    <x v="16"/>
    <x v="0"/>
    <n v="3"/>
    <x v="15"/>
    <n v="31"/>
    <x v="1286"/>
    <n v="4659300"/>
    <x v="0"/>
    <x v="2"/>
    <x v="1"/>
    <x v="1"/>
    <x v="4"/>
    <n v="5"/>
    <x v="16"/>
    <n v="150300"/>
    <n v="0.47"/>
  </r>
  <r>
    <d v="2024-05-16T00:00:00"/>
    <x v="13"/>
    <s v="Bhopal"/>
    <x v="5"/>
    <x v="5"/>
    <x v="0"/>
    <n v="30"/>
    <x v="5"/>
    <n v="4"/>
    <x v="1302"/>
    <n v="5986000"/>
    <x v="1"/>
    <x v="2"/>
    <x v="1"/>
    <x v="1"/>
    <x v="4"/>
    <n v="5"/>
    <x v="16"/>
    <n v="1496500"/>
    <n v="0.6"/>
  </r>
  <r>
    <d v="2024-05-16T00:00:00"/>
    <x v="3"/>
    <s v="Nagpur"/>
    <x v="10"/>
    <x v="11"/>
    <x v="0"/>
    <n v="69"/>
    <x v="11"/>
    <n v="32"/>
    <x v="1303"/>
    <n v="156620800"/>
    <x v="0"/>
    <x v="0"/>
    <x v="1"/>
    <x v="1"/>
    <x v="4"/>
    <n v="5"/>
    <x v="16"/>
    <n v="4894400"/>
    <n v="15.66"/>
  </r>
  <r>
    <d v="2024-05-16T00:00:00"/>
    <x v="14"/>
    <s v="Udaipur"/>
    <x v="12"/>
    <x v="14"/>
    <x v="0"/>
    <n v="82"/>
    <x v="13"/>
    <n v="46"/>
    <x v="1304"/>
    <n v="226435000"/>
    <x v="1"/>
    <x v="0"/>
    <x v="1"/>
    <x v="1"/>
    <x v="4"/>
    <n v="5"/>
    <x v="16"/>
    <n v="4922500"/>
    <n v="22.64"/>
  </r>
  <r>
    <d v="2024-05-16T00:00:00"/>
    <x v="4"/>
    <s v="Ludhiana"/>
    <x v="15"/>
    <x v="17"/>
    <x v="0"/>
    <n v="5"/>
    <x v="15"/>
    <n v="108"/>
    <x v="31"/>
    <n v="19796400"/>
    <x v="1"/>
    <x v="0"/>
    <x v="1"/>
    <x v="1"/>
    <x v="4"/>
    <n v="5"/>
    <x v="16"/>
    <n v="183300"/>
    <n v="1.98"/>
  </r>
  <r>
    <d v="2024-05-17T00:00:00"/>
    <x v="2"/>
    <s v="Ghaziabad"/>
    <x v="0"/>
    <x v="0"/>
    <x v="1"/>
    <n v="82"/>
    <x v="0"/>
    <n v="53"/>
    <x v="1305"/>
    <n v="393366000"/>
    <x v="0"/>
    <x v="0"/>
    <x v="1"/>
    <x v="1"/>
    <x v="4"/>
    <n v="5"/>
    <x v="16"/>
    <n v="7422000"/>
    <n v="39.340000000000003"/>
  </r>
  <r>
    <d v="2024-05-17T00:00:00"/>
    <x v="3"/>
    <s v="Nagpur"/>
    <x v="9"/>
    <x v="9"/>
    <x v="0"/>
    <n v="50"/>
    <x v="9"/>
    <n v="105"/>
    <x v="1306"/>
    <n v="236019000"/>
    <x v="1"/>
    <x v="0"/>
    <x v="1"/>
    <x v="1"/>
    <x v="4"/>
    <n v="5"/>
    <x v="16"/>
    <n v="2247800"/>
    <n v="23.6"/>
  </r>
  <r>
    <d v="2024-05-17T00:00:00"/>
    <x v="11"/>
    <s v="Coimbatore"/>
    <x v="9"/>
    <x v="10"/>
    <x v="1"/>
    <n v="25"/>
    <x v="10"/>
    <n v="54"/>
    <x v="1307"/>
    <n v="61970400"/>
    <x v="0"/>
    <x v="0"/>
    <x v="1"/>
    <x v="1"/>
    <x v="4"/>
    <n v="5"/>
    <x v="16"/>
    <n v="1147600"/>
    <n v="6.2"/>
  </r>
  <r>
    <d v="2024-05-18T00:00:00"/>
    <x v="2"/>
    <s v="Lucknow"/>
    <x v="13"/>
    <x v="22"/>
    <x v="0"/>
    <n v="35"/>
    <x v="10"/>
    <n v="32"/>
    <x v="1308"/>
    <n v="58790400"/>
    <x v="1"/>
    <x v="0"/>
    <x v="1"/>
    <x v="1"/>
    <x v="4"/>
    <n v="5"/>
    <x v="16"/>
    <n v="1837200"/>
    <n v="5.88"/>
  </r>
  <r>
    <d v="2024-05-19T00:00:00"/>
    <x v="11"/>
    <s v="Salem"/>
    <x v="10"/>
    <x v="11"/>
    <x v="1"/>
    <n v="69"/>
    <x v="11"/>
    <n v="39"/>
    <x v="1309"/>
    <n v="233918100"/>
    <x v="1"/>
    <x v="0"/>
    <x v="1"/>
    <x v="1"/>
    <x v="4"/>
    <n v="5"/>
    <x v="16"/>
    <n v="5997900"/>
    <n v="23.39"/>
  </r>
  <r>
    <d v="2024-05-20T00:00:00"/>
    <x v="12"/>
    <s v="Gurugram"/>
    <x v="9"/>
    <x v="10"/>
    <x v="0"/>
    <n v="25"/>
    <x v="10"/>
    <n v="157"/>
    <x v="1310"/>
    <n v="188682600"/>
    <x v="0"/>
    <x v="0"/>
    <x v="1"/>
    <x v="1"/>
    <x v="4"/>
    <n v="5"/>
    <x v="16"/>
    <n v="1201800"/>
    <n v="18.87"/>
  </r>
  <r>
    <d v="2024-05-20T00:00:00"/>
    <x v="11"/>
    <s v="Madurai"/>
    <x v="7"/>
    <x v="7"/>
    <x v="0"/>
    <n v="3"/>
    <x v="7"/>
    <n v="123"/>
    <x v="821"/>
    <n v="19667700"/>
    <x v="1"/>
    <x v="2"/>
    <x v="1"/>
    <x v="1"/>
    <x v="4"/>
    <n v="5"/>
    <x v="16"/>
    <n v="159900"/>
    <n v="1.97"/>
  </r>
  <r>
    <d v="2024-05-20T00:00:00"/>
    <x v="13"/>
    <s v="Indore"/>
    <x v="7"/>
    <x v="7"/>
    <x v="0"/>
    <n v="3"/>
    <x v="7"/>
    <n v="40"/>
    <x v="605"/>
    <n v="7240000"/>
    <x v="1"/>
    <x v="1"/>
    <x v="1"/>
    <x v="1"/>
    <x v="4"/>
    <n v="5"/>
    <x v="16"/>
    <n v="181000"/>
    <n v="0.72"/>
  </r>
  <r>
    <d v="2024-05-21T00:00:00"/>
    <x v="4"/>
    <s v="Ludhiana"/>
    <x v="5"/>
    <x v="5"/>
    <x v="0"/>
    <n v="30"/>
    <x v="5"/>
    <n v="33"/>
    <x v="1311"/>
    <n v="55796400"/>
    <x v="1"/>
    <x v="2"/>
    <x v="1"/>
    <x v="1"/>
    <x v="4"/>
    <n v="5"/>
    <x v="16"/>
    <n v="1690800"/>
    <n v="5.58"/>
  </r>
  <r>
    <d v="2024-05-21T00:00:00"/>
    <x v="6"/>
    <s v="Vadodara"/>
    <x v="10"/>
    <x v="11"/>
    <x v="1"/>
    <n v="69"/>
    <x v="11"/>
    <n v="16"/>
    <x v="736"/>
    <n v="88937600"/>
    <x v="0"/>
    <x v="0"/>
    <x v="1"/>
    <x v="1"/>
    <x v="4"/>
    <n v="5"/>
    <x v="16"/>
    <n v="5558600"/>
    <n v="8.89"/>
  </r>
  <r>
    <d v="2024-05-22T00:00:00"/>
    <x v="12"/>
    <s v="Gurugram"/>
    <x v="6"/>
    <x v="6"/>
    <x v="0"/>
    <n v="72"/>
    <x v="6"/>
    <n v="70"/>
    <x v="1312"/>
    <n v="318465000"/>
    <x v="1"/>
    <x v="0"/>
    <x v="1"/>
    <x v="1"/>
    <x v="4"/>
    <n v="5"/>
    <x v="16"/>
    <n v="4549500"/>
    <n v="31.85"/>
  </r>
  <r>
    <d v="2024-05-23T00:00:00"/>
    <x v="9"/>
    <s v="Patna"/>
    <x v="15"/>
    <x v="17"/>
    <x v="0"/>
    <n v="5"/>
    <x v="15"/>
    <n v="161"/>
    <x v="1313"/>
    <n v="24955000"/>
    <x v="1"/>
    <x v="0"/>
    <x v="1"/>
    <x v="1"/>
    <x v="4"/>
    <n v="5"/>
    <x v="16"/>
    <n v="155000"/>
    <n v="2.5"/>
  </r>
  <r>
    <d v="2024-05-23T00:00:00"/>
    <x v="3"/>
    <s v="Pune"/>
    <x v="5"/>
    <x v="5"/>
    <x v="0"/>
    <n v="30"/>
    <x v="5"/>
    <n v="78"/>
    <x v="1314"/>
    <n v="112070400"/>
    <x v="1"/>
    <x v="1"/>
    <x v="1"/>
    <x v="1"/>
    <x v="4"/>
    <n v="5"/>
    <x v="16"/>
    <n v="1436800"/>
    <n v="11.21"/>
  </r>
  <r>
    <d v="2024-05-25T00:00:00"/>
    <x v="12"/>
    <s v="Hisar"/>
    <x v="15"/>
    <x v="17"/>
    <x v="0"/>
    <n v="5"/>
    <x v="15"/>
    <n v="18"/>
    <x v="1315"/>
    <n v="3398400"/>
    <x v="0"/>
    <x v="0"/>
    <x v="1"/>
    <x v="1"/>
    <x v="4"/>
    <n v="5"/>
    <x v="16"/>
    <n v="188800"/>
    <n v="0.34"/>
  </r>
  <r>
    <d v="2024-05-25T00:00:00"/>
    <x v="0"/>
    <s v="Hyderabad"/>
    <x v="11"/>
    <x v="23"/>
    <x v="0"/>
    <n v="59"/>
    <x v="20"/>
    <n v="74"/>
    <x v="1316"/>
    <n v="214481600"/>
    <x v="1"/>
    <x v="0"/>
    <x v="1"/>
    <x v="1"/>
    <x v="4"/>
    <n v="5"/>
    <x v="16"/>
    <n v="2898400"/>
    <n v="21.45"/>
  </r>
  <r>
    <d v="2024-05-25T00:00:00"/>
    <x v="11"/>
    <s v="Coimbatore"/>
    <x v="4"/>
    <x v="4"/>
    <x v="0"/>
    <n v="77"/>
    <x v="4"/>
    <n v="67"/>
    <x v="1317"/>
    <n v="325888000"/>
    <x v="1"/>
    <x v="2"/>
    <x v="1"/>
    <x v="1"/>
    <x v="4"/>
    <n v="5"/>
    <x v="16"/>
    <n v="4864000"/>
    <n v="32.590000000000003"/>
  </r>
  <r>
    <d v="2024-05-25T00:00:00"/>
    <x v="13"/>
    <s v="Gwalior"/>
    <x v="3"/>
    <x v="3"/>
    <x v="0"/>
    <n v="3"/>
    <x v="3"/>
    <n v="79"/>
    <x v="3"/>
    <n v="10277900"/>
    <x v="1"/>
    <x v="0"/>
    <x v="1"/>
    <x v="1"/>
    <x v="4"/>
    <n v="5"/>
    <x v="16"/>
    <n v="130100"/>
    <n v="1.03"/>
  </r>
  <r>
    <d v="2024-05-25T00:00:00"/>
    <x v="12"/>
    <s v="Panipat"/>
    <x v="10"/>
    <x v="11"/>
    <x v="2"/>
    <n v="69"/>
    <x v="11"/>
    <n v="60"/>
    <x v="1318"/>
    <n v="379632000"/>
    <x v="1"/>
    <x v="0"/>
    <x v="1"/>
    <x v="1"/>
    <x v="4"/>
    <n v="5"/>
    <x v="16"/>
    <n v="6327200"/>
    <n v="37.96"/>
  </r>
  <r>
    <d v="2024-05-26T00:00:00"/>
    <x v="14"/>
    <s v="Jaipur"/>
    <x v="4"/>
    <x v="4"/>
    <x v="0"/>
    <n v="77"/>
    <x v="4"/>
    <n v="58"/>
    <x v="1319"/>
    <n v="268731400"/>
    <x v="1"/>
    <x v="2"/>
    <x v="1"/>
    <x v="1"/>
    <x v="4"/>
    <n v="5"/>
    <x v="16"/>
    <n v="4633300"/>
    <n v="26.87"/>
  </r>
  <r>
    <d v="2024-05-27T00:00:00"/>
    <x v="11"/>
    <s v="Coimbatore"/>
    <x v="15"/>
    <x v="17"/>
    <x v="0"/>
    <n v="5"/>
    <x v="15"/>
    <n v="43"/>
    <x v="1286"/>
    <n v="6462900"/>
    <x v="1"/>
    <x v="0"/>
    <x v="1"/>
    <x v="1"/>
    <x v="4"/>
    <n v="5"/>
    <x v="16"/>
    <n v="150300"/>
    <n v="0.65"/>
  </r>
  <r>
    <d v="2024-05-28T00:00:00"/>
    <x v="3"/>
    <s v="Nashik"/>
    <x v="11"/>
    <x v="12"/>
    <x v="0"/>
    <n v="40"/>
    <x v="12"/>
    <n v="153"/>
    <x v="1320"/>
    <n v="386814600"/>
    <x v="1"/>
    <x v="0"/>
    <x v="1"/>
    <x v="1"/>
    <x v="4"/>
    <n v="5"/>
    <x v="16"/>
    <n v="2528200"/>
    <n v="38.68"/>
  </r>
  <r>
    <d v="2024-05-28T00:00:00"/>
    <x v="12"/>
    <s v="Gurugram"/>
    <x v="7"/>
    <x v="7"/>
    <x v="0"/>
    <n v="3"/>
    <x v="7"/>
    <n v="129"/>
    <x v="543"/>
    <n v="20253000"/>
    <x v="1"/>
    <x v="0"/>
    <x v="1"/>
    <x v="1"/>
    <x v="4"/>
    <n v="5"/>
    <x v="16"/>
    <n v="157000"/>
    <n v="2.0299999999999998"/>
  </r>
  <r>
    <d v="2024-05-28T00:00:00"/>
    <x v="12"/>
    <s v="Panipat"/>
    <x v="8"/>
    <x v="8"/>
    <x v="2"/>
    <n v="66"/>
    <x v="8"/>
    <n v="22"/>
    <x v="1321"/>
    <n v="130647000"/>
    <x v="1"/>
    <x v="0"/>
    <x v="1"/>
    <x v="1"/>
    <x v="4"/>
    <n v="5"/>
    <x v="16"/>
    <n v="5938500"/>
    <n v="13.06"/>
  </r>
  <r>
    <d v="2024-05-29T00:00:00"/>
    <x v="9"/>
    <s v="Gaya"/>
    <x v="2"/>
    <x v="2"/>
    <x v="0"/>
    <n v="66"/>
    <x v="2"/>
    <n v="66"/>
    <x v="1322"/>
    <n v="492723000"/>
    <x v="0"/>
    <x v="0"/>
    <x v="1"/>
    <x v="1"/>
    <x v="4"/>
    <n v="5"/>
    <x v="16"/>
    <n v="7465500"/>
    <n v="49.27"/>
  </r>
  <r>
    <d v="2024-05-30T00:00:00"/>
    <x v="1"/>
    <s v="Dwarka"/>
    <x v="3"/>
    <x v="3"/>
    <x v="0"/>
    <n v="3"/>
    <x v="3"/>
    <n v="133"/>
    <x v="937"/>
    <n v="18260900"/>
    <x v="1"/>
    <x v="0"/>
    <x v="1"/>
    <x v="1"/>
    <x v="4"/>
    <n v="5"/>
    <x v="16"/>
    <n v="137300"/>
    <n v="1.83"/>
  </r>
  <r>
    <d v="2024-05-30T00:00:00"/>
    <x v="1"/>
    <s v="Dwarka"/>
    <x v="9"/>
    <x v="9"/>
    <x v="0"/>
    <n v="50"/>
    <x v="9"/>
    <n v="71"/>
    <x v="1323"/>
    <n v="151414600"/>
    <x v="1"/>
    <x v="2"/>
    <x v="1"/>
    <x v="1"/>
    <x v="4"/>
    <n v="5"/>
    <x v="16"/>
    <n v="2132600"/>
    <n v="15.14"/>
  </r>
  <r>
    <d v="2024-05-30T00:00:00"/>
    <x v="0"/>
    <s v="Hyderabad"/>
    <x v="0"/>
    <x v="0"/>
    <x v="0"/>
    <n v="82"/>
    <x v="0"/>
    <n v="34"/>
    <x v="1324"/>
    <n v="240883200"/>
    <x v="2"/>
    <x v="2"/>
    <x v="1"/>
    <x v="1"/>
    <x v="4"/>
    <n v="5"/>
    <x v="16"/>
    <n v="7084800"/>
    <n v="24.09"/>
  </r>
  <r>
    <d v="2024-05-30T00:00:00"/>
    <x v="14"/>
    <s v="Udaipur"/>
    <x v="2"/>
    <x v="2"/>
    <x v="0"/>
    <n v="66"/>
    <x v="2"/>
    <n v="46"/>
    <x v="1325"/>
    <n v="412247400"/>
    <x v="1"/>
    <x v="1"/>
    <x v="1"/>
    <x v="1"/>
    <x v="4"/>
    <n v="5"/>
    <x v="16"/>
    <n v="8961900"/>
    <n v="41.22"/>
  </r>
  <r>
    <d v="2024-05-31T00:00:00"/>
    <x v="14"/>
    <s v="Udaipur"/>
    <x v="7"/>
    <x v="7"/>
    <x v="0"/>
    <n v="3"/>
    <x v="7"/>
    <n v="129"/>
    <x v="478"/>
    <n v="21968700"/>
    <x v="0"/>
    <x v="0"/>
    <x v="1"/>
    <x v="1"/>
    <x v="4"/>
    <n v="5"/>
    <x v="16"/>
    <n v="170300"/>
    <n v="2.2000000000000002"/>
  </r>
  <r>
    <d v="2024-05-31T00:00:00"/>
    <x v="10"/>
    <s v="Thiruvananthapuram"/>
    <x v="4"/>
    <x v="4"/>
    <x v="0"/>
    <n v="77"/>
    <x v="4"/>
    <n v="40"/>
    <x v="1326"/>
    <n v="198984000"/>
    <x v="2"/>
    <x v="0"/>
    <x v="1"/>
    <x v="1"/>
    <x v="4"/>
    <n v="5"/>
    <x v="16"/>
    <n v="4974600"/>
    <n v="19.899999999999999"/>
  </r>
  <r>
    <d v="2024-06-01T00:00:00"/>
    <x v="14"/>
    <s v="Udaipur"/>
    <x v="0"/>
    <x v="0"/>
    <x v="0"/>
    <n v="82"/>
    <x v="0"/>
    <n v="47"/>
    <x v="1327"/>
    <n v="283386500"/>
    <x v="1"/>
    <x v="0"/>
    <x v="1"/>
    <x v="1"/>
    <x v="5"/>
    <n v="6"/>
    <x v="17"/>
    <n v="6029500"/>
    <n v="28.34"/>
  </r>
  <r>
    <d v="2024-06-01T00:00:00"/>
    <x v="1"/>
    <s v="New Delhi"/>
    <x v="7"/>
    <x v="7"/>
    <x v="0"/>
    <n v="3"/>
    <x v="7"/>
    <n v="57"/>
    <x v="354"/>
    <n v="9957900"/>
    <x v="2"/>
    <x v="1"/>
    <x v="1"/>
    <x v="1"/>
    <x v="5"/>
    <n v="6"/>
    <x v="17"/>
    <n v="174700"/>
    <n v="1"/>
  </r>
  <r>
    <d v="2024-06-01T00:00:00"/>
    <x v="13"/>
    <s v="Indore"/>
    <x v="0"/>
    <x v="0"/>
    <x v="1"/>
    <n v="82"/>
    <x v="0"/>
    <n v="58"/>
    <x v="1328"/>
    <n v="402612800"/>
    <x v="1"/>
    <x v="0"/>
    <x v="1"/>
    <x v="1"/>
    <x v="5"/>
    <n v="6"/>
    <x v="17"/>
    <n v="6941600"/>
    <n v="40.26"/>
  </r>
  <r>
    <d v="2024-06-02T00:00:00"/>
    <x v="5"/>
    <s v="Mysuru"/>
    <x v="9"/>
    <x v="10"/>
    <x v="0"/>
    <n v="25"/>
    <x v="10"/>
    <n v="97"/>
    <x v="1329"/>
    <n v="99609300"/>
    <x v="1"/>
    <x v="0"/>
    <x v="1"/>
    <x v="1"/>
    <x v="5"/>
    <n v="6"/>
    <x v="17"/>
    <n v="1026900"/>
    <n v="9.9600000000000009"/>
  </r>
  <r>
    <d v="2024-06-02T00:00:00"/>
    <x v="11"/>
    <s v="Madurai"/>
    <x v="14"/>
    <x v="16"/>
    <x v="0"/>
    <n v="3"/>
    <x v="15"/>
    <n v="164"/>
    <x v="553"/>
    <n v="28585200"/>
    <x v="0"/>
    <x v="0"/>
    <x v="1"/>
    <x v="1"/>
    <x v="5"/>
    <n v="6"/>
    <x v="17"/>
    <n v="174300"/>
    <n v="2.86"/>
  </r>
  <r>
    <d v="2024-06-02T00:00:00"/>
    <x v="14"/>
    <s v="Jaipur"/>
    <x v="2"/>
    <x v="2"/>
    <x v="0"/>
    <n v="66"/>
    <x v="2"/>
    <n v="77"/>
    <x v="1330"/>
    <n v="540632400"/>
    <x v="1"/>
    <x v="2"/>
    <x v="1"/>
    <x v="1"/>
    <x v="5"/>
    <n v="6"/>
    <x v="17"/>
    <n v="7021200"/>
    <n v="54.06"/>
  </r>
  <r>
    <d v="2024-06-03T00:00:00"/>
    <x v="0"/>
    <s v="Hyderabad"/>
    <x v="15"/>
    <x v="17"/>
    <x v="0"/>
    <n v="5"/>
    <x v="15"/>
    <n v="100"/>
    <x v="1331"/>
    <n v="16670000"/>
    <x v="1"/>
    <x v="2"/>
    <x v="1"/>
    <x v="1"/>
    <x v="5"/>
    <n v="6"/>
    <x v="17"/>
    <n v="166700"/>
    <n v="1.67"/>
  </r>
  <r>
    <d v="2024-06-03T00:00:00"/>
    <x v="1"/>
    <s v="Dwarka"/>
    <x v="14"/>
    <x v="16"/>
    <x v="0"/>
    <n v="3"/>
    <x v="15"/>
    <n v="84"/>
    <x v="769"/>
    <n v="13750800"/>
    <x v="0"/>
    <x v="1"/>
    <x v="1"/>
    <x v="1"/>
    <x v="5"/>
    <n v="6"/>
    <x v="17"/>
    <n v="163700"/>
    <n v="1.38"/>
  </r>
  <r>
    <d v="2024-06-04T00:00:00"/>
    <x v="11"/>
    <s v="Chennai"/>
    <x v="4"/>
    <x v="4"/>
    <x v="1"/>
    <n v="77"/>
    <x v="4"/>
    <n v="30"/>
    <x v="1332"/>
    <n v="159459000"/>
    <x v="0"/>
    <x v="0"/>
    <x v="1"/>
    <x v="1"/>
    <x v="5"/>
    <n v="6"/>
    <x v="17"/>
    <n v="5315300"/>
    <n v="15.95"/>
  </r>
  <r>
    <d v="2024-06-04T00:00:00"/>
    <x v="10"/>
    <s v="Kochi"/>
    <x v="9"/>
    <x v="9"/>
    <x v="0"/>
    <n v="50"/>
    <x v="9"/>
    <n v="72"/>
    <x v="1333"/>
    <n v="198583200"/>
    <x v="1"/>
    <x v="0"/>
    <x v="1"/>
    <x v="1"/>
    <x v="5"/>
    <n v="6"/>
    <x v="17"/>
    <n v="2758100"/>
    <n v="19.86"/>
  </r>
  <r>
    <d v="2024-06-05T00:00:00"/>
    <x v="2"/>
    <s v="Lucknow"/>
    <x v="2"/>
    <x v="2"/>
    <x v="0"/>
    <n v="66"/>
    <x v="2"/>
    <n v="75"/>
    <x v="1334"/>
    <n v="632737500"/>
    <x v="1"/>
    <x v="0"/>
    <x v="1"/>
    <x v="1"/>
    <x v="5"/>
    <n v="6"/>
    <x v="17"/>
    <n v="8436500"/>
    <n v="63.27"/>
  </r>
  <r>
    <d v="2024-06-05T00:00:00"/>
    <x v="11"/>
    <s v="Madurai"/>
    <x v="8"/>
    <x v="8"/>
    <x v="0"/>
    <n v="66"/>
    <x v="8"/>
    <n v="28"/>
    <x v="1335"/>
    <n v="168630000"/>
    <x v="1"/>
    <x v="0"/>
    <x v="1"/>
    <x v="1"/>
    <x v="5"/>
    <n v="6"/>
    <x v="17"/>
    <n v="6022500"/>
    <n v="16.86"/>
  </r>
  <r>
    <d v="2024-06-05T00:00:00"/>
    <x v="11"/>
    <s v="Salem"/>
    <x v="9"/>
    <x v="10"/>
    <x v="0"/>
    <n v="25"/>
    <x v="10"/>
    <n v="25"/>
    <x v="1336"/>
    <n v="27062500"/>
    <x v="2"/>
    <x v="2"/>
    <x v="1"/>
    <x v="1"/>
    <x v="5"/>
    <n v="6"/>
    <x v="17"/>
    <n v="1082500"/>
    <n v="2.71"/>
  </r>
  <r>
    <d v="2024-06-05T00:00:00"/>
    <x v="8"/>
    <s v="Kolkata"/>
    <x v="10"/>
    <x v="11"/>
    <x v="0"/>
    <n v="69"/>
    <x v="11"/>
    <n v="20"/>
    <x v="1337"/>
    <n v="128826000"/>
    <x v="2"/>
    <x v="2"/>
    <x v="1"/>
    <x v="1"/>
    <x v="5"/>
    <n v="6"/>
    <x v="17"/>
    <n v="6441300"/>
    <n v="12.88"/>
  </r>
  <r>
    <d v="2024-06-05T00:00:00"/>
    <x v="4"/>
    <s v="Ludhiana"/>
    <x v="6"/>
    <x v="6"/>
    <x v="1"/>
    <n v="72"/>
    <x v="6"/>
    <n v="147"/>
    <x v="1338"/>
    <n v="678757800"/>
    <x v="1"/>
    <x v="0"/>
    <x v="1"/>
    <x v="1"/>
    <x v="5"/>
    <n v="6"/>
    <x v="17"/>
    <n v="4617400"/>
    <n v="67.88"/>
  </r>
  <r>
    <d v="2024-06-05T00:00:00"/>
    <x v="12"/>
    <s v="Gurugram"/>
    <x v="2"/>
    <x v="2"/>
    <x v="1"/>
    <n v="66"/>
    <x v="2"/>
    <n v="55"/>
    <x v="1339"/>
    <n v="459277500"/>
    <x v="1"/>
    <x v="2"/>
    <x v="1"/>
    <x v="1"/>
    <x v="5"/>
    <n v="6"/>
    <x v="17"/>
    <n v="8350500"/>
    <n v="45.93"/>
  </r>
  <r>
    <d v="2024-06-05T00:00:00"/>
    <x v="5"/>
    <s v="Mangaluru"/>
    <x v="6"/>
    <x v="13"/>
    <x v="1"/>
    <n v="48"/>
    <x v="12"/>
    <n v="45"/>
    <x v="1340"/>
    <n v="108639000"/>
    <x v="2"/>
    <x v="0"/>
    <x v="1"/>
    <x v="1"/>
    <x v="5"/>
    <n v="6"/>
    <x v="17"/>
    <n v="2414200"/>
    <n v="10.86"/>
  </r>
  <r>
    <d v="2024-06-06T00:00:00"/>
    <x v="10"/>
    <s v="Thiruvananthapuram"/>
    <x v="9"/>
    <x v="10"/>
    <x v="1"/>
    <n v="25"/>
    <x v="10"/>
    <n v="102"/>
    <x v="1341"/>
    <n v="112801800"/>
    <x v="1"/>
    <x v="0"/>
    <x v="1"/>
    <x v="1"/>
    <x v="5"/>
    <n v="6"/>
    <x v="17"/>
    <n v="1105900"/>
    <n v="11.28"/>
  </r>
  <r>
    <d v="2024-06-07T00:00:00"/>
    <x v="3"/>
    <s v="Nashik"/>
    <x v="0"/>
    <x v="0"/>
    <x v="0"/>
    <n v="82"/>
    <x v="0"/>
    <n v="29"/>
    <x v="1342"/>
    <n v="173077800"/>
    <x v="2"/>
    <x v="2"/>
    <x v="1"/>
    <x v="1"/>
    <x v="5"/>
    <n v="6"/>
    <x v="17"/>
    <n v="5968200"/>
    <n v="17.309999999999999"/>
  </r>
  <r>
    <d v="2024-06-07T00:00:00"/>
    <x v="3"/>
    <s v="Mumbai"/>
    <x v="1"/>
    <x v="21"/>
    <x v="0"/>
    <n v="3"/>
    <x v="19"/>
    <n v="129"/>
    <x v="1343"/>
    <n v="13390200"/>
    <x v="1"/>
    <x v="1"/>
    <x v="1"/>
    <x v="1"/>
    <x v="5"/>
    <n v="6"/>
    <x v="17"/>
    <n v="103800"/>
    <n v="1.34"/>
  </r>
  <r>
    <d v="2024-06-10T00:00:00"/>
    <x v="0"/>
    <s v="Hyderabad"/>
    <x v="11"/>
    <x v="12"/>
    <x v="2"/>
    <n v="40"/>
    <x v="12"/>
    <n v="97"/>
    <x v="1344"/>
    <n v="232654500"/>
    <x v="1"/>
    <x v="2"/>
    <x v="1"/>
    <x v="1"/>
    <x v="5"/>
    <n v="6"/>
    <x v="17"/>
    <n v="2398500"/>
    <n v="23.27"/>
  </r>
  <r>
    <d v="2024-06-10T00:00:00"/>
    <x v="6"/>
    <s v="Rajkot"/>
    <x v="9"/>
    <x v="10"/>
    <x v="0"/>
    <n v="25"/>
    <x v="10"/>
    <n v="131"/>
    <x v="1345"/>
    <n v="149523400"/>
    <x v="1"/>
    <x v="2"/>
    <x v="1"/>
    <x v="1"/>
    <x v="5"/>
    <n v="6"/>
    <x v="17"/>
    <n v="1141400"/>
    <n v="14.95"/>
  </r>
  <r>
    <d v="2024-06-11T00:00:00"/>
    <x v="9"/>
    <s v="Patna"/>
    <x v="7"/>
    <x v="7"/>
    <x v="0"/>
    <n v="3"/>
    <x v="7"/>
    <n v="136"/>
    <x v="1346"/>
    <n v="22195200"/>
    <x v="1"/>
    <x v="0"/>
    <x v="1"/>
    <x v="1"/>
    <x v="5"/>
    <n v="6"/>
    <x v="17"/>
    <n v="163200"/>
    <n v="2.2200000000000002"/>
  </r>
  <r>
    <d v="2024-06-11T00:00:00"/>
    <x v="13"/>
    <s v="Indore"/>
    <x v="6"/>
    <x v="13"/>
    <x v="1"/>
    <n v="48"/>
    <x v="12"/>
    <n v="21"/>
    <x v="1347"/>
    <n v="55887300"/>
    <x v="1"/>
    <x v="0"/>
    <x v="1"/>
    <x v="1"/>
    <x v="5"/>
    <n v="6"/>
    <x v="17"/>
    <n v="2661300"/>
    <n v="5.59"/>
  </r>
  <r>
    <d v="2024-06-11T00:00:00"/>
    <x v="9"/>
    <s v="Patna"/>
    <x v="8"/>
    <x v="20"/>
    <x v="2"/>
    <n v="84"/>
    <x v="18"/>
    <n v="64"/>
    <x v="1348"/>
    <n v="449644800"/>
    <x v="1"/>
    <x v="2"/>
    <x v="1"/>
    <x v="1"/>
    <x v="5"/>
    <n v="6"/>
    <x v="17"/>
    <n v="7025700"/>
    <n v="44.96"/>
  </r>
  <r>
    <d v="2024-06-11T00:00:00"/>
    <x v="6"/>
    <s v="Vadodara"/>
    <x v="1"/>
    <x v="21"/>
    <x v="0"/>
    <n v="3"/>
    <x v="19"/>
    <n v="23"/>
    <x v="1349"/>
    <n v="2486300"/>
    <x v="1"/>
    <x v="0"/>
    <x v="1"/>
    <x v="1"/>
    <x v="5"/>
    <n v="6"/>
    <x v="17"/>
    <n v="108100"/>
    <n v="0.25"/>
  </r>
  <r>
    <d v="2024-06-11T00:00:00"/>
    <x v="1"/>
    <s v="Rohini"/>
    <x v="3"/>
    <x v="3"/>
    <x v="0"/>
    <n v="3"/>
    <x v="3"/>
    <n v="35"/>
    <x v="1350"/>
    <n v="4175500"/>
    <x v="1"/>
    <x v="2"/>
    <x v="1"/>
    <x v="1"/>
    <x v="5"/>
    <n v="6"/>
    <x v="17"/>
    <n v="119300"/>
    <n v="0.42"/>
  </r>
  <r>
    <d v="2024-06-12T00:00:00"/>
    <x v="10"/>
    <s v="Kochi"/>
    <x v="7"/>
    <x v="7"/>
    <x v="0"/>
    <n v="3"/>
    <x v="7"/>
    <n v="138"/>
    <x v="1351"/>
    <n v="25019400"/>
    <x v="1"/>
    <x v="1"/>
    <x v="1"/>
    <x v="1"/>
    <x v="5"/>
    <n v="6"/>
    <x v="17"/>
    <n v="181300"/>
    <n v="2.5"/>
  </r>
  <r>
    <d v="2024-06-13T00:00:00"/>
    <x v="0"/>
    <s v="Nizamabad"/>
    <x v="13"/>
    <x v="19"/>
    <x v="1"/>
    <n v="24"/>
    <x v="17"/>
    <n v="19"/>
    <x v="1352"/>
    <n v="25467600"/>
    <x v="0"/>
    <x v="0"/>
    <x v="1"/>
    <x v="1"/>
    <x v="5"/>
    <n v="6"/>
    <x v="17"/>
    <n v="1340400"/>
    <n v="2.5499999999999998"/>
  </r>
  <r>
    <d v="2024-06-14T00:00:00"/>
    <x v="0"/>
    <s v="Warangal"/>
    <x v="7"/>
    <x v="7"/>
    <x v="0"/>
    <n v="3"/>
    <x v="7"/>
    <n v="35"/>
    <x v="1270"/>
    <n v="5988500"/>
    <x v="0"/>
    <x v="2"/>
    <x v="1"/>
    <x v="1"/>
    <x v="5"/>
    <n v="6"/>
    <x v="17"/>
    <n v="171100"/>
    <n v="0.6"/>
  </r>
  <r>
    <d v="2024-06-14T00:00:00"/>
    <x v="1"/>
    <s v="New Delhi"/>
    <x v="2"/>
    <x v="2"/>
    <x v="0"/>
    <n v="66"/>
    <x v="2"/>
    <n v="77"/>
    <x v="1353"/>
    <n v="556240300"/>
    <x v="0"/>
    <x v="0"/>
    <x v="1"/>
    <x v="1"/>
    <x v="5"/>
    <n v="6"/>
    <x v="17"/>
    <n v="7223900"/>
    <n v="55.62"/>
  </r>
  <r>
    <d v="2024-06-14T00:00:00"/>
    <x v="3"/>
    <s v="Mumbai"/>
    <x v="1"/>
    <x v="1"/>
    <x v="0"/>
    <n v="4"/>
    <x v="1"/>
    <n v="101"/>
    <x v="1354"/>
    <n v="14917700"/>
    <x v="1"/>
    <x v="1"/>
    <x v="1"/>
    <x v="1"/>
    <x v="5"/>
    <n v="6"/>
    <x v="17"/>
    <n v="147700"/>
    <n v="1.49"/>
  </r>
  <r>
    <d v="2024-06-15T00:00:00"/>
    <x v="3"/>
    <s v="Mumbai"/>
    <x v="14"/>
    <x v="16"/>
    <x v="0"/>
    <n v="3"/>
    <x v="15"/>
    <n v="161"/>
    <x v="1355"/>
    <n v="28448700"/>
    <x v="1"/>
    <x v="2"/>
    <x v="1"/>
    <x v="1"/>
    <x v="5"/>
    <n v="6"/>
    <x v="17"/>
    <n v="176700"/>
    <n v="2.84"/>
  </r>
  <r>
    <d v="2024-06-15T00:00:00"/>
    <x v="1"/>
    <s v="New Delhi"/>
    <x v="15"/>
    <x v="17"/>
    <x v="0"/>
    <n v="5"/>
    <x v="15"/>
    <n v="86"/>
    <x v="1356"/>
    <n v="13450400"/>
    <x v="1"/>
    <x v="0"/>
    <x v="1"/>
    <x v="1"/>
    <x v="5"/>
    <n v="6"/>
    <x v="17"/>
    <n v="156400"/>
    <n v="1.35"/>
  </r>
  <r>
    <d v="2024-06-15T00:00:00"/>
    <x v="6"/>
    <s v="Vadodara"/>
    <x v="15"/>
    <x v="17"/>
    <x v="0"/>
    <n v="5"/>
    <x v="15"/>
    <n v="169"/>
    <x v="1357"/>
    <n v="30859400"/>
    <x v="1"/>
    <x v="2"/>
    <x v="1"/>
    <x v="1"/>
    <x v="5"/>
    <n v="6"/>
    <x v="17"/>
    <n v="182600"/>
    <n v="3.09"/>
  </r>
  <r>
    <d v="2024-06-15T00:00:00"/>
    <x v="11"/>
    <s v="Salem"/>
    <x v="9"/>
    <x v="10"/>
    <x v="0"/>
    <n v="25"/>
    <x v="10"/>
    <n v="159"/>
    <x v="1358"/>
    <n v="186522900"/>
    <x v="0"/>
    <x v="0"/>
    <x v="1"/>
    <x v="1"/>
    <x v="5"/>
    <n v="6"/>
    <x v="17"/>
    <n v="1173100"/>
    <n v="18.649999999999999"/>
  </r>
  <r>
    <d v="2024-06-16T00:00:00"/>
    <x v="5"/>
    <s v="Mysuru"/>
    <x v="4"/>
    <x v="4"/>
    <x v="0"/>
    <n v="77"/>
    <x v="4"/>
    <n v="66"/>
    <x v="1359"/>
    <n v="370444800"/>
    <x v="0"/>
    <x v="0"/>
    <x v="1"/>
    <x v="1"/>
    <x v="5"/>
    <n v="6"/>
    <x v="17"/>
    <n v="5612800"/>
    <n v="37.04"/>
  </r>
  <r>
    <d v="2024-06-16T00:00:00"/>
    <x v="14"/>
    <s v="Jaipur"/>
    <x v="9"/>
    <x v="10"/>
    <x v="0"/>
    <n v="25"/>
    <x v="10"/>
    <n v="68"/>
    <x v="1360"/>
    <n v="88338800"/>
    <x v="1"/>
    <x v="0"/>
    <x v="1"/>
    <x v="1"/>
    <x v="5"/>
    <n v="6"/>
    <x v="17"/>
    <n v="1299100"/>
    <n v="8.83"/>
  </r>
  <r>
    <d v="2024-06-16T00:00:00"/>
    <x v="13"/>
    <s v="Indore"/>
    <x v="1"/>
    <x v="1"/>
    <x v="0"/>
    <n v="4"/>
    <x v="1"/>
    <n v="64"/>
    <x v="1361"/>
    <n v="8243200"/>
    <x v="0"/>
    <x v="0"/>
    <x v="1"/>
    <x v="1"/>
    <x v="5"/>
    <n v="6"/>
    <x v="17"/>
    <n v="128800"/>
    <n v="0.82"/>
  </r>
  <r>
    <d v="2024-06-17T00:00:00"/>
    <x v="5"/>
    <s v="Bengaluru"/>
    <x v="8"/>
    <x v="8"/>
    <x v="1"/>
    <n v="66"/>
    <x v="8"/>
    <n v="60"/>
    <x v="1362"/>
    <n v="343746000"/>
    <x v="2"/>
    <x v="1"/>
    <x v="1"/>
    <x v="1"/>
    <x v="5"/>
    <n v="6"/>
    <x v="17"/>
    <n v="5729100"/>
    <n v="34.369999999999997"/>
  </r>
  <r>
    <d v="2024-06-17T00:00:00"/>
    <x v="1"/>
    <s v="Saket"/>
    <x v="4"/>
    <x v="4"/>
    <x v="3"/>
    <n v="77"/>
    <x v="4"/>
    <n v="13"/>
    <x v="1363"/>
    <n v="72192900"/>
    <x v="1"/>
    <x v="2"/>
    <x v="1"/>
    <x v="1"/>
    <x v="5"/>
    <n v="6"/>
    <x v="17"/>
    <n v="5553300"/>
    <n v="7.22"/>
  </r>
  <r>
    <d v="2024-06-17T00:00:00"/>
    <x v="14"/>
    <s v="Udaipur"/>
    <x v="0"/>
    <x v="0"/>
    <x v="3"/>
    <n v="82"/>
    <x v="0"/>
    <n v="62"/>
    <x v="1364"/>
    <n v="469216000"/>
    <x v="0"/>
    <x v="1"/>
    <x v="1"/>
    <x v="1"/>
    <x v="5"/>
    <n v="6"/>
    <x v="17"/>
    <n v="7568000"/>
    <n v="46.92"/>
  </r>
  <r>
    <d v="2024-06-17T00:00:00"/>
    <x v="7"/>
    <s v="Vijayawada"/>
    <x v="7"/>
    <x v="7"/>
    <x v="0"/>
    <n v="3"/>
    <x v="7"/>
    <n v="178"/>
    <x v="1365"/>
    <n v="29298800"/>
    <x v="1"/>
    <x v="1"/>
    <x v="1"/>
    <x v="1"/>
    <x v="5"/>
    <n v="6"/>
    <x v="17"/>
    <n v="164600"/>
    <n v="2.93"/>
  </r>
  <r>
    <d v="2024-06-18T00:00:00"/>
    <x v="5"/>
    <s v="Mangaluru"/>
    <x v="5"/>
    <x v="5"/>
    <x v="0"/>
    <n v="30"/>
    <x v="5"/>
    <n v="78"/>
    <x v="1366"/>
    <n v="95706000"/>
    <x v="1"/>
    <x v="0"/>
    <x v="1"/>
    <x v="1"/>
    <x v="5"/>
    <n v="6"/>
    <x v="17"/>
    <n v="1227000"/>
    <n v="9.57"/>
  </r>
  <r>
    <d v="2024-06-18T00:00:00"/>
    <x v="3"/>
    <s v="Mumbai"/>
    <x v="0"/>
    <x v="0"/>
    <x v="0"/>
    <n v="82"/>
    <x v="0"/>
    <n v="32"/>
    <x v="1367"/>
    <n v="207046400"/>
    <x v="0"/>
    <x v="0"/>
    <x v="1"/>
    <x v="1"/>
    <x v="5"/>
    <n v="6"/>
    <x v="17"/>
    <n v="6470200"/>
    <n v="20.7"/>
  </r>
  <r>
    <d v="2024-06-18T00:00:00"/>
    <x v="2"/>
    <s v="Ghaziabad"/>
    <x v="14"/>
    <x v="16"/>
    <x v="0"/>
    <n v="3"/>
    <x v="15"/>
    <n v="107"/>
    <x v="132"/>
    <n v="14701800"/>
    <x v="1"/>
    <x v="0"/>
    <x v="1"/>
    <x v="1"/>
    <x v="5"/>
    <n v="6"/>
    <x v="17"/>
    <n v="137400"/>
    <n v="1.47"/>
  </r>
  <r>
    <d v="2024-06-19T00:00:00"/>
    <x v="10"/>
    <s v="Kochi"/>
    <x v="13"/>
    <x v="15"/>
    <x v="2"/>
    <n v="40"/>
    <x v="14"/>
    <n v="164"/>
    <x v="1368"/>
    <n v="339529200"/>
    <x v="0"/>
    <x v="0"/>
    <x v="1"/>
    <x v="1"/>
    <x v="5"/>
    <n v="6"/>
    <x v="17"/>
    <n v="2070300"/>
    <n v="33.950000000000003"/>
  </r>
  <r>
    <d v="2024-06-19T00:00:00"/>
    <x v="8"/>
    <s v="Durgapur"/>
    <x v="0"/>
    <x v="0"/>
    <x v="0"/>
    <n v="82"/>
    <x v="0"/>
    <n v="26"/>
    <x v="1369"/>
    <n v="157027000"/>
    <x v="1"/>
    <x v="0"/>
    <x v="1"/>
    <x v="1"/>
    <x v="5"/>
    <n v="6"/>
    <x v="17"/>
    <n v="6039500"/>
    <n v="15.7"/>
  </r>
  <r>
    <d v="2024-06-19T00:00:00"/>
    <x v="1"/>
    <s v="Rohini"/>
    <x v="6"/>
    <x v="6"/>
    <x v="0"/>
    <n v="72"/>
    <x v="6"/>
    <n v="142"/>
    <x v="1370"/>
    <n v="732336600"/>
    <x v="1"/>
    <x v="2"/>
    <x v="1"/>
    <x v="1"/>
    <x v="5"/>
    <n v="6"/>
    <x v="17"/>
    <n v="5157300"/>
    <n v="73.23"/>
  </r>
  <r>
    <d v="2024-06-20T00:00:00"/>
    <x v="2"/>
    <s v="Lucknow"/>
    <x v="14"/>
    <x v="16"/>
    <x v="0"/>
    <n v="3"/>
    <x v="15"/>
    <n v="143"/>
    <x v="1371"/>
    <n v="24038300"/>
    <x v="1"/>
    <x v="0"/>
    <x v="1"/>
    <x v="1"/>
    <x v="5"/>
    <n v="6"/>
    <x v="17"/>
    <n v="168100"/>
    <n v="2.4"/>
  </r>
  <r>
    <d v="2024-06-20T00:00:00"/>
    <x v="7"/>
    <s v="Vijayawada"/>
    <x v="12"/>
    <x v="14"/>
    <x v="0"/>
    <n v="82"/>
    <x v="13"/>
    <n v="74"/>
    <x v="1372"/>
    <n v="334028600"/>
    <x v="0"/>
    <x v="2"/>
    <x v="1"/>
    <x v="1"/>
    <x v="5"/>
    <n v="6"/>
    <x v="17"/>
    <n v="4513900"/>
    <n v="33.4"/>
  </r>
  <r>
    <d v="2024-06-20T00:00:00"/>
    <x v="4"/>
    <s v="Jalandhar"/>
    <x v="13"/>
    <x v="19"/>
    <x v="0"/>
    <n v="24"/>
    <x v="17"/>
    <n v="146"/>
    <x v="1373"/>
    <n v="226241600"/>
    <x v="1"/>
    <x v="0"/>
    <x v="1"/>
    <x v="1"/>
    <x v="5"/>
    <n v="6"/>
    <x v="17"/>
    <n v="1549600"/>
    <n v="22.62"/>
  </r>
  <r>
    <d v="2024-06-21T00:00:00"/>
    <x v="1"/>
    <s v="Dwarka"/>
    <x v="3"/>
    <x v="3"/>
    <x v="0"/>
    <n v="3"/>
    <x v="3"/>
    <n v="176"/>
    <x v="1374"/>
    <n v="20715200"/>
    <x v="1"/>
    <x v="0"/>
    <x v="1"/>
    <x v="1"/>
    <x v="5"/>
    <n v="6"/>
    <x v="17"/>
    <n v="117700"/>
    <n v="2.0699999999999998"/>
  </r>
  <r>
    <d v="2024-06-21T00:00:00"/>
    <x v="3"/>
    <s v="Nagpur"/>
    <x v="1"/>
    <x v="21"/>
    <x v="0"/>
    <n v="3"/>
    <x v="19"/>
    <n v="160"/>
    <x v="1375"/>
    <n v="20320000"/>
    <x v="1"/>
    <x v="0"/>
    <x v="1"/>
    <x v="1"/>
    <x v="5"/>
    <n v="6"/>
    <x v="17"/>
    <n v="127000"/>
    <n v="2.0299999999999998"/>
  </r>
  <r>
    <d v="2024-06-21T00:00:00"/>
    <x v="6"/>
    <s v="Vadodara"/>
    <x v="2"/>
    <x v="2"/>
    <x v="0"/>
    <n v="66"/>
    <x v="2"/>
    <n v="10"/>
    <x v="1376"/>
    <n v="90475000"/>
    <x v="1"/>
    <x v="0"/>
    <x v="1"/>
    <x v="1"/>
    <x v="5"/>
    <n v="6"/>
    <x v="17"/>
    <n v="9047500"/>
    <n v="9.0500000000000007"/>
  </r>
  <r>
    <d v="2024-06-21T00:00:00"/>
    <x v="10"/>
    <s v="Thiruvananthapuram"/>
    <x v="3"/>
    <x v="3"/>
    <x v="0"/>
    <n v="3"/>
    <x v="3"/>
    <n v="82"/>
    <x v="1377"/>
    <n v="10496000"/>
    <x v="1"/>
    <x v="2"/>
    <x v="1"/>
    <x v="1"/>
    <x v="5"/>
    <n v="6"/>
    <x v="17"/>
    <n v="128000"/>
    <n v="1.05"/>
  </r>
  <r>
    <d v="2024-06-22T00:00:00"/>
    <x v="4"/>
    <s v="Ludhiana"/>
    <x v="8"/>
    <x v="8"/>
    <x v="2"/>
    <n v="66"/>
    <x v="8"/>
    <n v="7"/>
    <x v="1378"/>
    <n v="46765600"/>
    <x v="2"/>
    <x v="1"/>
    <x v="1"/>
    <x v="1"/>
    <x v="5"/>
    <n v="6"/>
    <x v="17"/>
    <n v="6680800"/>
    <n v="4.68"/>
  </r>
  <r>
    <d v="2024-06-22T00:00:00"/>
    <x v="14"/>
    <s v="Jaipur"/>
    <x v="3"/>
    <x v="3"/>
    <x v="0"/>
    <n v="3"/>
    <x v="3"/>
    <n v="21"/>
    <x v="1379"/>
    <n v="2719500"/>
    <x v="1"/>
    <x v="0"/>
    <x v="1"/>
    <x v="1"/>
    <x v="5"/>
    <n v="6"/>
    <x v="17"/>
    <n v="129500"/>
    <n v="0.27"/>
  </r>
  <r>
    <d v="2024-06-22T00:00:00"/>
    <x v="11"/>
    <s v="Salem"/>
    <x v="4"/>
    <x v="4"/>
    <x v="2"/>
    <n v="77"/>
    <x v="4"/>
    <n v="5"/>
    <x v="1380"/>
    <n v="27560500"/>
    <x v="1"/>
    <x v="0"/>
    <x v="1"/>
    <x v="1"/>
    <x v="5"/>
    <n v="6"/>
    <x v="17"/>
    <n v="5512100"/>
    <n v="2.76"/>
  </r>
  <r>
    <d v="2024-06-23T00:00:00"/>
    <x v="8"/>
    <s v="Asansol"/>
    <x v="3"/>
    <x v="3"/>
    <x v="0"/>
    <n v="3"/>
    <x v="3"/>
    <n v="46"/>
    <x v="1381"/>
    <n v="4931200"/>
    <x v="1"/>
    <x v="0"/>
    <x v="1"/>
    <x v="1"/>
    <x v="5"/>
    <n v="6"/>
    <x v="17"/>
    <n v="107200"/>
    <n v="0.49"/>
  </r>
  <r>
    <d v="2024-06-23T00:00:00"/>
    <x v="12"/>
    <s v="Hisar"/>
    <x v="13"/>
    <x v="19"/>
    <x v="1"/>
    <n v="24"/>
    <x v="17"/>
    <n v="86"/>
    <x v="1382"/>
    <n v="143465200"/>
    <x v="0"/>
    <x v="3"/>
    <x v="1"/>
    <x v="1"/>
    <x v="5"/>
    <n v="6"/>
    <x v="17"/>
    <n v="1668200"/>
    <n v="14.35"/>
  </r>
  <r>
    <d v="2024-06-24T00:00:00"/>
    <x v="9"/>
    <s v="Patna"/>
    <x v="15"/>
    <x v="17"/>
    <x v="0"/>
    <n v="5"/>
    <x v="15"/>
    <n v="70"/>
    <x v="1383"/>
    <n v="13244000"/>
    <x v="1"/>
    <x v="3"/>
    <x v="1"/>
    <x v="1"/>
    <x v="5"/>
    <n v="6"/>
    <x v="17"/>
    <n v="189200"/>
    <n v="1.32"/>
  </r>
  <r>
    <d v="2024-06-24T00:00:00"/>
    <x v="4"/>
    <s v="Jalandhar"/>
    <x v="1"/>
    <x v="1"/>
    <x v="0"/>
    <n v="4"/>
    <x v="1"/>
    <n v="59"/>
    <x v="1275"/>
    <n v="9327900"/>
    <x v="1"/>
    <x v="2"/>
    <x v="1"/>
    <x v="1"/>
    <x v="5"/>
    <n v="6"/>
    <x v="17"/>
    <n v="158100"/>
    <n v="0.93"/>
  </r>
  <r>
    <d v="2024-06-24T00:00:00"/>
    <x v="11"/>
    <s v="Madurai"/>
    <x v="1"/>
    <x v="21"/>
    <x v="0"/>
    <n v="3"/>
    <x v="19"/>
    <n v="24"/>
    <x v="1384"/>
    <n v="2176800"/>
    <x v="1"/>
    <x v="2"/>
    <x v="1"/>
    <x v="1"/>
    <x v="5"/>
    <n v="6"/>
    <x v="17"/>
    <n v="90700"/>
    <n v="0.22"/>
  </r>
  <r>
    <d v="2024-06-25T00:00:00"/>
    <x v="2"/>
    <s v="Ghaziabad"/>
    <x v="6"/>
    <x v="6"/>
    <x v="0"/>
    <n v="72"/>
    <x v="6"/>
    <n v="113"/>
    <x v="1385"/>
    <n v="505166500"/>
    <x v="1"/>
    <x v="0"/>
    <x v="1"/>
    <x v="1"/>
    <x v="5"/>
    <n v="6"/>
    <x v="17"/>
    <n v="4470500"/>
    <n v="50.52"/>
  </r>
  <r>
    <d v="2024-06-25T00:00:00"/>
    <x v="2"/>
    <s v="Lucknow"/>
    <x v="1"/>
    <x v="1"/>
    <x v="0"/>
    <n v="4"/>
    <x v="1"/>
    <n v="148"/>
    <x v="1386"/>
    <n v="22303600"/>
    <x v="0"/>
    <x v="2"/>
    <x v="1"/>
    <x v="1"/>
    <x v="5"/>
    <n v="6"/>
    <x v="17"/>
    <n v="150700"/>
    <n v="2.23"/>
  </r>
  <r>
    <d v="2024-06-25T00:00:00"/>
    <x v="2"/>
    <s v="Noida"/>
    <x v="0"/>
    <x v="0"/>
    <x v="1"/>
    <n v="82"/>
    <x v="0"/>
    <n v="69"/>
    <x v="1387"/>
    <n v="429945900"/>
    <x v="1"/>
    <x v="0"/>
    <x v="1"/>
    <x v="1"/>
    <x v="5"/>
    <n v="6"/>
    <x v="17"/>
    <n v="6231100"/>
    <n v="42.99"/>
  </r>
  <r>
    <d v="2024-06-26T00:00:00"/>
    <x v="6"/>
    <s v="Ahmedabad"/>
    <x v="8"/>
    <x v="20"/>
    <x v="0"/>
    <n v="84"/>
    <x v="18"/>
    <n v="19"/>
    <x v="1388"/>
    <n v="147147400"/>
    <x v="1"/>
    <x v="0"/>
    <x v="1"/>
    <x v="1"/>
    <x v="5"/>
    <n v="6"/>
    <x v="17"/>
    <n v="7744600"/>
    <n v="14.71"/>
  </r>
  <r>
    <d v="2024-06-26T00:00:00"/>
    <x v="5"/>
    <s v="Hubballi"/>
    <x v="8"/>
    <x v="8"/>
    <x v="0"/>
    <n v="66"/>
    <x v="8"/>
    <n v="43"/>
    <x v="1389"/>
    <n v="247611200"/>
    <x v="1"/>
    <x v="2"/>
    <x v="1"/>
    <x v="1"/>
    <x v="5"/>
    <n v="6"/>
    <x v="17"/>
    <n v="5758400"/>
    <n v="24.76"/>
  </r>
  <r>
    <d v="2024-06-26T00:00:00"/>
    <x v="3"/>
    <s v="Nagpur"/>
    <x v="0"/>
    <x v="0"/>
    <x v="1"/>
    <n v="82"/>
    <x v="0"/>
    <n v="9"/>
    <x v="1390"/>
    <n v="52635600"/>
    <x v="1"/>
    <x v="0"/>
    <x v="1"/>
    <x v="1"/>
    <x v="5"/>
    <n v="6"/>
    <x v="17"/>
    <n v="5848400"/>
    <n v="5.26"/>
  </r>
  <r>
    <d v="2024-06-27T00:00:00"/>
    <x v="2"/>
    <s v="Kanpur"/>
    <x v="8"/>
    <x v="8"/>
    <x v="0"/>
    <n v="66"/>
    <x v="8"/>
    <n v="49"/>
    <x v="1391"/>
    <n v="277594800"/>
    <x v="1"/>
    <x v="2"/>
    <x v="1"/>
    <x v="1"/>
    <x v="5"/>
    <n v="6"/>
    <x v="17"/>
    <n v="5665200"/>
    <n v="27.76"/>
  </r>
  <r>
    <d v="2024-06-27T00:00:00"/>
    <x v="8"/>
    <s v="Kolkata"/>
    <x v="12"/>
    <x v="14"/>
    <x v="1"/>
    <n v="82"/>
    <x v="13"/>
    <n v="51"/>
    <x v="1392"/>
    <n v="284314800"/>
    <x v="1"/>
    <x v="3"/>
    <x v="1"/>
    <x v="1"/>
    <x v="5"/>
    <n v="6"/>
    <x v="17"/>
    <n v="5574800"/>
    <n v="28.43"/>
  </r>
  <r>
    <d v="2024-06-27T00:00:00"/>
    <x v="12"/>
    <s v="Gurugram"/>
    <x v="13"/>
    <x v="22"/>
    <x v="0"/>
    <n v="35"/>
    <x v="10"/>
    <n v="161"/>
    <x v="1393"/>
    <n v="347067700"/>
    <x v="1"/>
    <x v="0"/>
    <x v="1"/>
    <x v="1"/>
    <x v="5"/>
    <n v="6"/>
    <x v="17"/>
    <n v="2155700"/>
    <n v="34.71"/>
  </r>
  <r>
    <d v="2024-06-27T00:00:00"/>
    <x v="6"/>
    <s v="Surat"/>
    <x v="7"/>
    <x v="7"/>
    <x v="0"/>
    <n v="3"/>
    <x v="7"/>
    <n v="69"/>
    <x v="1394"/>
    <n v="9763500"/>
    <x v="1"/>
    <x v="1"/>
    <x v="1"/>
    <x v="1"/>
    <x v="5"/>
    <n v="6"/>
    <x v="17"/>
    <n v="141500"/>
    <n v="0.98"/>
  </r>
  <r>
    <d v="2024-06-28T00:00:00"/>
    <x v="14"/>
    <s v="Kota"/>
    <x v="0"/>
    <x v="0"/>
    <x v="1"/>
    <n v="82"/>
    <x v="0"/>
    <n v="70"/>
    <x v="1395"/>
    <n v="463694000"/>
    <x v="1"/>
    <x v="2"/>
    <x v="1"/>
    <x v="1"/>
    <x v="5"/>
    <n v="6"/>
    <x v="17"/>
    <n v="6624200"/>
    <n v="46.37"/>
  </r>
  <r>
    <d v="2024-06-28T00:00:00"/>
    <x v="13"/>
    <s v="Bhopal"/>
    <x v="3"/>
    <x v="3"/>
    <x v="0"/>
    <n v="3"/>
    <x v="3"/>
    <n v="25"/>
    <x v="1396"/>
    <n v="3170000"/>
    <x v="0"/>
    <x v="1"/>
    <x v="1"/>
    <x v="1"/>
    <x v="5"/>
    <n v="6"/>
    <x v="17"/>
    <n v="126800"/>
    <n v="0.32"/>
  </r>
  <r>
    <d v="2024-06-28T00:00:00"/>
    <x v="3"/>
    <s v="Nashik"/>
    <x v="15"/>
    <x v="17"/>
    <x v="0"/>
    <n v="5"/>
    <x v="15"/>
    <n v="98"/>
    <x v="240"/>
    <n v="18051600"/>
    <x v="0"/>
    <x v="2"/>
    <x v="1"/>
    <x v="1"/>
    <x v="5"/>
    <n v="6"/>
    <x v="17"/>
    <n v="184200"/>
    <n v="1.81"/>
  </r>
  <r>
    <d v="2024-06-29T00:00:00"/>
    <x v="2"/>
    <s v="Ghaziabad"/>
    <x v="15"/>
    <x v="17"/>
    <x v="0"/>
    <n v="5"/>
    <x v="15"/>
    <n v="102"/>
    <x v="1397"/>
    <n v="16972800"/>
    <x v="1"/>
    <x v="0"/>
    <x v="1"/>
    <x v="1"/>
    <x v="5"/>
    <n v="6"/>
    <x v="17"/>
    <n v="166400"/>
    <n v="1.7"/>
  </r>
  <r>
    <d v="2024-06-29T00:00:00"/>
    <x v="11"/>
    <s v="Salem"/>
    <x v="0"/>
    <x v="0"/>
    <x v="2"/>
    <n v="82"/>
    <x v="0"/>
    <n v="22"/>
    <x v="1398"/>
    <n v="140850600"/>
    <x v="1"/>
    <x v="0"/>
    <x v="1"/>
    <x v="1"/>
    <x v="5"/>
    <n v="6"/>
    <x v="17"/>
    <n v="6402300"/>
    <n v="14.09"/>
  </r>
  <r>
    <d v="2024-06-29T00:00:00"/>
    <x v="3"/>
    <s v="Nagpur"/>
    <x v="2"/>
    <x v="2"/>
    <x v="0"/>
    <n v="66"/>
    <x v="2"/>
    <n v="7"/>
    <x v="1399"/>
    <n v="51888200"/>
    <x v="1"/>
    <x v="0"/>
    <x v="1"/>
    <x v="1"/>
    <x v="5"/>
    <n v="6"/>
    <x v="17"/>
    <n v="7412600"/>
    <n v="5.19"/>
  </r>
  <r>
    <d v="2024-06-29T00:00:00"/>
    <x v="0"/>
    <s v="Nizamabad"/>
    <x v="9"/>
    <x v="9"/>
    <x v="0"/>
    <n v="50"/>
    <x v="9"/>
    <n v="52"/>
    <x v="1400"/>
    <n v="112699600"/>
    <x v="1"/>
    <x v="0"/>
    <x v="1"/>
    <x v="1"/>
    <x v="5"/>
    <n v="6"/>
    <x v="17"/>
    <n v="2167300"/>
    <n v="11.27"/>
  </r>
  <r>
    <d v="2024-06-30T00:00:00"/>
    <x v="13"/>
    <s v="Indore"/>
    <x v="10"/>
    <x v="11"/>
    <x v="0"/>
    <n v="69"/>
    <x v="11"/>
    <n v="14"/>
    <x v="1401"/>
    <n v="78675800"/>
    <x v="1"/>
    <x v="0"/>
    <x v="1"/>
    <x v="1"/>
    <x v="5"/>
    <n v="6"/>
    <x v="17"/>
    <n v="5619700"/>
    <n v="7.87"/>
  </r>
  <r>
    <d v="2024-06-30T00:00:00"/>
    <x v="0"/>
    <s v="Nizamabad"/>
    <x v="8"/>
    <x v="8"/>
    <x v="1"/>
    <n v="66"/>
    <x v="8"/>
    <n v="43"/>
    <x v="1402"/>
    <n v="234900400"/>
    <x v="1"/>
    <x v="2"/>
    <x v="1"/>
    <x v="1"/>
    <x v="5"/>
    <n v="6"/>
    <x v="17"/>
    <n v="5462800"/>
    <n v="23.49"/>
  </r>
  <r>
    <d v="2024-07-01T00:00:00"/>
    <x v="3"/>
    <s v="Pune"/>
    <x v="2"/>
    <x v="2"/>
    <x v="0"/>
    <n v="66"/>
    <x v="2"/>
    <n v="32"/>
    <x v="1403"/>
    <n v="228380800"/>
    <x v="1"/>
    <x v="0"/>
    <x v="1"/>
    <x v="2"/>
    <x v="6"/>
    <n v="7"/>
    <x v="18"/>
    <n v="7136900"/>
    <n v="22.84"/>
  </r>
  <r>
    <d v="2024-07-01T00:00:00"/>
    <x v="3"/>
    <s v="Pune"/>
    <x v="1"/>
    <x v="1"/>
    <x v="0"/>
    <n v="4"/>
    <x v="1"/>
    <n v="96"/>
    <x v="1404"/>
    <n v="14064000"/>
    <x v="1"/>
    <x v="0"/>
    <x v="1"/>
    <x v="2"/>
    <x v="6"/>
    <n v="7"/>
    <x v="18"/>
    <n v="146500"/>
    <n v="1.41"/>
  </r>
  <r>
    <d v="2024-07-02T00:00:00"/>
    <x v="3"/>
    <s v="Mumbai"/>
    <x v="8"/>
    <x v="8"/>
    <x v="3"/>
    <n v="66"/>
    <x v="8"/>
    <n v="30"/>
    <x v="1405"/>
    <n v="201378000"/>
    <x v="1"/>
    <x v="0"/>
    <x v="1"/>
    <x v="2"/>
    <x v="6"/>
    <n v="7"/>
    <x v="18"/>
    <n v="6712600"/>
    <n v="20.14"/>
  </r>
  <r>
    <d v="2024-07-03T00:00:00"/>
    <x v="3"/>
    <s v="Mumbai"/>
    <x v="14"/>
    <x v="16"/>
    <x v="0"/>
    <n v="3"/>
    <x v="15"/>
    <n v="116"/>
    <x v="285"/>
    <n v="19186400"/>
    <x v="0"/>
    <x v="0"/>
    <x v="1"/>
    <x v="2"/>
    <x v="6"/>
    <n v="7"/>
    <x v="18"/>
    <n v="165400"/>
    <n v="1.92"/>
  </r>
  <r>
    <d v="2024-07-03T00:00:00"/>
    <x v="5"/>
    <s v="Bengaluru"/>
    <x v="5"/>
    <x v="5"/>
    <x v="0"/>
    <n v="30"/>
    <x v="5"/>
    <n v="8"/>
    <x v="426"/>
    <n v="10158400"/>
    <x v="1"/>
    <x v="2"/>
    <x v="1"/>
    <x v="2"/>
    <x v="6"/>
    <n v="7"/>
    <x v="18"/>
    <n v="1269800"/>
    <n v="1.02"/>
  </r>
  <r>
    <d v="2024-07-03T00:00:00"/>
    <x v="11"/>
    <s v="Chennai"/>
    <x v="10"/>
    <x v="11"/>
    <x v="0"/>
    <n v="69"/>
    <x v="11"/>
    <n v="33"/>
    <x v="1406"/>
    <n v="202837800"/>
    <x v="1"/>
    <x v="1"/>
    <x v="1"/>
    <x v="2"/>
    <x v="6"/>
    <n v="7"/>
    <x v="18"/>
    <n v="6146600"/>
    <n v="20.28"/>
  </r>
  <r>
    <d v="2024-07-03T00:00:00"/>
    <x v="3"/>
    <s v="Nagpur"/>
    <x v="14"/>
    <x v="16"/>
    <x v="0"/>
    <n v="3"/>
    <x v="15"/>
    <n v="177"/>
    <x v="1407"/>
    <n v="28178400"/>
    <x v="1"/>
    <x v="2"/>
    <x v="1"/>
    <x v="2"/>
    <x v="6"/>
    <n v="7"/>
    <x v="18"/>
    <n v="159200"/>
    <n v="2.82"/>
  </r>
  <r>
    <d v="2024-07-03T00:00:00"/>
    <x v="5"/>
    <s v="Bengaluru"/>
    <x v="8"/>
    <x v="8"/>
    <x v="0"/>
    <n v="66"/>
    <x v="8"/>
    <n v="14"/>
    <x v="1408"/>
    <n v="80056200"/>
    <x v="0"/>
    <x v="0"/>
    <x v="1"/>
    <x v="2"/>
    <x v="6"/>
    <n v="7"/>
    <x v="18"/>
    <n v="5718300"/>
    <n v="8.01"/>
  </r>
  <r>
    <d v="2024-07-03T00:00:00"/>
    <x v="5"/>
    <s v="Hubballi"/>
    <x v="5"/>
    <x v="5"/>
    <x v="0"/>
    <n v="30"/>
    <x v="5"/>
    <n v="22"/>
    <x v="1409"/>
    <n v="35096600"/>
    <x v="1"/>
    <x v="1"/>
    <x v="1"/>
    <x v="2"/>
    <x v="6"/>
    <n v="7"/>
    <x v="18"/>
    <n v="1595300"/>
    <n v="3.51"/>
  </r>
  <r>
    <d v="2024-07-03T00:00:00"/>
    <x v="5"/>
    <s v="Bengaluru"/>
    <x v="12"/>
    <x v="18"/>
    <x v="0"/>
    <n v="60"/>
    <x v="16"/>
    <n v="30"/>
    <x v="1410"/>
    <n v="111066000"/>
    <x v="1"/>
    <x v="1"/>
    <x v="1"/>
    <x v="2"/>
    <x v="6"/>
    <n v="7"/>
    <x v="18"/>
    <n v="3702200"/>
    <n v="11.11"/>
  </r>
  <r>
    <d v="2024-07-03T00:00:00"/>
    <x v="4"/>
    <s v="Ludhiana"/>
    <x v="2"/>
    <x v="2"/>
    <x v="0"/>
    <n v="66"/>
    <x v="2"/>
    <n v="12"/>
    <x v="1411"/>
    <n v="102315600"/>
    <x v="1"/>
    <x v="1"/>
    <x v="1"/>
    <x v="2"/>
    <x v="6"/>
    <n v="7"/>
    <x v="18"/>
    <n v="8526300"/>
    <n v="10.23"/>
  </r>
  <r>
    <d v="2024-07-04T00:00:00"/>
    <x v="6"/>
    <s v="Rajkot"/>
    <x v="7"/>
    <x v="7"/>
    <x v="0"/>
    <n v="3"/>
    <x v="7"/>
    <n v="113"/>
    <x v="44"/>
    <n v="20023600"/>
    <x v="1"/>
    <x v="2"/>
    <x v="1"/>
    <x v="2"/>
    <x v="6"/>
    <n v="7"/>
    <x v="18"/>
    <n v="177200"/>
    <n v="2"/>
  </r>
  <r>
    <d v="2024-07-05T00:00:00"/>
    <x v="11"/>
    <s v="Chennai"/>
    <x v="13"/>
    <x v="19"/>
    <x v="2"/>
    <n v="24"/>
    <x v="17"/>
    <n v="142"/>
    <x v="1412"/>
    <n v="196258200"/>
    <x v="1"/>
    <x v="0"/>
    <x v="1"/>
    <x v="2"/>
    <x v="6"/>
    <n v="7"/>
    <x v="18"/>
    <n v="1382100"/>
    <n v="19.63"/>
  </r>
  <r>
    <d v="2024-07-06T00:00:00"/>
    <x v="12"/>
    <s v="Panipat"/>
    <x v="9"/>
    <x v="10"/>
    <x v="0"/>
    <n v="25"/>
    <x v="10"/>
    <n v="88"/>
    <x v="1413"/>
    <n v="106198400"/>
    <x v="0"/>
    <x v="2"/>
    <x v="1"/>
    <x v="2"/>
    <x v="6"/>
    <n v="7"/>
    <x v="18"/>
    <n v="1206800"/>
    <n v="10.62"/>
  </r>
  <r>
    <d v="2024-07-06T00:00:00"/>
    <x v="10"/>
    <s v="Kozhikode"/>
    <x v="13"/>
    <x v="19"/>
    <x v="0"/>
    <n v="24"/>
    <x v="17"/>
    <n v="28"/>
    <x v="1414"/>
    <n v="40734400"/>
    <x v="1"/>
    <x v="0"/>
    <x v="1"/>
    <x v="2"/>
    <x v="6"/>
    <n v="7"/>
    <x v="18"/>
    <n v="1454800"/>
    <n v="4.07"/>
  </r>
  <r>
    <d v="2024-07-06T00:00:00"/>
    <x v="5"/>
    <s v="Mangaluru"/>
    <x v="0"/>
    <x v="0"/>
    <x v="0"/>
    <n v="82"/>
    <x v="0"/>
    <n v="30"/>
    <x v="1415"/>
    <n v="225303000"/>
    <x v="1"/>
    <x v="0"/>
    <x v="1"/>
    <x v="2"/>
    <x v="6"/>
    <n v="7"/>
    <x v="18"/>
    <n v="7510100"/>
    <n v="22.53"/>
  </r>
  <r>
    <d v="2024-07-07T00:00:00"/>
    <x v="1"/>
    <s v="Rohini"/>
    <x v="12"/>
    <x v="18"/>
    <x v="0"/>
    <n v="60"/>
    <x v="16"/>
    <n v="75"/>
    <x v="1416"/>
    <n v="234585000"/>
    <x v="0"/>
    <x v="0"/>
    <x v="1"/>
    <x v="2"/>
    <x v="6"/>
    <n v="7"/>
    <x v="18"/>
    <n v="3127800"/>
    <n v="23.46"/>
  </r>
  <r>
    <d v="2024-07-07T00:00:00"/>
    <x v="5"/>
    <s v="Hubballi"/>
    <x v="14"/>
    <x v="16"/>
    <x v="0"/>
    <n v="3"/>
    <x v="15"/>
    <n v="21"/>
    <x v="299"/>
    <n v="2856000"/>
    <x v="1"/>
    <x v="0"/>
    <x v="1"/>
    <x v="2"/>
    <x v="6"/>
    <n v="7"/>
    <x v="18"/>
    <n v="136000"/>
    <n v="0.28999999999999998"/>
  </r>
  <r>
    <d v="2024-07-07T00:00:00"/>
    <x v="6"/>
    <s v="Surat"/>
    <x v="8"/>
    <x v="8"/>
    <x v="2"/>
    <n v="66"/>
    <x v="8"/>
    <n v="26"/>
    <x v="1417"/>
    <n v="167606400"/>
    <x v="1"/>
    <x v="0"/>
    <x v="1"/>
    <x v="2"/>
    <x v="6"/>
    <n v="7"/>
    <x v="18"/>
    <n v="6446400"/>
    <n v="16.760000000000002"/>
  </r>
  <r>
    <d v="2024-07-07T00:00:00"/>
    <x v="8"/>
    <s v="Siliguri"/>
    <x v="0"/>
    <x v="0"/>
    <x v="1"/>
    <n v="82"/>
    <x v="0"/>
    <n v="28"/>
    <x v="1418"/>
    <n v="189408800"/>
    <x v="1"/>
    <x v="0"/>
    <x v="1"/>
    <x v="2"/>
    <x v="6"/>
    <n v="7"/>
    <x v="18"/>
    <n v="6764600"/>
    <n v="18.940000000000001"/>
  </r>
  <r>
    <d v="2024-07-07T00:00:00"/>
    <x v="12"/>
    <s v="Faridabad"/>
    <x v="2"/>
    <x v="2"/>
    <x v="0"/>
    <n v="66"/>
    <x v="2"/>
    <n v="16"/>
    <x v="1419"/>
    <n v="118081600"/>
    <x v="1"/>
    <x v="0"/>
    <x v="1"/>
    <x v="2"/>
    <x v="6"/>
    <n v="7"/>
    <x v="18"/>
    <n v="7380100"/>
    <n v="11.81"/>
  </r>
  <r>
    <d v="2024-07-08T00:00:00"/>
    <x v="11"/>
    <s v="Coimbatore"/>
    <x v="0"/>
    <x v="0"/>
    <x v="0"/>
    <n v="82"/>
    <x v="0"/>
    <n v="7"/>
    <x v="1420"/>
    <n v="46011000"/>
    <x v="0"/>
    <x v="0"/>
    <x v="1"/>
    <x v="2"/>
    <x v="6"/>
    <n v="7"/>
    <x v="18"/>
    <n v="6573000"/>
    <n v="4.5999999999999996"/>
  </r>
  <r>
    <d v="2024-07-09T00:00:00"/>
    <x v="7"/>
    <s v="Tirupati"/>
    <x v="3"/>
    <x v="3"/>
    <x v="0"/>
    <n v="3"/>
    <x v="3"/>
    <n v="158"/>
    <x v="1250"/>
    <n v="16068600"/>
    <x v="1"/>
    <x v="1"/>
    <x v="1"/>
    <x v="2"/>
    <x v="6"/>
    <n v="7"/>
    <x v="18"/>
    <n v="101700"/>
    <n v="1.61"/>
  </r>
  <r>
    <d v="2024-07-09T00:00:00"/>
    <x v="3"/>
    <s v="Nashik"/>
    <x v="11"/>
    <x v="12"/>
    <x v="0"/>
    <n v="40"/>
    <x v="12"/>
    <n v="172"/>
    <x v="1421"/>
    <n v="438737600"/>
    <x v="1"/>
    <x v="0"/>
    <x v="1"/>
    <x v="2"/>
    <x v="6"/>
    <n v="7"/>
    <x v="18"/>
    <n v="2550800"/>
    <n v="43.87"/>
  </r>
  <r>
    <d v="2024-07-10T00:00:00"/>
    <x v="2"/>
    <s v="Kanpur"/>
    <x v="15"/>
    <x v="17"/>
    <x v="0"/>
    <n v="5"/>
    <x v="15"/>
    <n v="81"/>
    <x v="984"/>
    <n v="14296500"/>
    <x v="0"/>
    <x v="2"/>
    <x v="1"/>
    <x v="2"/>
    <x v="6"/>
    <n v="7"/>
    <x v="18"/>
    <n v="176500"/>
    <n v="1.43"/>
  </r>
  <r>
    <d v="2024-07-10T00:00:00"/>
    <x v="0"/>
    <s v="Nizamabad"/>
    <x v="5"/>
    <x v="5"/>
    <x v="2"/>
    <n v="30"/>
    <x v="5"/>
    <n v="63"/>
    <x v="1422"/>
    <n v="88092900"/>
    <x v="1"/>
    <x v="0"/>
    <x v="1"/>
    <x v="2"/>
    <x v="6"/>
    <n v="7"/>
    <x v="18"/>
    <n v="1398300"/>
    <n v="8.81"/>
  </r>
  <r>
    <d v="2024-07-10T00:00:00"/>
    <x v="10"/>
    <s v="Thiruvananthapuram"/>
    <x v="7"/>
    <x v="7"/>
    <x v="0"/>
    <n v="3"/>
    <x v="7"/>
    <n v="143"/>
    <x v="95"/>
    <n v="23266100"/>
    <x v="1"/>
    <x v="0"/>
    <x v="1"/>
    <x v="2"/>
    <x v="6"/>
    <n v="7"/>
    <x v="18"/>
    <n v="162700"/>
    <n v="2.33"/>
  </r>
  <r>
    <d v="2024-07-12T00:00:00"/>
    <x v="5"/>
    <s v="Mysuru"/>
    <x v="4"/>
    <x v="4"/>
    <x v="1"/>
    <n v="77"/>
    <x v="4"/>
    <n v="19"/>
    <x v="1423"/>
    <n v="86934500"/>
    <x v="0"/>
    <x v="2"/>
    <x v="1"/>
    <x v="2"/>
    <x v="6"/>
    <n v="7"/>
    <x v="18"/>
    <n v="4575500"/>
    <n v="8.69"/>
  </r>
  <r>
    <d v="2024-07-13T00:00:00"/>
    <x v="13"/>
    <s v="Gwalior"/>
    <x v="15"/>
    <x v="17"/>
    <x v="0"/>
    <n v="5"/>
    <x v="15"/>
    <n v="112"/>
    <x v="1424"/>
    <n v="18860800"/>
    <x v="1"/>
    <x v="0"/>
    <x v="1"/>
    <x v="2"/>
    <x v="6"/>
    <n v="7"/>
    <x v="18"/>
    <n v="168400"/>
    <n v="1.89"/>
  </r>
  <r>
    <d v="2024-07-13T00:00:00"/>
    <x v="3"/>
    <s v="Nashik"/>
    <x v="14"/>
    <x v="16"/>
    <x v="0"/>
    <n v="3"/>
    <x v="15"/>
    <n v="109"/>
    <x v="1425"/>
    <n v="17450900"/>
    <x v="1"/>
    <x v="2"/>
    <x v="1"/>
    <x v="2"/>
    <x v="6"/>
    <n v="7"/>
    <x v="18"/>
    <n v="160100"/>
    <n v="1.75"/>
  </r>
  <r>
    <d v="2024-07-13T00:00:00"/>
    <x v="4"/>
    <s v="Amritsar"/>
    <x v="11"/>
    <x v="12"/>
    <x v="0"/>
    <n v="40"/>
    <x v="12"/>
    <n v="110"/>
    <x v="1426"/>
    <n v="263956000"/>
    <x v="0"/>
    <x v="1"/>
    <x v="1"/>
    <x v="2"/>
    <x v="6"/>
    <n v="7"/>
    <x v="18"/>
    <n v="2399600"/>
    <n v="26.4"/>
  </r>
  <r>
    <d v="2024-07-14T00:00:00"/>
    <x v="5"/>
    <s v="Hubballi"/>
    <x v="6"/>
    <x v="6"/>
    <x v="0"/>
    <n v="72"/>
    <x v="6"/>
    <n v="131"/>
    <x v="1427"/>
    <n v="564714800"/>
    <x v="1"/>
    <x v="1"/>
    <x v="1"/>
    <x v="2"/>
    <x v="6"/>
    <n v="7"/>
    <x v="18"/>
    <n v="4310800"/>
    <n v="56.47"/>
  </r>
  <r>
    <d v="2024-07-14T00:00:00"/>
    <x v="3"/>
    <s v="Nashik"/>
    <x v="4"/>
    <x v="4"/>
    <x v="0"/>
    <n v="77"/>
    <x v="4"/>
    <n v="60"/>
    <x v="1428"/>
    <n v="322680000"/>
    <x v="1"/>
    <x v="0"/>
    <x v="1"/>
    <x v="2"/>
    <x v="6"/>
    <n v="7"/>
    <x v="18"/>
    <n v="5378000"/>
    <n v="32.270000000000003"/>
  </r>
  <r>
    <d v="2024-07-14T00:00:00"/>
    <x v="5"/>
    <s v="Hubballi"/>
    <x v="3"/>
    <x v="3"/>
    <x v="0"/>
    <n v="3"/>
    <x v="3"/>
    <n v="102"/>
    <x v="1429"/>
    <n v="12025800"/>
    <x v="1"/>
    <x v="2"/>
    <x v="1"/>
    <x v="2"/>
    <x v="6"/>
    <n v="7"/>
    <x v="18"/>
    <n v="117900"/>
    <n v="1.2"/>
  </r>
  <r>
    <d v="2024-07-14T00:00:00"/>
    <x v="1"/>
    <s v="Rohini"/>
    <x v="6"/>
    <x v="6"/>
    <x v="0"/>
    <n v="72"/>
    <x v="6"/>
    <n v="68"/>
    <x v="1430"/>
    <n v="358965200"/>
    <x v="1"/>
    <x v="0"/>
    <x v="1"/>
    <x v="2"/>
    <x v="6"/>
    <n v="7"/>
    <x v="18"/>
    <n v="5278900"/>
    <n v="35.9"/>
  </r>
  <r>
    <d v="2024-07-14T00:00:00"/>
    <x v="1"/>
    <s v="New Delhi"/>
    <x v="8"/>
    <x v="8"/>
    <x v="0"/>
    <n v="66"/>
    <x v="8"/>
    <n v="70"/>
    <x v="1431"/>
    <n v="384755000"/>
    <x v="0"/>
    <x v="0"/>
    <x v="1"/>
    <x v="2"/>
    <x v="6"/>
    <n v="7"/>
    <x v="18"/>
    <n v="5496500"/>
    <n v="38.479999999999997"/>
  </r>
  <r>
    <d v="2024-07-14T00:00:00"/>
    <x v="2"/>
    <s v="Noida"/>
    <x v="6"/>
    <x v="6"/>
    <x v="1"/>
    <n v="72"/>
    <x v="6"/>
    <n v="99"/>
    <x v="1432"/>
    <n v="496217700"/>
    <x v="0"/>
    <x v="0"/>
    <x v="1"/>
    <x v="2"/>
    <x v="6"/>
    <n v="7"/>
    <x v="18"/>
    <n v="5012300"/>
    <n v="49.62"/>
  </r>
  <r>
    <d v="2024-07-14T00:00:00"/>
    <x v="12"/>
    <s v="Hisar"/>
    <x v="15"/>
    <x v="17"/>
    <x v="0"/>
    <n v="5"/>
    <x v="15"/>
    <n v="174"/>
    <x v="146"/>
    <n v="25612800"/>
    <x v="1"/>
    <x v="2"/>
    <x v="1"/>
    <x v="2"/>
    <x v="6"/>
    <n v="7"/>
    <x v="18"/>
    <n v="147200"/>
    <n v="2.56"/>
  </r>
  <r>
    <d v="2024-07-15T00:00:00"/>
    <x v="3"/>
    <s v="Pune"/>
    <x v="1"/>
    <x v="1"/>
    <x v="0"/>
    <n v="4"/>
    <x v="1"/>
    <n v="148"/>
    <x v="46"/>
    <n v="23635600"/>
    <x v="1"/>
    <x v="2"/>
    <x v="1"/>
    <x v="2"/>
    <x v="6"/>
    <n v="7"/>
    <x v="18"/>
    <n v="159700"/>
    <n v="2.36"/>
  </r>
  <r>
    <d v="2024-07-15T00:00:00"/>
    <x v="10"/>
    <s v="Kozhikode"/>
    <x v="0"/>
    <x v="0"/>
    <x v="0"/>
    <n v="82"/>
    <x v="0"/>
    <n v="68"/>
    <x v="1433"/>
    <n v="474374800"/>
    <x v="1"/>
    <x v="1"/>
    <x v="1"/>
    <x v="2"/>
    <x v="6"/>
    <n v="7"/>
    <x v="18"/>
    <n v="6976100"/>
    <n v="47.44"/>
  </r>
  <r>
    <d v="2024-07-15T00:00:00"/>
    <x v="3"/>
    <s v="Pune"/>
    <x v="1"/>
    <x v="1"/>
    <x v="0"/>
    <n v="4"/>
    <x v="1"/>
    <n v="47"/>
    <x v="418"/>
    <n v="6674000"/>
    <x v="1"/>
    <x v="0"/>
    <x v="1"/>
    <x v="2"/>
    <x v="6"/>
    <n v="7"/>
    <x v="18"/>
    <n v="142000"/>
    <n v="0.67"/>
  </r>
  <r>
    <d v="2024-07-15T00:00:00"/>
    <x v="2"/>
    <s v="Kanpur"/>
    <x v="10"/>
    <x v="11"/>
    <x v="0"/>
    <n v="69"/>
    <x v="11"/>
    <n v="52"/>
    <x v="1434"/>
    <n v="290825600"/>
    <x v="1"/>
    <x v="2"/>
    <x v="1"/>
    <x v="2"/>
    <x v="6"/>
    <n v="7"/>
    <x v="18"/>
    <n v="5592800"/>
    <n v="29.08"/>
  </r>
  <r>
    <d v="2024-07-16T00:00:00"/>
    <x v="3"/>
    <s v="Nashik"/>
    <x v="14"/>
    <x v="16"/>
    <x v="0"/>
    <n v="3"/>
    <x v="15"/>
    <n v="39"/>
    <x v="132"/>
    <n v="5358600"/>
    <x v="1"/>
    <x v="1"/>
    <x v="1"/>
    <x v="2"/>
    <x v="6"/>
    <n v="7"/>
    <x v="18"/>
    <n v="137400"/>
    <n v="0.54"/>
  </r>
  <r>
    <d v="2024-07-16T00:00:00"/>
    <x v="5"/>
    <s v="Bengaluru"/>
    <x v="8"/>
    <x v="20"/>
    <x v="0"/>
    <n v="84"/>
    <x v="18"/>
    <n v="47"/>
    <x v="1435"/>
    <n v="400364800"/>
    <x v="1"/>
    <x v="1"/>
    <x v="1"/>
    <x v="2"/>
    <x v="6"/>
    <n v="7"/>
    <x v="18"/>
    <n v="8518400"/>
    <n v="40.04"/>
  </r>
  <r>
    <d v="2024-07-17T00:00:00"/>
    <x v="14"/>
    <s v="Kota"/>
    <x v="4"/>
    <x v="4"/>
    <x v="0"/>
    <n v="77"/>
    <x v="4"/>
    <n v="68"/>
    <x v="1436"/>
    <n v="390823200"/>
    <x v="1"/>
    <x v="2"/>
    <x v="1"/>
    <x v="2"/>
    <x v="6"/>
    <n v="7"/>
    <x v="18"/>
    <n v="5747400"/>
    <n v="39.08"/>
  </r>
  <r>
    <d v="2024-07-17T00:00:00"/>
    <x v="6"/>
    <s v="Vadodara"/>
    <x v="14"/>
    <x v="16"/>
    <x v="0"/>
    <n v="3"/>
    <x v="15"/>
    <n v="32"/>
    <x v="1386"/>
    <n v="4822400"/>
    <x v="1"/>
    <x v="0"/>
    <x v="1"/>
    <x v="2"/>
    <x v="6"/>
    <n v="7"/>
    <x v="18"/>
    <n v="150700"/>
    <n v="0.48"/>
  </r>
  <r>
    <d v="2024-07-18T00:00:00"/>
    <x v="8"/>
    <s v="Durgapur"/>
    <x v="15"/>
    <x v="17"/>
    <x v="0"/>
    <n v="5"/>
    <x v="15"/>
    <n v="159"/>
    <x v="1437"/>
    <n v="26918700"/>
    <x v="0"/>
    <x v="2"/>
    <x v="1"/>
    <x v="2"/>
    <x v="6"/>
    <n v="7"/>
    <x v="18"/>
    <n v="169300"/>
    <n v="2.69"/>
  </r>
  <r>
    <d v="2024-07-19T00:00:00"/>
    <x v="3"/>
    <s v="Pune"/>
    <x v="0"/>
    <x v="0"/>
    <x v="0"/>
    <n v="82"/>
    <x v="0"/>
    <n v="55"/>
    <x v="1438"/>
    <n v="423252500"/>
    <x v="1"/>
    <x v="0"/>
    <x v="1"/>
    <x v="2"/>
    <x v="6"/>
    <n v="7"/>
    <x v="18"/>
    <n v="7695500"/>
    <n v="42.33"/>
  </r>
  <r>
    <d v="2024-07-20T00:00:00"/>
    <x v="5"/>
    <s v="Hubballi"/>
    <x v="13"/>
    <x v="22"/>
    <x v="0"/>
    <n v="35"/>
    <x v="10"/>
    <n v="146"/>
    <x v="1439"/>
    <n v="259821600"/>
    <x v="1"/>
    <x v="2"/>
    <x v="1"/>
    <x v="2"/>
    <x v="6"/>
    <n v="7"/>
    <x v="18"/>
    <n v="1779600"/>
    <n v="25.98"/>
  </r>
  <r>
    <d v="2024-07-21T00:00:00"/>
    <x v="6"/>
    <s v="Ahmedabad"/>
    <x v="6"/>
    <x v="6"/>
    <x v="1"/>
    <n v="72"/>
    <x v="6"/>
    <n v="170"/>
    <x v="1440"/>
    <n v="853264000"/>
    <x v="1"/>
    <x v="3"/>
    <x v="1"/>
    <x v="2"/>
    <x v="6"/>
    <n v="7"/>
    <x v="18"/>
    <n v="5019200"/>
    <n v="85.33"/>
  </r>
  <r>
    <d v="2024-07-21T00:00:00"/>
    <x v="2"/>
    <s v="Ghaziabad"/>
    <x v="2"/>
    <x v="2"/>
    <x v="0"/>
    <n v="66"/>
    <x v="2"/>
    <n v="61"/>
    <x v="1441"/>
    <n v="571643200"/>
    <x v="1"/>
    <x v="0"/>
    <x v="1"/>
    <x v="2"/>
    <x v="6"/>
    <n v="7"/>
    <x v="18"/>
    <n v="9371200"/>
    <n v="57.16"/>
  </r>
  <r>
    <d v="2024-07-21T00:00:00"/>
    <x v="1"/>
    <s v="Rohini"/>
    <x v="5"/>
    <x v="5"/>
    <x v="2"/>
    <n v="30"/>
    <x v="5"/>
    <n v="53"/>
    <x v="1442"/>
    <n v="63859700"/>
    <x v="1"/>
    <x v="0"/>
    <x v="1"/>
    <x v="2"/>
    <x v="6"/>
    <n v="7"/>
    <x v="18"/>
    <n v="1204900"/>
    <n v="6.39"/>
  </r>
  <r>
    <d v="2024-07-22T00:00:00"/>
    <x v="3"/>
    <s v="Pune"/>
    <x v="10"/>
    <x v="11"/>
    <x v="3"/>
    <n v="69"/>
    <x v="11"/>
    <n v="37"/>
    <x v="1443"/>
    <n v="187109000"/>
    <x v="2"/>
    <x v="2"/>
    <x v="1"/>
    <x v="2"/>
    <x v="6"/>
    <n v="7"/>
    <x v="18"/>
    <n v="5057000"/>
    <n v="18.71"/>
  </r>
  <r>
    <d v="2024-07-22T00:00:00"/>
    <x v="3"/>
    <s v="Pune"/>
    <x v="0"/>
    <x v="0"/>
    <x v="2"/>
    <n v="82"/>
    <x v="0"/>
    <n v="58"/>
    <x v="1444"/>
    <n v="403656800"/>
    <x v="1"/>
    <x v="0"/>
    <x v="1"/>
    <x v="2"/>
    <x v="6"/>
    <n v="7"/>
    <x v="18"/>
    <n v="6959600"/>
    <n v="40.369999999999997"/>
  </r>
  <r>
    <d v="2024-07-22T00:00:00"/>
    <x v="1"/>
    <s v="Rohini"/>
    <x v="13"/>
    <x v="15"/>
    <x v="1"/>
    <n v="40"/>
    <x v="14"/>
    <n v="66"/>
    <x v="1445"/>
    <n v="172484400"/>
    <x v="1"/>
    <x v="0"/>
    <x v="1"/>
    <x v="2"/>
    <x v="6"/>
    <n v="7"/>
    <x v="18"/>
    <n v="2613400"/>
    <n v="17.25"/>
  </r>
  <r>
    <d v="2024-07-22T00:00:00"/>
    <x v="11"/>
    <s v="Chennai"/>
    <x v="5"/>
    <x v="5"/>
    <x v="0"/>
    <n v="30"/>
    <x v="5"/>
    <n v="57"/>
    <x v="1446"/>
    <n v="91097400"/>
    <x v="1"/>
    <x v="0"/>
    <x v="1"/>
    <x v="2"/>
    <x v="6"/>
    <n v="7"/>
    <x v="18"/>
    <n v="1598200"/>
    <n v="9.11"/>
  </r>
  <r>
    <d v="2024-07-22T00:00:00"/>
    <x v="13"/>
    <s v="Gwalior"/>
    <x v="10"/>
    <x v="11"/>
    <x v="0"/>
    <n v="69"/>
    <x v="11"/>
    <n v="28"/>
    <x v="1447"/>
    <n v="169176000"/>
    <x v="1"/>
    <x v="0"/>
    <x v="1"/>
    <x v="2"/>
    <x v="6"/>
    <n v="7"/>
    <x v="18"/>
    <n v="6042000"/>
    <n v="16.920000000000002"/>
  </r>
  <r>
    <d v="2024-07-23T00:00:00"/>
    <x v="14"/>
    <s v="Kota"/>
    <x v="14"/>
    <x v="16"/>
    <x v="0"/>
    <n v="3"/>
    <x v="15"/>
    <n v="16"/>
    <x v="1448"/>
    <n v="2220800"/>
    <x v="1"/>
    <x v="2"/>
    <x v="1"/>
    <x v="2"/>
    <x v="6"/>
    <n v="7"/>
    <x v="18"/>
    <n v="138800"/>
    <n v="0.22"/>
  </r>
  <r>
    <d v="2024-07-23T00:00:00"/>
    <x v="1"/>
    <s v="Dwarka"/>
    <x v="12"/>
    <x v="14"/>
    <x v="2"/>
    <n v="82"/>
    <x v="13"/>
    <n v="48"/>
    <x v="1449"/>
    <n v="248553600"/>
    <x v="1"/>
    <x v="0"/>
    <x v="1"/>
    <x v="2"/>
    <x v="6"/>
    <n v="7"/>
    <x v="18"/>
    <n v="5178200"/>
    <n v="24.86"/>
  </r>
  <r>
    <d v="2024-07-24T00:00:00"/>
    <x v="11"/>
    <s v="Coimbatore"/>
    <x v="10"/>
    <x v="11"/>
    <x v="0"/>
    <n v="69"/>
    <x v="11"/>
    <n v="66"/>
    <x v="1450"/>
    <n v="320324400"/>
    <x v="1"/>
    <x v="3"/>
    <x v="1"/>
    <x v="2"/>
    <x v="6"/>
    <n v="7"/>
    <x v="18"/>
    <n v="4853400"/>
    <n v="32.03"/>
  </r>
  <r>
    <d v="2024-07-25T00:00:00"/>
    <x v="1"/>
    <s v="New Delhi"/>
    <x v="12"/>
    <x v="18"/>
    <x v="0"/>
    <n v="60"/>
    <x v="16"/>
    <n v="22"/>
    <x v="1451"/>
    <n v="78953600"/>
    <x v="1"/>
    <x v="0"/>
    <x v="1"/>
    <x v="2"/>
    <x v="6"/>
    <n v="7"/>
    <x v="18"/>
    <n v="3588800"/>
    <n v="7.9"/>
  </r>
  <r>
    <d v="2024-07-25T00:00:00"/>
    <x v="10"/>
    <s v="Kozhikode"/>
    <x v="2"/>
    <x v="2"/>
    <x v="0"/>
    <n v="66"/>
    <x v="2"/>
    <n v="16"/>
    <x v="1452"/>
    <n v="143793600"/>
    <x v="0"/>
    <x v="1"/>
    <x v="1"/>
    <x v="2"/>
    <x v="6"/>
    <n v="7"/>
    <x v="18"/>
    <n v="8987100"/>
    <n v="14.38"/>
  </r>
  <r>
    <d v="2024-07-25T00:00:00"/>
    <x v="11"/>
    <s v="Madurai"/>
    <x v="13"/>
    <x v="19"/>
    <x v="1"/>
    <n v="24"/>
    <x v="17"/>
    <n v="152"/>
    <x v="1453"/>
    <n v="250176800"/>
    <x v="0"/>
    <x v="2"/>
    <x v="1"/>
    <x v="2"/>
    <x v="6"/>
    <n v="7"/>
    <x v="18"/>
    <n v="1645900"/>
    <n v="25.02"/>
  </r>
  <r>
    <d v="2024-07-26T00:00:00"/>
    <x v="2"/>
    <s v="Lucknow"/>
    <x v="2"/>
    <x v="2"/>
    <x v="0"/>
    <n v="66"/>
    <x v="2"/>
    <n v="67"/>
    <x v="1454"/>
    <n v="490017900"/>
    <x v="1"/>
    <x v="0"/>
    <x v="1"/>
    <x v="2"/>
    <x v="6"/>
    <n v="7"/>
    <x v="18"/>
    <n v="7313700"/>
    <n v="49"/>
  </r>
  <r>
    <d v="2024-07-27T00:00:00"/>
    <x v="5"/>
    <s v="Mysuru"/>
    <x v="2"/>
    <x v="2"/>
    <x v="0"/>
    <n v="66"/>
    <x v="2"/>
    <n v="23"/>
    <x v="1455"/>
    <n v="163421900"/>
    <x v="1"/>
    <x v="0"/>
    <x v="1"/>
    <x v="2"/>
    <x v="6"/>
    <n v="7"/>
    <x v="18"/>
    <n v="7105300"/>
    <n v="16.34"/>
  </r>
  <r>
    <d v="2024-07-28T00:00:00"/>
    <x v="7"/>
    <s v="Tirupati"/>
    <x v="1"/>
    <x v="21"/>
    <x v="0"/>
    <n v="3"/>
    <x v="19"/>
    <n v="15"/>
    <x v="451"/>
    <n v="1615500"/>
    <x v="1"/>
    <x v="0"/>
    <x v="1"/>
    <x v="2"/>
    <x v="6"/>
    <n v="7"/>
    <x v="18"/>
    <n v="107700"/>
    <n v="0.16"/>
  </r>
  <r>
    <d v="2024-07-28T00:00:00"/>
    <x v="14"/>
    <s v="Jodhpur"/>
    <x v="10"/>
    <x v="11"/>
    <x v="2"/>
    <n v="69"/>
    <x v="11"/>
    <n v="50"/>
    <x v="1456"/>
    <n v="267710000"/>
    <x v="0"/>
    <x v="1"/>
    <x v="1"/>
    <x v="2"/>
    <x v="6"/>
    <n v="7"/>
    <x v="18"/>
    <n v="5354200"/>
    <n v="26.77"/>
  </r>
  <r>
    <d v="2024-07-28T00:00:00"/>
    <x v="13"/>
    <s v="Indore"/>
    <x v="13"/>
    <x v="15"/>
    <x v="0"/>
    <n v="40"/>
    <x v="14"/>
    <n v="160"/>
    <x v="1457"/>
    <n v="385104000"/>
    <x v="1"/>
    <x v="2"/>
    <x v="1"/>
    <x v="2"/>
    <x v="6"/>
    <n v="7"/>
    <x v="18"/>
    <n v="2406900"/>
    <n v="38.51"/>
  </r>
  <r>
    <d v="2024-07-28T00:00:00"/>
    <x v="3"/>
    <s v="Nashik"/>
    <x v="6"/>
    <x v="13"/>
    <x v="1"/>
    <n v="48"/>
    <x v="12"/>
    <n v="11"/>
    <x v="1458"/>
    <n v="24382600"/>
    <x v="1"/>
    <x v="0"/>
    <x v="1"/>
    <x v="2"/>
    <x v="6"/>
    <n v="7"/>
    <x v="18"/>
    <n v="2216600"/>
    <n v="2.44"/>
  </r>
  <r>
    <d v="2024-07-29T00:00:00"/>
    <x v="13"/>
    <s v="Bhopal"/>
    <x v="3"/>
    <x v="3"/>
    <x v="0"/>
    <n v="3"/>
    <x v="3"/>
    <n v="25"/>
    <x v="1459"/>
    <n v="3082500"/>
    <x v="1"/>
    <x v="1"/>
    <x v="1"/>
    <x v="2"/>
    <x v="6"/>
    <n v="7"/>
    <x v="18"/>
    <n v="123300"/>
    <n v="0.31"/>
  </r>
  <r>
    <d v="2024-07-29T00:00:00"/>
    <x v="10"/>
    <s v="Kozhikode"/>
    <x v="4"/>
    <x v="4"/>
    <x v="1"/>
    <n v="77"/>
    <x v="4"/>
    <n v="47"/>
    <x v="1460"/>
    <n v="237133800"/>
    <x v="1"/>
    <x v="2"/>
    <x v="1"/>
    <x v="2"/>
    <x v="6"/>
    <n v="7"/>
    <x v="18"/>
    <n v="5045400"/>
    <n v="23.71"/>
  </r>
  <r>
    <d v="2024-07-29T00:00:00"/>
    <x v="7"/>
    <s v="Vijayawada"/>
    <x v="3"/>
    <x v="3"/>
    <x v="0"/>
    <n v="3"/>
    <x v="3"/>
    <n v="14"/>
    <x v="1461"/>
    <n v="1881600"/>
    <x v="1"/>
    <x v="2"/>
    <x v="1"/>
    <x v="2"/>
    <x v="6"/>
    <n v="7"/>
    <x v="18"/>
    <n v="134400"/>
    <n v="0.19"/>
  </r>
  <r>
    <d v="2024-07-30T00:00:00"/>
    <x v="6"/>
    <s v="Ahmedabad"/>
    <x v="12"/>
    <x v="14"/>
    <x v="0"/>
    <n v="82"/>
    <x v="13"/>
    <n v="59"/>
    <x v="1462"/>
    <n v="332116900"/>
    <x v="1"/>
    <x v="0"/>
    <x v="1"/>
    <x v="2"/>
    <x v="6"/>
    <n v="7"/>
    <x v="18"/>
    <n v="5629100"/>
    <n v="33.21"/>
  </r>
  <r>
    <d v="2024-07-31T00:00:00"/>
    <x v="6"/>
    <s v="Vadodara"/>
    <x v="6"/>
    <x v="13"/>
    <x v="0"/>
    <n v="48"/>
    <x v="12"/>
    <n v="64"/>
    <x v="1463"/>
    <n v="146976000"/>
    <x v="1"/>
    <x v="2"/>
    <x v="1"/>
    <x v="2"/>
    <x v="6"/>
    <n v="7"/>
    <x v="18"/>
    <n v="2296500"/>
    <n v="14.7"/>
  </r>
  <r>
    <d v="2024-08-01T00:00:00"/>
    <x v="3"/>
    <s v="Nashik"/>
    <x v="2"/>
    <x v="2"/>
    <x v="0"/>
    <n v="66"/>
    <x v="2"/>
    <n v="12"/>
    <x v="1464"/>
    <n v="97569600"/>
    <x v="1"/>
    <x v="2"/>
    <x v="1"/>
    <x v="2"/>
    <x v="7"/>
    <n v="8"/>
    <x v="19"/>
    <n v="8130800"/>
    <n v="9.76"/>
  </r>
  <r>
    <d v="2024-08-02T00:00:00"/>
    <x v="7"/>
    <s v="Visakhapatnam"/>
    <x v="7"/>
    <x v="7"/>
    <x v="0"/>
    <n v="3"/>
    <x v="7"/>
    <n v="172"/>
    <x v="1465"/>
    <n v="27107200"/>
    <x v="1"/>
    <x v="1"/>
    <x v="1"/>
    <x v="2"/>
    <x v="7"/>
    <n v="8"/>
    <x v="19"/>
    <n v="157600"/>
    <n v="2.71"/>
  </r>
  <r>
    <d v="2024-08-03T00:00:00"/>
    <x v="3"/>
    <s v="Mumbai"/>
    <x v="12"/>
    <x v="14"/>
    <x v="0"/>
    <n v="82"/>
    <x v="13"/>
    <n v="64"/>
    <x v="1466"/>
    <n v="356864000"/>
    <x v="1"/>
    <x v="0"/>
    <x v="1"/>
    <x v="2"/>
    <x v="7"/>
    <n v="8"/>
    <x v="19"/>
    <n v="5576000"/>
    <n v="35.69"/>
  </r>
  <r>
    <d v="2024-08-03T00:00:00"/>
    <x v="14"/>
    <s v="Udaipur"/>
    <x v="12"/>
    <x v="18"/>
    <x v="0"/>
    <n v="60"/>
    <x v="16"/>
    <n v="72"/>
    <x v="1467"/>
    <n v="247341600"/>
    <x v="1"/>
    <x v="0"/>
    <x v="1"/>
    <x v="2"/>
    <x v="7"/>
    <n v="8"/>
    <x v="19"/>
    <n v="3435300"/>
    <n v="24.73"/>
  </r>
  <r>
    <d v="2024-08-03T00:00:00"/>
    <x v="1"/>
    <s v="Saket"/>
    <x v="15"/>
    <x v="17"/>
    <x v="0"/>
    <n v="5"/>
    <x v="15"/>
    <n v="48"/>
    <x v="1468"/>
    <n v="8275200"/>
    <x v="1"/>
    <x v="0"/>
    <x v="1"/>
    <x v="2"/>
    <x v="7"/>
    <n v="8"/>
    <x v="19"/>
    <n v="172400"/>
    <n v="0.83"/>
  </r>
  <r>
    <d v="2024-08-03T00:00:00"/>
    <x v="6"/>
    <s v="Ahmedabad"/>
    <x v="3"/>
    <x v="3"/>
    <x v="0"/>
    <n v="3"/>
    <x v="3"/>
    <n v="103"/>
    <x v="1469"/>
    <n v="12020100"/>
    <x v="1"/>
    <x v="2"/>
    <x v="1"/>
    <x v="2"/>
    <x v="7"/>
    <n v="8"/>
    <x v="19"/>
    <n v="116700"/>
    <n v="1.2"/>
  </r>
  <r>
    <d v="2024-08-03T00:00:00"/>
    <x v="8"/>
    <s v="Kolkata"/>
    <x v="3"/>
    <x v="3"/>
    <x v="0"/>
    <n v="3"/>
    <x v="3"/>
    <n v="13"/>
    <x v="1470"/>
    <n v="1595100"/>
    <x v="2"/>
    <x v="0"/>
    <x v="1"/>
    <x v="2"/>
    <x v="7"/>
    <n v="8"/>
    <x v="19"/>
    <n v="122700"/>
    <n v="0.16"/>
  </r>
  <r>
    <d v="2024-08-03T00:00:00"/>
    <x v="3"/>
    <s v="Nagpur"/>
    <x v="2"/>
    <x v="2"/>
    <x v="1"/>
    <n v="66"/>
    <x v="2"/>
    <n v="61"/>
    <x v="1471"/>
    <n v="471304300"/>
    <x v="1"/>
    <x v="2"/>
    <x v="1"/>
    <x v="2"/>
    <x v="7"/>
    <n v="8"/>
    <x v="19"/>
    <n v="7726300"/>
    <n v="47.13"/>
  </r>
  <r>
    <d v="2024-08-03T00:00:00"/>
    <x v="1"/>
    <s v="Rohini"/>
    <x v="11"/>
    <x v="23"/>
    <x v="0"/>
    <n v="59"/>
    <x v="20"/>
    <n v="128"/>
    <x v="1472"/>
    <n v="380992000"/>
    <x v="1"/>
    <x v="0"/>
    <x v="1"/>
    <x v="2"/>
    <x v="7"/>
    <n v="8"/>
    <x v="19"/>
    <n v="2976500"/>
    <n v="38.1"/>
  </r>
  <r>
    <d v="2024-08-03T00:00:00"/>
    <x v="13"/>
    <s v="Bhopal"/>
    <x v="14"/>
    <x v="16"/>
    <x v="0"/>
    <n v="3"/>
    <x v="15"/>
    <n v="102"/>
    <x v="632"/>
    <n v="14565600"/>
    <x v="1"/>
    <x v="0"/>
    <x v="1"/>
    <x v="2"/>
    <x v="7"/>
    <n v="8"/>
    <x v="19"/>
    <n v="142800"/>
    <n v="1.46"/>
  </r>
  <r>
    <d v="2024-08-04T00:00:00"/>
    <x v="2"/>
    <s v="Kanpur"/>
    <x v="6"/>
    <x v="13"/>
    <x v="0"/>
    <n v="48"/>
    <x v="12"/>
    <n v="72"/>
    <x v="1473"/>
    <n v="186134400"/>
    <x v="0"/>
    <x v="2"/>
    <x v="1"/>
    <x v="2"/>
    <x v="7"/>
    <n v="8"/>
    <x v="19"/>
    <n v="2585200"/>
    <n v="18.61"/>
  </r>
  <r>
    <d v="2024-08-04T00:00:00"/>
    <x v="1"/>
    <s v="Dwarka"/>
    <x v="11"/>
    <x v="23"/>
    <x v="0"/>
    <n v="59"/>
    <x v="20"/>
    <n v="61"/>
    <x v="1474"/>
    <n v="188056900"/>
    <x v="0"/>
    <x v="2"/>
    <x v="1"/>
    <x v="2"/>
    <x v="7"/>
    <n v="8"/>
    <x v="19"/>
    <n v="3082900"/>
    <n v="18.809999999999999"/>
  </r>
  <r>
    <d v="2024-08-04T00:00:00"/>
    <x v="3"/>
    <s v="Mumbai"/>
    <x v="12"/>
    <x v="14"/>
    <x v="0"/>
    <n v="82"/>
    <x v="13"/>
    <n v="76"/>
    <x v="1475"/>
    <n v="465902800"/>
    <x v="1"/>
    <x v="0"/>
    <x v="1"/>
    <x v="2"/>
    <x v="7"/>
    <n v="8"/>
    <x v="19"/>
    <n v="6130300"/>
    <n v="46.59"/>
  </r>
  <r>
    <d v="2024-08-04T00:00:00"/>
    <x v="0"/>
    <s v="Nizamabad"/>
    <x v="12"/>
    <x v="18"/>
    <x v="2"/>
    <n v="60"/>
    <x v="16"/>
    <n v="61"/>
    <x v="1476"/>
    <n v="177796700"/>
    <x v="0"/>
    <x v="2"/>
    <x v="1"/>
    <x v="2"/>
    <x v="7"/>
    <n v="8"/>
    <x v="19"/>
    <n v="2914700"/>
    <n v="17.78"/>
  </r>
  <r>
    <d v="2024-08-05T00:00:00"/>
    <x v="11"/>
    <s v="Salem"/>
    <x v="7"/>
    <x v="7"/>
    <x v="0"/>
    <n v="3"/>
    <x v="7"/>
    <n v="89"/>
    <x v="174"/>
    <n v="15681800"/>
    <x v="1"/>
    <x v="2"/>
    <x v="1"/>
    <x v="2"/>
    <x v="7"/>
    <n v="8"/>
    <x v="19"/>
    <n v="176200"/>
    <n v="1.57"/>
  </r>
  <r>
    <d v="2024-08-06T00:00:00"/>
    <x v="10"/>
    <s v="Kochi"/>
    <x v="14"/>
    <x v="16"/>
    <x v="0"/>
    <n v="3"/>
    <x v="15"/>
    <n v="54"/>
    <x v="43"/>
    <n v="8240400"/>
    <x v="1"/>
    <x v="0"/>
    <x v="1"/>
    <x v="2"/>
    <x v="7"/>
    <n v="8"/>
    <x v="19"/>
    <n v="152600"/>
    <n v="0.82"/>
  </r>
  <r>
    <d v="2024-08-06T00:00:00"/>
    <x v="8"/>
    <s v="Durgapur"/>
    <x v="10"/>
    <x v="11"/>
    <x v="0"/>
    <n v="69"/>
    <x v="11"/>
    <n v="64"/>
    <x v="1477"/>
    <n v="358867200"/>
    <x v="2"/>
    <x v="2"/>
    <x v="1"/>
    <x v="2"/>
    <x v="7"/>
    <n v="8"/>
    <x v="19"/>
    <n v="5607300"/>
    <n v="35.89"/>
  </r>
  <r>
    <d v="2024-08-06T00:00:00"/>
    <x v="4"/>
    <s v="Amritsar"/>
    <x v="5"/>
    <x v="5"/>
    <x v="0"/>
    <n v="30"/>
    <x v="5"/>
    <n v="76"/>
    <x v="1478"/>
    <n v="99962800"/>
    <x v="1"/>
    <x v="0"/>
    <x v="1"/>
    <x v="2"/>
    <x v="7"/>
    <n v="8"/>
    <x v="19"/>
    <n v="1315300"/>
    <n v="10"/>
  </r>
  <r>
    <d v="2024-08-06T00:00:00"/>
    <x v="4"/>
    <s v="Jalandhar"/>
    <x v="11"/>
    <x v="12"/>
    <x v="0"/>
    <n v="40"/>
    <x v="12"/>
    <n v="84"/>
    <x v="1479"/>
    <n v="184010400"/>
    <x v="0"/>
    <x v="0"/>
    <x v="1"/>
    <x v="2"/>
    <x v="7"/>
    <n v="8"/>
    <x v="19"/>
    <n v="2190600"/>
    <n v="18.399999999999999"/>
  </r>
  <r>
    <d v="2024-08-07T00:00:00"/>
    <x v="5"/>
    <s v="Mangaluru"/>
    <x v="3"/>
    <x v="3"/>
    <x v="0"/>
    <n v="3"/>
    <x v="3"/>
    <n v="25"/>
    <x v="1480"/>
    <n v="3492500"/>
    <x v="1"/>
    <x v="0"/>
    <x v="1"/>
    <x v="2"/>
    <x v="7"/>
    <n v="8"/>
    <x v="19"/>
    <n v="139700"/>
    <n v="0.35"/>
  </r>
  <r>
    <d v="2024-08-07T00:00:00"/>
    <x v="3"/>
    <s v="Nashik"/>
    <x v="10"/>
    <x v="11"/>
    <x v="0"/>
    <n v="69"/>
    <x v="11"/>
    <n v="14"/>
    <x v="1481"/>
    <n v="84327600"/>
    <x v="2"/>
    <x v="1"/>
    <x v="1"/>
    <x v="2"/>
    <x v="7"/>
    <n v="8"/>
    <x v="19"/>
    <n v="6023400"/>
    <n v="8.43"/>
  </r>
  <r>
    <d v="2024-08-07T00:00:00"/>
    <x v="5"/>
    <s v="Hubballi"/>
    <x v="0"/>
    <x v="0"/>
    <x v="3"/>
    <n v="82"/>
    <x v="0"/>
    <n v="20"/>
    <x v="1482"/>
    <n v="139798000"/>
    <x v="2"/>
    <x v="2"/>
    <x v="1"/>
    <x v="2"/>
    <x v="7"/>
    <n v="8"/>
    <x v="19"/>
    <n v="6989900"/>
    <n v="13.98"/>
  </r>
  <r>
    <d v="2024-08-08T00:00:00"/>
    <x v="6"/>
    <s v="Surat"/>
    <x v="3"/>
    <x v="3"/>
    <x v="0"/>
    <n v="3"/>
    <x v="3"/>
    <n v="111"/>
    <x v="1483"/>
    <n v="11743800"/>
    <x v="1"/>
    <x v="2"/>
    <x v="1"/>
    <x v="2"/>
    <x v="7"/>
    <n v="8"/>
    <x v="19"/>
    <n v="105800"/>
    <n v="1.17"/>
  </r>
  <r>
    <d v="2024-08-09T00:00:00"/>
    <x v="1"/>
    <s v="Rohini"/>
    <x v="2"/>
    <x v="2"/>
    <x v="0"/>
    <n v="66"/>
    <x v="2"/>
    <n v="29"/>
    <x v="1484"/>
    <n v="233708100"/>
    <x v="1"/>
    <x v="0"/>
    <x v="1"/>
    <x v="2"/>
    <x v="7"/>
    <n v="8"/>
    <x v="19"/>
    <n v="8058900"/>
    <n v="23.37"/>
  </r>
  <r>
    <d v="2024-08-09T00:00:00"/>
    <x v="6"/>
    <s v="Ahmedabad"/>
    <x v="7"/>
    <x v="7"/>
    <x v="0"/>
    <n v="3"/>
    <x v="7"/>
    <n v="112"/>
    <x v="1354"/>
    <n v="16542400"/>
    <x v="1"/>
    <x v="1"/>
    <x v="1"/>
    <x v="2"/>
    <x v="7"/>
    <n v="8"/>
    <x v="19"/>
    <n v="147700"/>
    <n v="1.65"/>
  </r>
  <r>
    <d v="2024-08-10T00:00:00"/>
    <x v="3"/>
    <s v="Nashik"/>
    <x v="1"/>
    <x v="21"/>
    <x v="0"/>
    <n v="3"/>
    <x v="19"/>
    <n v="29"/>
    <x v="329"/>
    <n v="3546700"/>
    <x v="1"/>
    <x v="2"/>
    <x v="1"/>
    <x v="2"/>
    <x v="7"/>
    <n v="8"/>
    <x v="19"/>
    <n v="122300"/>
    <n v="0.35"/>
  </r>
  <r>
    <d v="2024-08-11T00:00:00"/>
    <x v="13"/>
    <s v="Gwalior"/>
    <x v="0"/>
    <x v="0"/>
    <x v="2"/>
    <n v="82"/>
    <x v="0"/>
    <n v="24"/>
    <x v="1485"/>
    <n v="140541600"/>
    <x v="0"/>
    <x v="1"/>
    <x v="1"/>
    <x v="2"/>
    <x v="7"/>
    <n v="8"/>
    <x v="19"/>
    <n v="5855900"/>
    <n v="14.05"/>
  </r>
  <r>
    <d v="2024-08-11T00:00:00"/>
    <x v="5"/>
    <s v="Hubballi"/>
    <x v="13"/>
    <x v="22"/>
    <x v="0"/>
    <n v="35"/>
    <x v="10"/>
    <n v="101"/>
    <x v="1486"/>
    <n v="194394700"/>
    <x v="0"/>
    <x v="2"/>
    <x v="1"/>
    <x v="2"/>
    <x v="7"/>
    <n v="8"/>
    <x v="19"/>
    <n v="1924700"/>
    <n v="19.440000000000001"/>
  </r>
  <r>
    <d v="2024-08-11T00:00:00"/>
    <x v="2"/>
    <s v="Kanpur"/>
    <x v="7"/>
    <x v="7"/>
    <x v="0"/>
    <n v="3"/>
    <x v="7"/>
    <n v="174"/>
    <x v="1487"/>
    <n v="32311800"/>
    <x v="1"/>
    <x v="0"/>
    <x v="1"/>
    <x v="2"/>
    <x v="7"/>
    <n v="8"/>
    <x v="19"/>
    <n v="185700"/>
    <n v="3.23"/>
  </r>
  <r>
    <d v="2024-08-11T00:00:00"/>
    <x v="0"/>
    <s v="Nizamabad"/>
    <x v="1"/>
    <x v="21"/>
    <x v="0"/>
    <n v="3"/>
    <x v="19"/>
    <n v="141"/>
    <x v="1488"/>
    <n v="16327800"/>
    <x v="2"/>
    <x v="1"/>
    <x v="1"/>
    <x v="2"/>
    <x v="7"/>
    <n v="8"/>
    <x v="19"/>
    <n v="115800"/>
    <n v="1.63"/>
  </r>
  <r>
    <d v="2024-08-12T00:00:00"/>
    <x v="3"/>
    <s v="Nagpur"/>
    <x v="11"/>
    <x v="12"/>
    <x v="0"/>
    <n v="40"/>
    <x v="12"/>
    <n v="89"/>
    <x v="1489"/>
    <n v="172588800"/>
    <x v="1"/>
    <x v="0"/>
    <x v="1"/>
    <x v="2"/>
    <x v="7"/>
    <n v="8"/>
    <x v="19"/>
    <n v="1939200"/>
    <n v="17.260000000000002"/>
  </r>
  <r>
    <d v="2024-08-12T00:00:00"/>
    <x v="0"/>
    <s v="Hyderabad"/>
    <x v="3"/>
    <x v="3"/>
    <x v="0"/>
    <n v="3"/>
    <x v="3"/>
    <n v="103"/>
    <x v="132"/>
    <n v="14152200"/>
    <x v="1"/>
    <x v="0"/>
    <x v="1"/>
    <x v="2"/>
    <x v="7"/>
    <n v="8"/>
    <x v="19"/>
    <n v="137400"/>
    <n v="1.42"/>
  </r>
  <r>
    <d v="2024-08-12T00:00:00"/>
    <x v="6"/>
    <s v="Surat"/>
    <x v="0"/>
    <x v="0"/>
    <x v="1"/>
    <n v="82"/>
    <x v="0"/>
    <n v="12"/>
    <x v="1490"/>
    <n v="86190000"/>
    <x v="1"/>
    <x v="0"/>
    <x v="1"/>
    <x v="2"/>
    <x v="7"/>
    <n v="8"/>
    <x v="19"/>
    <n v="7182500"/>
    <n v="8.6199999999999992"/>
  </r>
  <r>
    <d v="2024-08-12T00:00:00"/>
    <x v="5"/>
    <s v="Mangaluru"/>
    <x v="9"/>
    <x v="10"/>
    <x v="0"/>
    <n v="25"/>
    <x v="10"/>
    <n v="165"/>
    <x v="1491"/>
    <n v="171105000"/>
    <x v="1"/>
    <x v="0"/>
    <x v="1"/>
    <x v="2"/>
    <x v="7"/>
    <n v="8"/>
    <x v="19"/>
    <n v="1037000"/>
    <n v="17.11"/>
  </r>
  <r>
    <d v="2024-08-13T00:00:00"/>
    <x v="10"/>
    <s v="Kozhikode"/>
    <x v="6"/>
    <x v="6"/>
    <x v="2"/>
    <n v="72"/>
    <x v="6"/>
    <n v="94"/>
    <x v="1492"/>
    <n v="439478200"/>
    <x v="2"/>
    <x v="3"/>
    <x v="1"/>
    <x v="2"/>
    <x v="7"/>
    <n v="8"/>
    <x v="19"/>
    <n v="4675300"/>
    <n v="43.95"/>
  </r>
  <r>
    <d v="2024-08-14T00:00:00"/>
    <x v="2"/>
    <s v="Noida"/>
    <x v="1"/>
    <x v="1"/>
    <x v="0"/>
    <n v="4"/>
    <x v="1"/>
    <n v="47"/>
    <x v="1493"/>
    <n v="6857300"/>
    <x v="1"/>
    <x v="1"/>
    <x v="1"/>
    <x v="2"/>
    <x v="7"/>
    <n v="8"/>
    <x v="19"/>
    <n v="145900"/>
    <n v="0.69"/>
  </r>
  <r>
    <d v="2024-08-14T00:00:00"/>
    <x v="2"/>
    <s v="Kanpur"/>
    <x v="5"/>
    <x v="5"/>
    <x v="0"/>
    <n v="30"/>
    <x v="5"/>
    <n v="65"/>
    <x v="1494"/>
    <n v="104123500"/>
    <x v="1"/>
    <x v="0"/>
    <x v="1"/>
    <x v="2"/>
    <x v="7"/>
    <n v="8"/>
    <x v="19"/>
    <n v="1601900"/>
    <n v="10.41"/>
  </r>
  <r>
    <d v="2024-08-15T00:00:00"/>
    <x v="2"/>
    <s v="Lucknow"/>
    <x v="2"/>
    <x v="2"/>
    <x v="0"/>
    <n v="66"/>
    <x v="2"/>
    <n v="15"/>
    <x v="1495"/>
    <n v="105879000"/>
    <x v="1"/>
    <x v="2"/>
    <x v="1"/>
    <x v="2"/>
    <x v="7"/>
    <n v="8"/>
    <x v="19"/>
    <n v="7058600"/>
    <n v="10.59"/>
  </r>
  <r>
    <d v="2024-08-15T00:00:00"/>
    <x v="3"/>
    <s v="Nashik"/>
    <x v="3"/>
    <x v="3"/>
    <x v="0"/>
    <n v="3"/>
    <x v="3"/>
    <n v="102"/>
    <x v="37"/>
    <n v="12158400"/>
    <x v="0"/>
    <x v="2"/>
    <x v="1"/>
    <x v="2"/>
    <x v="7"/>
    <n v="8"/>
    <x v="19"/>
    <n v="119200"/>
    <n v="1.22"/>
  </r>
  <r>
    <d v="2024-08-15T00:00:00"/>
    <x v="2"/>
    <s v="Kanpur"/>
    <x v="8"/>
    <x v="20"/>
    <x v="0"/>
    <n v="84"/>
    <x v="18"/>
    <n v="21"/>
    <x v="1496"/>
    <n v="144994500"/>
    <x v="1"/>
    <x v="3"/>
    <x v="1"/>
    <x v="2"/>
    <x v="7"/>
    <n v="8"/>
    <x v="19"/>
    <n v="6904500"/>
    <n v="14.5"/>
  </r>
  <r>
    <d v="2024-08-16T00:00:00"/>
    <x v="4"/>
    <s v="Amritsar"/>
    <x v="10"/>
    <x v="11"/>
    <x v="0"/>
    <n v="69"/>
    <x v="11"/>
    <n v="16"/>
    <x v="1497"/>
    <n v="86441600"/>
    <x v="1"/>
    <x v="1"/>
    <x v="1"/>
    <x v="2"/>
    <x v="7"/>
    <n v="8"/>
    <x v="19"/>
    <n v="5402600"/>
    <n v="8.64"/>
  </r>
  <r>
    <d v="2024-08-16T00:00:00"/>
    <x v="4"/>
    <s v="Ludhiana"/>
    <x v="7"/>
    <x v="7"/>
    <x v="0"/>
    <n v="3"/>
    <x v="7"/>
    <n v="174"/>
    <x v="274"/>
    <n v="32451000"/>
    <x v="2"/>
    <x v="0"/>
    <x v="1"/>
    <x v="2"/>
    <x v="7"/>
    <n v="8"/>
    <x v="19"/>
    <n v="186500"/>
    <n v="3.25"/>
  </r>
  <r>
    <d v="2024-08-17T00:00:00"/>
    <x v="3"/>
    <s v="Nashik"/>
    <x v="5"/>
    <x v="5"/>
    <x v="0"/>
    <n v="30"/>
    <x v="5"/>
    <n v="23"/>
    <x v="1498"/>
    <n v="37777500"/>
    <x v="1"/>
    <x v="0"/>
    <x v="1"/>
    <x v="2"/>
    <x v="7"/>
    <n v="8"/>
    <x v="19"/>
    <n v="1642500"/>
    <n v="3.78"/>
  </r>
  <r>
    <d v="2024-08-17T00:00:00"/>
    <x v="0"/>
    <s v="Warangal"/>
    <x v="4"/>
    <x v="4"/>
    <x v="1"/>
    <n v="77"/>
    <x v="4"/>
    <n v="38"/>
    <x v="1499"/>
    <n v="184668600"/>
    <x v="1"/>
    <x v="1"/>
    <x v="1"/>
    <x v="2"/>
    <x v="7"/>
    <n v="8"/>
    <x v="19"/>
    <n v="4859700"/>
    <n v="18.47"/>
  </r>
  <r>
    <d v="2024-08-18T00:00:00"/>
    <x v="0"/>
    <s v="Nizamabad"/>
    <x v="14"/>
    <x v="16"/>
    <x v="0"/>
    <n v="3"/>
    <x v="15"/>
    <n v="170"/>
    <x v="1500"/>
    <n v="23290000"/>
    <x v="0"/>
    <x v="0"/>
    <x v="1"/>
    <x v="2"/>
    <x v="7"/>
    <n v="8"/>
    <x v="19"/>
    <n v="137000"/>
    <n v="2.33"/>
  </r>
  <r>
    <d v="2024-08-18T00:00:00"/>
    <x v="10"/>
    <s v="Thiruvananthapuram"/>
    <x v="0"/>
    <x v="0"/>
    <x v="2"/>
    <n v="82"/>
    <x v="0"/>
    <n v="46"/>
    <x v="1501"/>
    <n v="325371800"/>
    <x v="1"/>
    <x v="0"/>
    <x v="1"/>
    <x v="2"/>
    <x v="7"/>
    <n v="8"/>
    <x v="19"/>
    <n v="7073300"/>
    <n v="32.54"/>
  </r>
  <r>
    <d v="2024-08-18T00:00:00"/>
    <x v="6"/>
    <s v="Rajkot"/>
    <x v="0"/>
    <x v="0"/>
    <x v="3"/>
    <n v="82"/>
    <x v="0"/>
    <n v="64"/>
    <x v="1502"/>
    <n v="406540800"/>
    <x v="1"/>
    <x v="0"/>
    <x v="1"/>
    <x v="2"/>
    <x v="7"/>
    <n v="8"/>
    <x v="19"/>
    <n v="6352200"/>
    <n v="40.65"/>
  </r>
  <r>
    <d v="2024-08-19T00:00:00"/>
    <x v="12"/>
    <s v="Gurugram"/>
    <x v="8"/>
    <x v="8"/>
    <x v="0"/>
    <n v="66"/>
    <x v="8"/>
    <n v="45"/>
    <x v="1503"/>
    <n v="292041000"/>
    <x v="1"/>
    <x v="0"/>
    <x v="1"/>
    <x v="2"/>
    <x v="7"/>
    <n v="8"/>
    <x v="19"/>
    <n v="6489800"/>
    <n v="29.2"/>
  </r>
  <r>
    <d v="2024-08-19T00:00:00"/>
    <x v="6"/>
    <s v="Surat"/>
    <x v="11"/>
    <x v="23"/>
    <x v="0"/>
    <n v="59"/>
    <x v="20"/>
    <n v="96"/>
    <x v="1504"/>
    <n v="267283200"/>
    <x v="1"/>
    <x v="2"/>
    <x v="1"/>
    <x v="2"/>
    <x v="7"/>
    <n v="8"/>
    <x v="19"/>
    <n v="2784200"/>
    <n v="26.73"/>
  </r>
  <r>
    <d v="2024-08-20T00:00:00"/>
    <x v="7"/>
    <s v="Vijayawada"/>
    <x v="8"/>
    <x v="20"/>
    <x v="2"/>
    <n v="84"/>
    <x v="18"/>
    <n v="23"/>
    <x v="1505"/>
    <n v="162554800"/>
    <x v="1"/>
    <x v="0"/>
    <x v="1"/>
    <x v="2"/>
    <x v="7"/>
    <n v="8"/>
    <x v="19"/>
    <n v="7067600"/>
    <n v="16.260000000000002"/>
  </r>
  <r>
    <d v="2024-08-20T00:00:00"/>
    <x v="4"/>
    <s v="Amritsar"/>
    <x v="4"/>
    <x v="4"/>
    <x v="0"/>
    <n v="77"/>
    <x v="4"/>
    <n v="76"/>
    <x v="1506"/>
    <n v="408340400"/>
    <x v="1"/>
    <x v="0"/>
    <x v="1"/>
    <x v="2"/>
    <x v="7"/>
    <n v="8"/>
    <x v="19"/>
    <n v="5372900"/>
    <n v="40.83"/>
  </r>
  <r>
    <d v="2024-08-21T00:00:00"/>
    <x v="6"/>
    <s v="Vadodara"/>
    <x v="9"/>
    <x v="9"/>
    <x v="0"/>
    <n v="50"/>
    <x v="9"/>
    <n v="82"/>
    <x v="1507"/>
    <n v="183975200"/>
    <x v="1"/>
    <x v="2"/>
    <x v="1"/>
    <x v="2"/>
    <x v="7"/>
    <n v="8"/>
    <x v="19"/>
    <n v="2243600"/>
    <n v="18.399999999999999"/>
  </r>
  <r>
    <d v="2024-08-21T00:00:00"/>
    <x v="12"/>
    <s v="Faridabad"/>
    <x v="2"/>
    <x v="2"/>
    <x v="0"/>
    <n v="66"/>
    <x v="2"/>
    <n v="70"/>
    <x v="1508"/>
    <n v="534156000"/>
    <x v="1"/>
    <x v="0"/>
    <x v="1"/>
    <x v="2"/>
    <x v="7"/>
    <n v="8"/>
    <x v="19"/>
    <n v="7630800"/>
    <n v="53.42"/>
  </r>
  <r>
    <d v="2024-08-21T00:00:00"/>
    <x v="3"/>
    <s v="Nashik"/>
    <x v="15"/>
    <x v="17"/>
    <x v="0"/>
    <n v="5"/>
    <x v="15"/>
    <n v="147"/>
    <x v="1509"/>
    <n v="20785800"/>
    <x v="1"/>
    <x v="0"/>
    <x v="1"/>
    <x v="2"/>
    <x v="7"/>
    <n v="8"/>
    <x v="19"/>
    <n v="141400"/>
    <n v="2.08"/>
  </r>
  <r>
    <d v="2024-08-22T00:00:00"/>
    <x v="3"/>
    <s v="Nashik"/>
    <x v="0"/>
    <x v="0"/>
    <x v="0"/>
    <n v="82"/>
    <x v="0"/>
    <n v="11"/>
    <x v="1510"/>
    <n v="65214600"/>
    <x v="1"/>
    <x v="0"/>
    <x v="1"/>
    <x v="2"/>
    <x v="7"/>
    <n v="8"/>
    <x v="19"/>
    <n v="5928600"/>
    <n v="6.52"/>
  </r>
  <r>
    <d v="2024-08-22T00:00:00"/>
    <x v="6"/>
    <s v="Rajkot"/>
    <x v="10"/>
    <x v="11"/>
    <x v="2"/>
    <n v="69"/>
    <x v="11"/>
    <n v="6"/>
    <x v="1511"/>
    <n v="35332200"/>
    <x v="1"/>
    <x v="2"/>
    <x v="1"/>
    <x v="2"/>
    <x v="7"/>
    <n v="8"/>
    <x v="19"/>
    <n v="5888700"/>
    <n v="3.53"/>
  </r>
  <r>
    <d v="2024-08-22T00:00:00"/>
    <x v="5"/>
    <s v="Bengaluru"/>
    <x v="8"/>
    <x v="8"/>
    <x v="0"/>
    <n v="66"/>
    <x v="8"/>
    <n v="58"/>
    <x v="1512"/>
    <n v="310740800"/>
    <x v="1"/>
    <x v="2"/>
    <x v="1"/>
    <x v="2"/>
    <x v="7"/>
    <n v="8"/>
    <x v="19"/>
    <n v="5357600"/>
    <n v="31.07"/>
  </r>
  <r>
    <d v="2024-08-22T00:00:00"/>
    <x v="6"/>
    <s v="Surat"/>
    <x v="6"/>
    <x v="6"/>
    <x v="0"/>
    <n v="72"/>
    <x v="6"/>
    <n v="80"/>
    <x v="1513"/>
    <n v="402712000"/>
    <x v="1"/>
    <x v="0"/>
    <x v="1"/>
    <x v="2"/>
    <x v="7"/>
    <n v="8"/>
    <x v="19"/>
    <n v="5033900"/>
    <n v="40.270000000000003"/>
  </r>
  <r>
    <d v="2024-08-23T00:00:00"/>
    <x v="5"/>
    <s v="Hubballi"/>
    <x v="11"/>
    <x v="23"/>
    <x v="0"/>
    <n v="59"/>
    <x v="20"/>
    <n v="28"/>
    <x v="1514"/>
    <n v="73082800"/>
    <x v="1"/>
    <x v="0"/>
    <x v="1"/>
    <x v="2"/>
    <x v="7"/>
    <n v="8"/>
    <x v="19"/>
    <n v="2610100"/>
    <n v="7.31"/>
  </r>
  <r>
    <d v="2024-08-23T00:00:00"/>
    <x v="3"/>
    <s v="Mumbai"/>
    <x v="12"/>
    <x v="18"/>
    <x v="0"/>
    <n v="60"/>
    <x v="16"/>
    <n v="40"/>
    <x v="1515"/>
    <n v="145120000"/>
    <x v="0"/>
    <x v="0"/>
    <x v="1"/>
    <x v="2"/>
    <x v="7"/>
    <n v="8"/>
    <x v="19"/>
    <n v="3628000"/>
    <n v="14.51"/>
  </r>
  <r>
    <d v="2024-08-23T00:00:00"/>
    <x v="3"/>
    <s v="Mumbai"/>
    <x v="13"/>
    <x v="22"/>
    <x v="3"/>
    <n v="35"/>
    <x v="10"/>
    <n v="58"/>
    <x v="1516"/>
    <n v="126846000"/>
    <x v="1"/>
    <x v="0"/>
    <x v="1"/>
    <x v="2"/>
    <x v="7"/>
    <n v="8"/>
    <x v="19"/>
    <n v="2187000"/>
    <n v="12.68"/>
  </r>
  <r>
    <d v="2024-08-23T00:00:00"/>
    <x v="2"/>
    <s v="Noida"/>
    <x v="13"/>
    <x v="19"/>
    <x v="0"/>
    <n v="24"/>
    <x v="17"/>
    <n v="176"/>
    <x v="1517"/>
    <n v="218328000"/>
    <x v="2"/>
    <x v="0"/>
    <x v="1"/>
    <x v="2"/>
    <x v="7"/>
    <n v="8"/>
    <x v="19"/>
    <n v="1240500"/>
    <n v="21.83"/>
  </r>
  <r>
    <d v="2024-08-23T00:00:00"/>
    <x v="13"/>
    <s v="Indore"/>
    <x v="8"/>
    <x v="8"/>
    <x v="2"/>
    <n v="66"/>
    <x v="8"/>
    <n v="28"/>
    <x v="1518"/>
    <n v="156382800"/>
    <x v="1"/>
    <x v="1"/>
    <x v="1"/>
    <x v="2"/>
    <x v="7"/>
    <n v="8"/>
    <x v="19"/>
    <n v="5585100"/>
    <n v="15.64"/>
  </r>
  <r>
    <d v="2024-08-23T00:00:00"/>
    <x v="2"/>
    <s v="Kanpur"/>
    <x v="14"/>
    <x v="16"/>
    <x v="0"/>
    <n v="3"/>
    <x v="15"/>
    <n v="60"/>
    <x v="129"/>
    <n v="10128000"/>
    <x v="1"/>
    <x v="0"/>
    <x v="1"/>
    <x v="2"/>
    <x v="7"/>
    <n v="8"/>
    <x v="19"/>
    <n v="168800"/>
    <n v="1.01"/>
  </r>
  <r>
    <d v="2024-08-24T00:00:00"/>
    <x v="0"/>
    <s v="Warangal"/>
    <x v="10"/>
    <x v="11"/>
    <x v="0"/>
    <n v="69"/>
    <x v="11"/>
    <n v="12"/>
    <x v="1519"/>
    <n v="69816000"/>
    <x v="1"/>
    <x v="0"/>
    <x v="1"/>
    <x v="2"/>
    <x v="7"/>
    <n v="8"/>
    <x v="19"/>
    <n v="5818000"/>
    <n v="6.98"/>
  </r>
  <r>
    <d v="2024-08-24T00:00:00"/>
    <x v="11"/>
    <s v="Coimbatore"/>
    <x v="15"/>
    <x v="17"/>
    <x v="0"/>
    <n v="5"/>
    <x v="15"/>
    <n v="132"/>
    <x v="1275"/>
    <n v="20869200"/>
    <x v="0"/>
    <x v="0"/>
    <x v="1"/>
    <x v="2"/>
    <x v="7"/>
    <n v="8"/>
    <x v="19"/>
    <n v="158100"/>
    <n v="2.09"/>
  </r>
  <r>
    <d v="2024-08-24T00:00:00"/>
    <x v="8"/>
    <s v="Durgapur"/>
    <x v="2"/>
    <x v="2"/>
    <x v="2"/>
    <n v="66"/>
    <x v="2"/>
    <n v="63"/>
    <x v="1520"/>
    <n v="485811900"/>
    <x v="1"/>
    <x v="0"/>
    <x v="1"/>
    <x v="2"/>
    <x v="7"/>
    <n v="8"/>
    <x v="19"/>
    <n v="7711300"/>
    <n v="48.58"/>
  </r>
  <r>
    <d v="2024-08-24T00:00:00"/>
    <x v="13"/>
    <s v="Gwalior"/>
    <x v="9"/>
    <x v="9"/>
    <x v="0"/>
    <n v="50"/>
    <x v="9"/>
    <n v="171"/>
    <x v="1521"/>
    <n v="389469600"/>
    <x v="0"/>
    <x v="2"/>
    <x v="1"/>
    <x v="2"/>
    <x v="7"/>
    <n v="8"/>
    <x v="19"/>
    <n v="2277600"/>
    <n v="38.950000000000003"/>
  </r>
  <r>
    <d v="2024-08-24T00:00:00"/>
    <x v="11"/>
    <s v="Madurai"/>
    <x v="7"/>
    <x v="7"/>
    <x v="0"/>
    <n v="3"/>
    <x v="7"/>
    <n v="41"/>
    <x v="139"/>
    <n v="6072100"/>
    <x v="1"/>
    <x v="1"/>
    <x v="1"/>
    <x v="2"/>
    <x v="7"/>
    <n v="8"/>
    <x v="19"/>
    <n v="148100"/>
    <n v="0.61"/>
  </r>
  <r>
    <d v="2024-08-25T00:00:00"/>
    <x v="12"/>
    <s v="Gurugram"/>
    <x v="13"/>
    <x v="22"/>
    <x v="1"/>
    <n v="35"/>
    <x v="10"/>
    <n v="135"/>
    <x v="1522"/>
    <n v="251883000"/>
    <x v="0"/>
    <x v="0"/>
    <x v="1"/>
    <x v="2"/>
    <x v="7"/>
    <n v="8"/>
    <x v="19"/>
    <n v="1865800"/>
    <n v="25.19"/>
  </r>
  <r>
    <d v="2024-08-25T00:00:00"/>
    <x v="3"/>
    <s v="Mumbai"/>
    <x v="5"/>
    <x v="5"/>
    <x v="0"/>
    <n v="30"/>
    <x v="5"/>
    <n v="67"/>
    <x v="1523"/>
    <n v="102054400"/>
    <x v="1"/>
    <x v="2"/>
    <x v="1"/>
    <x v="2"/>
    <x v="7"/>
    <n v="8"/>
    <x v="19"/>
    <n v="1523200"/>
    <n v="10.210000000000001"/>
  </r>
  <r>
    <d v="2024-08-25T00:00:00"/>
    <x v="4"/>
    <s v="Jalandhar"/>
    <x v="13"/>
    <x v="15"/>
    <x v="0"/>
    <n v="40"/>
    <x v="14"/>
    <n v="27"/>
    <x v="1524"/>
    <n v="68080500"/>
    <x v="0"/>
    <x v="0"/>
    <x v="1"/>
    <x v="2"/>
    <x v="7"/>
    <n v="8"/>
    <x v="19"/>
    <n v="2521500"/>
    <n v="6.81"/>
  </r>
  <r>
    <d v="2024-08-25T00:00:00"/>
    <x v="11"/>
    <s v="Salem"/>
    <x v="11"/>
    <x v="23"/>
    <x v="0"/>
    <n v="59"/>
    <x v="20"/>
    <n v="82"/>
    <x v="1525"/>
    <n v="207788000"/>
    <x v="1"/>
    <x v="1"/>
    <x v="1"/>
    <x v="2"/>
    <x v="7"/>
    <n v="8"/>
    <x v="19"/>
    <n v="2534000"/>
    <n v="20.78"/>
  </r>
  <r>
    <d v="2024-08-26T00:00:00"/>
    <x v="5"/>
    <s v="Hubballi"/>
    <x v="9"/>
    <x v="9"/>
    <x v="3"/>
    <n v="50"/>
    <x v="9"/>
    <n v="87"/>
    <x v="1526"/>
    <n v="190921500"/>
    <x v="1"/>
    <x v="1"/>
    <x v="1"/>
    <x v="2"/>
    <x v="7"/>
    <n v="8"/>
    <x v="19"/>
    <n v="2194500"/>
    <n v="19.09"/>
  </r>
  <r>
    <d v="2024-08-26T00:00:00"/>
    <x v="11"/>
    <s v="Madurai"/>
    <x v="11"/>
    <x v="12"/>
    <x v="1"/>
    <n v="40"/>
    <x v="12"/>
    <n v="84"/>
    <x v="1527"/>
    <n v="166143600"/>
    <x v="2"/>
    <x v="2"/>
    <x v="1"/>
    <x v="2"/>
    <x v="7"/>
    <n v="8"/>
    <x v="19"/>
    <n v="1977900"/>
    <n v="16.61"/>
  </r>
  <r>
    <d v="2024-08-26T00:00:00"/>
    <x v="14"/>
    <s v="Udaipur"/>
    <x v="5"/>
    <x v="5"/>
    <x v="0"/>
    <n v="30"/>
    <x v="5"/>
    <n v="61"/>
    <x v="1528"/>
    <n v="86003900"/>
    <x v="2"/>
    <x v="2"/>
    <x v="1"/>
    <x v="2"/>
    <x v="7"/>
    <n v="8"/>
    <x v="19"/>
    <n v="1409900"/>
    <n v="8.6"/>
  </r>
  <r>
    <d v="2024-08-27T00:00:00"/>
    <x v="10"/>
    <s v="Kozhikode"/>
    <x v="13"/>
    <x v="15"/>
    <x v="0"/>
    <n v="40"/>
    <x v="14"/>
    <n v="179"/>
    <x v="1529"/>
    <n v="442147900"/>
    <x v="1"/>
    <x v="0"/>
    <x v="1"/>
    <x v="2"/>
    <x v="7"/>
    <n v="8"/>
    <x v="19"/>
    <n v="2470100"/>
    <n v="44.21"/>
  </r>
  <r>
    <d v="2024-08-27T00:00:00"/>
    <x v="1"/>
    <s v="Saket"/>
    <x v="12"/>
    <x v="18"/>
    <x v="0"/>
    <n v="60"/>
    <x v="16"/>
    <n v="31"/>
    <x v="1530"/>
    <n v="100601200"/>
    <x v="1"/>
    <x v="2"/>
    <x v="1"/>
    <x v="2"/>
    <x v="7"/>
    <n v="8"/>
    <x v="19"/>
    <n v="3245200"/>
    <n v="10.06"/>
  </r>
  <r>
    <d v="2024-08-27T00:00:00"/>
    <x v="3"/>
    <s v="Nagpur"/>
    <x v="0"/>
    <x v="0"/>
    <x v="0"/>
    <n v="82"/>
    <x v="0"/>
    <n v="61"/>
    <x v="1531"/>
    <n v="420656000"/>
    <x v="0"/>
    <x v="0"/>
    <x v="1"/>
    <x v="2"/>
    <x v="7"/>
    <n v="8"/>
    <x v="19"/>
    <n v="6896000"/>
    <n v="42.07"/>
  </r>
  <r>
    <d v="2024-08-27T00:00:00"/>
    <x v="14"/>
    <s v="Kota"/>
    <x v="4"/>
    <x v="4"/>
    <x v="1"/>
    <n v="77"/>
    <x v="4"/>
    <n v="22"/>
    <x v="1532"/>
    <n v="108726200"/>
    <x v="1"/>
    <x v="0"/>
    <x v="1"/>
    <x v="2"/>
    <x v="7"/>
    <n v="8"/>
    <x v="19"/>
    <n v="4942100"/>
    <n v="10.87"/>
  </r>
  <r>
    <d v="2024-08-28T00:00:00"/>
    <x v="4"/>
    <s v="Jalandhar"/>
    <x v="1"/>
    <x v="21"/>
    <x v="0"/>
    <n v="3"/>
    <x v="19"/>
    <n v="28"/>
    <x v="1533"/>
    <n v="3421600"/>
    <x v="1"/>
    <x v="0"/>
    <x v="1"/>
    <x v="2"/>
    <x v="7"/>
    <n v="8"/>
    <x v="19"/>
    <n v="122200"/>
    <n v="0.34"/>
  </r>
  <r>
    <d v="2024-08-28T00:00:00"/>
    <x v="7"/>
    <s v="Vijayawada"/>
    <x v="10"/>
    <x v="11"/>
    <x v="0"/>
    <n v="69"/>
    <x v="11"/>
    <n v="66"/>
    <x v="1534"/>
    <n v="400527600"/>
    <x v="2"/>
    <x v="1"/>
    <x v="1"/>
    <x v="2"/>
    <x v="7"/>
    <n v="8"/>
    <x v="19"/>
    <n v="6068600"/>
    <n v="40.049999999999997"/>
  </r>
  <r>
    <d v="2024-08-28T00:00:00"/>
    <x v="0"/>
    <s v="Nizamabad"/>
    <x v="2"/>
    <x v="2"/>
    <x v="0"/>
    <n v="66"/>
    <x v="2"/>
    <n v="44"/>
    <x v="1535"/>
    <n v="309051600"/>
    <x v="0"/>
    <x v="2"/>
    <x v="1"/>
    <x v="2"/>
    <x v="7"/>
    <n v="8"/>
    <x v="19"/>
    <n v="7023900"/>
    <n v="30.91"/>
  </r>
  <r>
    <d v="2024-08-28T00:00:00"/>
    <x v="10"/>
    <s v="Thiruvananthapuram"/>
    <x v="1"/>
    <x v="21"/>
    <x v="0"/>
    <n v="3"/>
    <x v="19"/>
    <n v="89"/>
    <x v="1536"/>
    <n v="10662200"/>
    <x v="1"/>
    <x v="2"/>
    <x v="1"/>
    <x v="2"/>
    <x v="7"/>
    <n v="8"/>
    <x v="19"/>
    <n v="119800"/>
    <n v="1.07"/>
  </r>
  <r>
    <d v="2024-08-29T00:00:00"/>
    <x v="1"/>
    <s v="Saket"/>
    <x v="4"/>
    <x v="4"/>
    <x v="0"/>
    <n v="77"/>
    <x v="4"/>
    <n v="71"/>
    <x v="1537"/>
    <n v="351251200"/>
    <x v="1"/>
    <x v="0"/>
    <x v="1"/>
    <x v="2"/>
    <x v="7"/>
    <n v="8"/>
    <x v="19"/>
    <n v="4947200"/>
    <n v="35.130000000000003"/>
  </r>
  <r>
    <d v="2024-08-29T00:00:00"/>
    <x v="9"/>
    <s v="Muzaffarpur"/>
    <x v="7"/>
    <x v="7"/>
    <x v="0"/>
    <n v="3"/>
    <x v="7"/>
    <n v="42"/>
    <x v="1538"/>
    <n v="7291200"/>
    <x v="1"/>
    <x v="2"/>
    <x v="1"/>
    <x v="2"/>
    <x v="7"/>
    <n v="8"/>
    <x v="19"/>
    <n v="173600"/>
    <n v="0.73"/>
  </r>
  <r>
    <d v="2024-08-29T00:00:00"/>
    <x v="3"/>
    <s v="Nashik"/>
    <x v="2"/>
    <x v="2"/>
    <x v="0"/>
    <n v="66"/>
    <x v="2"/>
    <n v="27"/>
    <x v="1539"/>
    <n v="235072800"/>
    <x v="1"/>
    <x v="1"/>
    <x v="1"/>
    <x v="2"/>
    <x v="7"/>
    <n v="8"/>
    <x v="19"/>
    <n v="8706400"/>
    <n v="23.51"/>
  </r>
  <r>
    <d v="2024-08-30T00:00:00"/>
    <x v="3"/>
    <s v="Mumbai"/>
    <x v="8"/>
    <x v="8"/>
    <x v="3"/>
    <n v="66"/>
    <x v="8"/>
    <n v="74"/>
    <x v="1540"/>
    <n v="498064400"/>
    <x v="1"/>
    <x v="0"/>
    <x v="1"/>
    <x v="2"/>
    <x v="7"/>
    <n v="8"/>
    <x v="19"/>
    <n v="6730600"/>
    <n v="49.81"/>
  </r>
  <r>
    <d v="2024-08-30T00:00:00"/>
    <x v="5"/>
    <s v="Hubballi"/>
    <x v="12"/>
    <x v="14"/>
    <x v="0"/>
    <n v="82"/>
    <x v="13"/>
    <n v="52"/>
    <x v="445"/>
    <n v="237447600"/>
    <x v="0"/>
    <x v="0"/>
    <x v="1"/>
    <x v="2"/>
    <x v="7"/>
    <n v="8"/>
    <x v="19"/>
    <n v="4566300"/>
    <n v="23.74"/>
  </r>
  <r>
    <d v="2024-08-30T00:00:00"/>
    <x v="4"/>
    <s v="Jalandhar"/>
    <x v="2"/>
    <x v="2"/>
    <x v="2"/>
    <n v="66"/>
    <x v="2"/>
    <n v="64"/>
    <x v="1541"/>
    <n v="533824000"/>
    <x v="1"/>
    <x v="0"/>
    <x v="1"/>
    <x v="2"/>
    <x v="7"/>
    <n v="8"/>
    <x v="19"/>
    <n v="8341000"/>
    <n v="53.38"/>
  </r>
  <r>
    <d v="2024-08-31T00:00:00"/>
    <x v="4"/>
    <s v="Amritsar"/>
    <x v="4"/>
    <x v="4"/>
    <x v="2"/>
    <n v="77"/>
    <x v="4"/>
    <n v="45"/>
    <x v="1542"/>
    <n v="257611500"/>
    <x v="1"/>
    <x v="0"/>
    <x v="1"/>
    <x v="2"/>
    <x v="7"/>
    <n v="8"/>
    <x v="19"/>
    <n v="5724700"/>
    <n v="25.76"/>
  </r>
  <r>
    <d v="2024-08-31T00:00:00"/>
    <x v="11"/>
    <s v="Coimbatore"/>
    <x v="8"/>
    <x v="20"/>
    <x v="1"/>
    <n v="84"/>
    <x v="18"/>
    <n v="54"/>
    <x v="1543"/>
    <n v="455106600"/>
    <x v="1"/>
    <x v="2"/>
    <x v="1"/>
    <x v="2"/>
    <x v="7"/>
    <n v="8"/>
    <x v="19"/>
    <n v="8427900"/>
    <n v="45.51"/>
  </r>
  <r>
    <d v="2024-08-31T00:00:00"/>
    <x v="2"/>
    <s v="Ghaziabad"/>
    <x v="4"/>
    <x v="4"/>
    <x v="0"/>
    <n v="77"/>
    <x v="4"/>
    <n v="37"/>
    <x v="1544"/>
    <n v="218133500"/>
    <x v="1"/>
    <x v="1"/>
    <x v="1"/>
    <x v="2"/>
    <x v="7"/>
    <n v="8"/>
    <x v="19"/>
    <n v="5895500"/>
    <n v="21.81"/>
  </r>
  <r>
    <d v="2024-08-31T00:00:00"/>
    <x v="11"/>
    <s v="Salem"/>
    <x v="5"/>
    <x v="5"/>
    <x v="0"/>
    <n v="30"/>
    <x v="5"/>
    <n v="5"/>
    <x v="1545"/>
    <n v="7162000"/>
    <x v="1"/>
    <x v="2"/>
    <x v="1"/>
    <x v="2"/>
    <x v="7"/>
    <n v="8"/>
    <x v="19"/>
    <n v="1432400"/>
    <n v="0.72"/>
  </r>
  <r>
    <d v="2024-09-01T00:00:00"/>
    <x v="8"/>
    <s v="Durgapur"/>
    <x v="4"/>
    <x v="4"/>
    <x v="0"/>
    <n v="77"/>
    <x v="4"/>
    <n v="67"/>
    <x v="1546"/>
    <n v="346309600"/>
    <x v="1"/>
    <x v="2"/>
    <x v="1"/>
    <x v="2"/>
    <x v="8"/>
    <n v="9"/>
    <x v="20"/>
    <n v="5168800"/>
    <n v="34.630000000000003"/>
  </r>
  <r>
    <d v="2024-09-01T00:00:00"/>
    <x v="2"/>
    <s v="Lucknow"/>
    <x v="12"/>
    <x v="18"/>
    <x v="0"/>
    <n v="60"/>
    <x v="16"/>
    <n v="51"/>
    <x v="1547"/>
    <n v="181356000"/>
    <x v="1"/>
    <x v="2"/>
    <x v="1"/>
    <x v="2"/>
    <x v="8"/>
    <n v="9"/>
    <x v="20"/>
    <n v="3556000"/>
    <n v="18.14"/>
  </r>
  <r>
    <d v="2024-09-02T00:00:00"/>
    <x v="12"/>
    <s v="Hisar"/>
    <x v="6"/>
    <x v="6"/>
    <x v="0"/>
    <n v="72"/>
    <x v="6"/>
    <n v="74"/>
    <x v="1548"/>
    <n v="324623200"/>
    <x v="1"/>
    <x v="3"/>
    <x v="1"/>
    <x v="2"/>
    <x v="8"/>
    <n v="9"/>
    <x v="20"/>
    <n v="4386800"/>
    <n v="32.46"/>
  </r>
  <r>
    <d v="2024-09-02T00:00:00"/>
    <x v="10"/>
    <s v="Kozhikode"/>
    <x v="5"/>
    <x v="5"/>
    <x v="2"/>
    <n v="30"/>
    <x v="5"/>
    <n v="63"/>
    <x v="1549"/>
    <n v="97826400"/>
    <x v="1"/>
    <x v="1"/>
    <x v="1"/>
    <x v="2"/>
    <x v="8"/>
    <n v="9"/>
    <x v="20"/>
    <n v="1552800"/>
    <n v="9.7799999999999994"/>
  </r>
  <r>
    <d v="2024-09-03T00:00:00"/>
    <x v="11"/>
    <s v="Madurai"/>
    <x v="4"/>
    <x v="4"/>
    <x v="1"/>
    <n v="77"/>
    <x v="4"/>
    <n v="57"/>
    <x v="1550"/>
    <n v="312798900"/>
    <x v="0"/>
    <x v="2"/>
    <x v="1"/>
    <x v="2"/>
    <x v="8"/>
    <n v="9"/>
    <x v="20"/>
    <n v="5487700"/>
    <n v="31.28"/>
  </r>
  <r>
    <d v="2024-09-03T00:00:00"/>
    <x v="0"/>
    <s v="Warangal"/>
    <x v="9"/>
    <x v="10"/>
    <x v="3"/>
    <n v="25"/>
    <x v="10"/>
    <n v="166"/>
    <x v="1551"/>
    <n v="202005400"/>
    <x v="1"/>
    <x v="0"/>
    <x v="1"/>
    <x v="2"/>
    <x v="8"/>
    <n v="9"/>
    <x v="20"/>
    <n v="1216900"/>
    <n v="20.2"/>
  </r>
  <r>
    <d v="2024-09-03T00:00:00"/>
    <x v="12"/>
    <s v="Gurugram"/>
    <x v="8"/>
    <x v="8"/>
    <x v="0"/>
    <n v="66"/>
    <x v="8"/>
    <n v="73"/>
    <x v="1552"/>
    <n v="502123200"/>
    <x v="1"/>
    <x v="0"/>
    <x v="1"/>
    <x v="2"/>
    <x v="8"/>
    <n v="9"/>
    <x v="20"/>
    <n v="6878400"/>
    <n v="50.21"/>
  </r>
  <r>
    <d v="2024-09-04T00:00:00"/>
    <x v="0"/>
    <s v="Hyderabad"/>
    <x v="13"/>
    <x v="15"/>
    <x v="0"/>
    <n v="40"/>
    <x v="14"/>
    <n v="179"/>
    <x v="1553"/>
    <n v="440715900"/>
    <x v="0"/>
    <x v="1"/>
    <x v="1"/>
    <x v="2"/>
    <x v="8"/>
    <n v="9"/>
    <x v="20"/>
    <n v="2462100"/>
    <n v="44.07"/>
  </r>
  <r>
    <d v="2024-09-04T00:00:00"/>
    <x v="14"/>
    <s v="Udaipur"/>
    <x v="10"/>
    <x v="11"/>
    <x v="0"/>
    <n v="69"/>
    <x v="11"/>
    <n v="29"/>
    <x v="1554"/>
    <n v="177149400"/>
    <x v="1"/>
    <x v="0"/>
    <x v="1"/>
    <x v="2"/>
    <x v="8"/>
    <n v="9"/>
    <x v="20"/>
    <n v="6108600"/>
    <n v="17.71"/>
  </r>
  <r>
    <d v="2024-09-04T00:00:00"/>
    <x v="7"/>
    <s v="Tirupati"/>
    <x v="7"/>
    <x v="7"/>
    <x v="0"/>
    <n v="3"/>
    <x v="7"/>
    <n v="66"/>
    <x v="924"/>
    <n v="9853800"/>
    <x v="1"/>
    <x v="0"/>
    <x v="1"/>
    <x v="2"/>
    <x v="8"/>
    <n v="9"/>
    <x v="20"/>
    <n v="149300"/>
    <n v="0.99"/>
  </r>
  <r>
    <d v="2024-09-04T00:00:00"/>
    <x v="12"/>
    <s v="Gurugram"/>
    <x v="14"/>
    <x v="16"/>
    <x v="0"/>
    <n v="3"/>
    <x v="15"/>
    <n v="33"/>
    <x v="1555"/>
    <n v="5223900"/>
    <x v="1"/>
    <x v="1"/>
    <x v="1"/>
    <x v="2"/>
    <x v="8"/>
    <n v="9"/>
    <x v="20"/>
    <n v="158300"/>
    <n v="0.52"/>
  </r>
  <r>
    <d v="2024-09-05T00:00:00"/>
    <x v="0"/>
    <s v="Hyderabad"/>
    <x v="15"/>
    <x v="17"/>
    <x v="0"/>
    <n v="5"/>
    <x v="15"/>
    <n v="86"/>
    <x v="1556"/>
    <n v="14379200"/>
    <x v="1"/>
    <x v="0"/>
    <x v="1"/>
    <x v="2"/>
    <x v="8"/>
    <n v="9"/>
    <x v="20"/>
    <n v="167200"/>
    <n v="1.44"/>
  </r>
  <r>
    <d v="2024-09-05T00:00:00"/>
    <x v="11"/>
    <s v="Chennai"/>
    <x v="9"/>
    <x v="9"/>
    <x v="3"/>
    <n v="50"/>
    <x v="9"/>
    <n v="17"/>
    <x v="1557"/>
    <n v="40327400"/>
    <x v="1"/>
    <x v="0"/>
    <x v="1"/>
    <x v="2"/>
    <x v="8"/>
    <n v="9"/>
    <x v="20"/>
    <n v="2372200"/>
    <n v="4.03"/>
  </r>
  <r>
    <d v="2024-09-05T00:00:00"/>
    <x v="4"/>
    <s v="Jalandhar"/>
    <x v="3"/>
    <x v="3"/>
    <x v="0"/>
    <n v="3"/>
    <x v="3"/>
    <n v="109"/>
    <x v="329"/>
    <n v="13330700"/>
    <x v="1"/>
    <x v="1"/>
    <x v="1"/>
    <x v="2"/>
    <x v="8"/>
    <n v="9"/>
    <x v="20"/>
    <n v="122300"/>
    <n v="1.33"/>
  </r>
  <r>
    <d v="2024-09-05T00:00:00"/>
    <x v="12"/>
    <s v="Faridabad"/>
    <x v="8"/>
    <x v="20"/>
    <x v="0"/>
    <n v="84"/>
    <x v="18"/>
    <n v="79"/>
    <x v="1558"/>
    <n v="562306200"/>
    <x v="1"/>
    <x v="2"/>
    <x v="1"/>
    <x v="2"/>
    <x v="8"/>
    <n v="9"/>
    <x v="20"/>
    <n v="7117800"/>
    <n v="56.23"/>
  </r>
  <r>
    <d v="2024-09-06T00:00:00"/>
    <x v="4"/>
    <s v="Ludhiana"/>
    <x v="0"/>
    <x v="0"/>
    <x v="0"/>
    <n v="82"/>
    <x v="0"/>
    <n v="77"/>
    <x v="1559"/>
    <n v="571809700"/>
    <x v="0"/>
    <x v="0"/>
    <x v="1"/>
    <x v="2"/>
    <x v="8"/>
    <n v="9"/>
    <x v="20"/>
    <n v="7426100"/>
    <n v="57.18"/>
  </r>
  <r>
    <d v="2024-09-06T00:00:00"/>
    <x v="5"/>
    <s v="Mysuru"/>
    <x v="3"/>
    <x v="3"/>
    <x v="0"/>
    <n v="3"/>
    <x v="3"/>
    <n v="137"/>
    <x v="1560"/>
    <n v="16097500"/>
    <x v="1"/>
    <x v="2"/>
    <x v="1"/>
    <x v="2"/>
    <x v="8"/>
    <n v="9"/>
    <x v="20"/>
    <n v="117500"/>
    <n v="1.61"/>
  </r>
  <r>
    <d v="2024-09-07T00:00:00"/>
    <x v="0"/>
    <s v="Warangal"/>
    <x v="0"/>
    <x v="0"/>
    <x v="2"/>
    <n v="82"/>
    <x v="0"/>
    <n v="70"/>
    <x v="1561"/>
    <n v="507185000"/>
    <x v="1"/>
    <x v="2"/>
    <x v="1"/>
    <x v="2"/>
    <x v="8"/>
    <n v="9"/>
    <x v="20"/>
    <n v="7245500"/>
    <n v="50.72"/>
  </r>
  <r>
    <d v="2024-09-07T00:00:00"/>
    <x v="5"/>
    <s v="Mangaluru"/>
    <x v="8"/>
    <x v="8"/>
    <x v="0"/>
    <n v="66"/>
    <x v="8"/>
    <n v="69"/>
    <x v="1562"/>
    <n v="412399200"/>
    <x v="1"/>
    <x v="0"/>
    <x v="1"/>
    <x v="2"/>
    <x v="8"/>
    <n v="9"/>
    <x v="20"/>
    <n v="5976800"/>
    <n v="41.24"/>
  </r>
  <r>
    <d v="2024-09-07T00:00:00"/>
    <x v="10"/>
    <s v="Thiruvananthapuram"/>
    <x v="13"/>
    <x v="19"/>
    <x v="0"/>
    <n v="24"/>
    <x v="17"/>
    <n v="96"/>
    <x v="1563"/>
    <n v="125654400"/>
    <x v="1"/>
    <x v="1"/>
    <x v="1"/>
    <x v="2"/>
    <x v="8"/>
    <n v="9"/>
    <x v="20"/>
    <n v="1308900"/>
    <n v="12.57"/>
  </r>
  <r>
    <d v="2024-09-08T00:00:00"/>
    <x v="3"/>
    <s v="Nagpur"/>
    <x v="6"/>
    <x v="13"/>
    <x v="0"/>
    <n v="48"/>
    <x v="12"/>
    <n v="123"/>
    <x v="1564"/>
    <n v="269898900"/>
    <x v="1"/>
    <x v="2"/>
    <x v="1"/>
    <x v="2"/>
    <x v="8"/>
    <n v="9"/>
    <x v="20"/>
    <n v="2194300"/>
    <n v="26.99"/>
  </r>
  <r>
    <d v="2024-09-08T00:00:00"/>
    <x v="10"/>
    <s v="Kochi"/>
    <x v="2"/>
    <x v="2"/>
    <x v="0"/>
    <n v="66"/>
    <x v="2"/>
    <n v="17"/>
    <x v="1565"/>
    <n v="156809700"/>
    <x v="1"/>
    <x v="1"/>
    <x v="1"/>
    <x v="2"/>
    <x v="8"/>
    <n v="9"/>
    <x v="20"/>
    <n v="9224100"/>
    <n v="15.68"/>
  </r>
  <r>
    <d v="2024-09-09T00:00:00"/>
    <x v="9"/>
    <s v="Patna"/>
    <x v="1"/>
    <x v="1"/>
    <x v="0"/>
    <n v="4"/>
    <x v="1"/>
    <n v="80"/>
    <x v="1566"/>
    <n v="11968000"/>
    <x v="1"/>
    <x v="2"/>
    <x v="1"/>
    <x v="2"/>
    <x v="8"/>
    <n v="9"/>
    <x v="20"/>
    <n v="149600"/>
    <n v="1.2"/>
  </r>
  <r>
    <d v="2024-09-09T00:00:00"/>
    <x v="5"/>
    <s v="Mangaluru"/>
    <x v="0"/>
    <x v="0"/>
    <x v="0"/>
    <n v="82"/>
    <x v="0"/>
    <n v="7"/>
    <x v="1567"/>
    <n v="43963500"/>
    <x v="1"/>
    <x v="0"/>
    <x v="1"/>
    <x v="2"/>
    <x v="8"/>
    <n v="9"/>
    <x v="20"/>
    <n v="6280500"/>
    <n v="4.4000000000000004"/>
  </r>
  <r>
    <d v="2024-09-09T00:00:00"/>
    <x v="12"/>
    <s v="Gurugram"/>
    <x v="14"/>
    <x v="16"/>
    <x v="0"/>
    <n v="3"/>
    <x v="15"/>
    <n v="66"/>
    <x v="1568"/>
    <n v="9972600"/>
    <x v="1"/>
    <x v="0"/>
    <x v="1"/>
    <x v="2"/>
    <x v="8"/>
    <n v="9"/>
    <x v="20"/>
    <n v="151100"/>
    <n v="1"/>
  </r>
  <r>
    <d v="2024-09-10T00:00:00"/>
    <x v="11"/>
    <s v="Chennai"/>
    <x v="11"/>
    <x v="23"/>
    <x v="0"/>
    <n v="59"/>
    <x v="20"/>
    <n v="148"/>
    <x v="1569"/>
    <n v="392851200"/>
    <x v="1"/>
    <x v="1"/>
    <x v="1"/>
    <x v="2"/>
    <x v="8"/>
    <n v="9"/>
    <x v="20"/>
    <n v="2654400"/>
    <n v="39.29"/>
  </r>
  <r>
    <d v="2024-09-11T00:00:00"/>
    <x v="6"/>
    <s v="Rajkot"/>
    <x v="5"/>
    <x v="5"/>
    <x v="0"/>
    <n v="30"/>
    <x v="5"/>
    <n v="35"/>
    <x v="1570"/>
    <n v="46445000"/>
    <x v="1"/>
    <x v="2"/>
    <x v="1"/>
    <x v="2"/>
    <x v="8"/>
    <n v="9"/>
    <x v="20"/>
    <n v="1327000"/>
    <n v="4.6399999999999997"/>
  </r>
  <r>
    <d v="2024-09-12T00:00:00"/>
    <x v="14"/>
    <s v="Jaipur"/>
    <x v="5"/>
    <x v="5"/>
    <x v="1"/>
    <n v="30"/>
    <x v="5"/>
    <n v="69"/>
    <x v="1571"/>
    <n v="87388500"/>
    <x v="1"/>
    <x v="0"/>
    <x v="1"/>
    <x v="2"/>
    <x v="8"/>
    <n v="9"/>
    <x v="20"/>
    <n v="1266500"/>
    <n v="8.74"/>
  </r>
  <r>
    <d v="2024-09-12T00:00:00"/>
    <x v="7"/>
    <s v="Tirupati"/>
    <x v="3"/>
    <x v="3"/>
    <x v="0"/>
    <n v="3"/>
    <x v="3"/>
    <n v="174"/>
    <x v="1572"/>
    <n v="21315000"/>
    <x v="1"/>
    <x v="0"/>
    <x v="1"/>
    <x v="2"/>
    <x v="8"/>
    <n v="9"/>
    <x v="20"/>
    <n v="122500"/>
    <n v="2.13"/>
  </r>
  <r>
    <d v="2024-09-12T00:00:00"/>
    <x v="7"/>
    <s v="Tirupati"/>
    <x v="5"/>
    <x v="5"/>
    <x v="3"/>
    <n v="30"/>
    <x v="5"/>
    <n v="57"/>
    <x v="1573"/>
    <n v="75884100"/>
    <x v="1"/>
    <x v="0"/>
    <x v="1"/>
    <x v="2"/>
    <x v="8"/>
    <n v="9"/>
    <x v="20"/>
    <n v="1331300"/>
    <n v="7.59"/>
  </r>
  <r>
    <d v="2024-09-13T00:00:00"/>
    <x v="3"/>
    <s v="Nagpur"/>
    <x v="14"/>
    <x v="16"/>
    <x v="0"/>
    <n v="3"/>
    <x v="15"/>
    <n v="126"/>
    <x v="1574"/>
    <n v="18925200"/>
    <x v="0"/>
    <x v="0"/>
    <x v="1"/>
    <x v="2"/>
    <x v="8"/>
    <n v="9"/>
    <x v="20"/>
    <n v="150200"/>
    <n v="1.89"/>
  </r>
  <r>
    <d v="2024-09-13T00:00:00"/>
    <x v="13"/>
    <s v="Indore"/>
    <x v="1"/>
    <x v="1"/>
    <x v="0"/>
    <n v="4"/>
    <x v="1"/>
    <n v="80"/>
    <x v="1134"/>
    <n v="12176000"/>
    <x v="1"/>
    <x v="2"/>
    <x v="1"/>
    <x v="2"/>
    <x v="8"/>
    <n v="9"/>
    <x v="20"/>
    <n v="152200"/>
    <n v="1.22"/>
  </r>
  <r>
    <d v="2024-09-13T00:00:00"/>
    <x v="1"/>
    <s v="Rohini"/>
    <x v="15"/>
    <x v="17"/>
    <x v="0"/>
    <n v="5"/>
    <x v="15"/>
    <n v="66"/>
    <x v="813"/>
    <n v="11952600"/>
    <x v="1"/>
    <x v="0"/>
    <x v="1"/>
    <x v="2"/>
    <x v="8"/>
    <n v="9"/>
    <x v="20"/>
    <n v="181100"/>
    <n v="1.2"/>
  </r>
  <r>
    <d v="2024-09-13T00:00:00"/>
    <x v="2"/>
    <s v="Kanpur"/>
    <x v="2"/>
    <x v="2"/>
    <x v="3"/>
    <n v="66"/>
    <x v="2"/>
    <n v="11"/>
    <x v="1575"/>
    <n v="91295600"/>
    <x v="0"/>
    <x v="0"/>
    <x v="1"/>
    <x v="2"/>
    <x v="8"/>
    <n v="9"/>
    <x v="20"/>
    <n v="8299600"/>
    <n v="9.1300000000000008"/>
  </r>
  <r>
    <d v="2024-09-13T00:00:00"/>
    <x v="10"/>
    <s v="Kochi"/>
    <x v="7"/>
    <x v="7"/>
    <x v="0"/>
    <n v="3"/>
    <x v="7"/>
    <n v="77"/>
    <x v="1576"/>
    <n v="11011000"/>
    <x v="1"/>
    <x v="1"/>
    <x v="1"/>
    <x v="2"/>
    <x v="8"/>
    <n v="9"/>
    <x v="20"/>
    <n v="143000"/>
    <n v="1.1000000000000001"/>
  </r>
  <r>
    <d v="2024-09-14T00:00:00"/>
    <x v="3"/>
    <s v="Pune"/>
    <x v="15"/>
    <x v="17"/>
    <x v="0"/>
    <n v="5"/>
    <x v="15"/>
    <n v="145"/>
    <x v="10"/>
    <n v="26810500"/>
    <x v="0"/>
    <x v="2"/>
    <x v="1"/>
    <x v="2"/>
    <x v="8"/>
    <n v="9"/>
    <x v="20"/>
    <n v="184900"/>
    <n v="2.68"/>
  </r>
  <r>
    <d v="2024-09-14T00:00:00"/>
    <x v="2"/>
    <s v="Ghaziabad"/>
    <x v="1"/>
    <x v="21"/>
    <x v="0"/>
    <n v="3"/>
    <x v="19"/>
    <n v="123"/>
    <x v="1577"/>
    <n v="14403300"/>
    <x v="0"/>
    <x v="0"/>
    <x v="1"/>
    <x v="2"/>
    <x v="8"/>
    <n v="9"/>
    <x v="20"/>
    <n v="117100"/>
    <n v="1.44"/>
  </r>
  <r>
    <d v="2024-09-14T00:00:00"/>
    <x v="2"/>
    <s v="Ghaziabad"/>
    <x v="1"/>
    <x v="1"/>
    <x v="0"/>
    <n v="4"/>
    <x v="1"/>
    <n v="141"/>
    <x v="1461"/>
    <n v="18950400"/>
    <x v="0"/>
    <x v="0"/>
    <x v="1"/>
    <x v="2"/>
    <x v="8"/>
    <n v="9"/>
    <x v="20"/>
    <n v="134400"/>
    <n v="1.9"/>
  </r>
  <r>
    <d v="2024-09-14T00:00:00"/>
    <x v="0"/>
    <s v="Hyderabad"/>
    <x v="0"/>
    <x v="0"/>
    <x v="0"/>
    <n v="82"/>
    <x v="0"/>
    <n v="14"/>
    <x v="1578"/>
    <n v="93833600"/>
    <x v="1"/>
    <x v="0"/>
    <x v="1"/>
    <x v="2"/>
    <x v="8"/>
    <n v="9"/>
    <x v="20"/>
    <n v="6702400"/>
    <n v="9.3800000000000008"/>
  </r>
  <r>
    <d v="2024-09-14T00:00:00"/>
    <x v="0"/>
    <s v="Nizamabad"/>
    <x v="6"/>
    <x v="6"/>
    <x v="2"/>
    <n v="72"/>
    <x v="6"/>
    <n v="173"/>
    <x v="1579"/>
    <n v="974024600"/>
    <x v="2"/>
    <x v="2"/>
    <x v="1"/>
    <x v="2"/>
    <x v="8"/>
    <n v="9"/>
    <x v="20"/>
    <n v="5630200"/>
    <n v="97.4"/>
  </r>
  <r>
    <d v="2024-09-14T00:00:00"/>
    <x v="10"/>
    <s v="Thiruvananthapuram"/>
    <x v="14"/>
    <x v="16"/>
    <x v="0"/>
    <n v="3"/>
    <x v="15"/>
    <n v="121"/>
    <x v="1580"/>
    <n v="17617600"/>
    <x v="1"/>
    <x v="2"/>
    <x v="1"/>
    <x v="2"/>
    <x v="8"/>
    <n v="9"/>
    <x v="20"/>
    <n v="145600"/>
    <n v="1.76"/>
  </r>
  <r>
    <d v="2024-09-14T00:00:00"/>
    <x v="14"/>
    <s v="Udaipur"/>
    <x v="14"/>
    <x v="16"/>
    <x v="0"/>
    <n v="3"/>
    <x v="15"/>
    <n v="109"/>
    <x v="1581"/>
    <n v="19249400"/>
    <x v="0"/>
    <x v="1"/>
    <x v="1"/>
    <x v="2"/>
    <x v="8"/>
    <n v="9"/>
    <x v="20"/>
    <n v="176600"/>
    <n v="1.92"/>
  </r>
  <r>
    <d v="2024-09-15T00:00:00"/>
    <x v="11"/>
    <s v="Madurai"/>
    <x v="10"/>
    <x v="11"/>
    <x v="0"/>
    <n v="69"/>
    <x v="11"/>
    <n v="39"/>
    <x v="1582"/>
    <n v="251916600"/>
    <x v="1"/>
    <x v="3"/>
    <x v="1"/>
    <x v="2"/>
    <x v="8"/>
    <n v="9"/>
    <x v="20"/>
    <n v="6459400"/>
    <n v="25.19"/>
  </r>
  <r>
    <d v="2024-09-15T00:00:00"/>
    <x v="7"/>
    <s v="Tirupati"/>
    <x v="0"/>
    <x v="0"/>
    <x v="0"/>
    <n v="82"/>
    <x v="0"/>
    <n v="20"/>
    <x v="1583"/>
    <n v="148954000"/>
    <x v="1"/>
    <x v="0"/>
    <x v="1"/>
    <x v="2"/>
    <x v="8"/>
    <n v="9"/>
    <x v="20"/>
    <n v="7447700"/>
    <n v="14.9"/>
  </r>
  <r>
    <d v="2024-09-15T00:00:00"/>
    <x v="3"/>
    <s v="Nashik"/>
    <x v="14"/>
    <x v="16"/>
    <x v="0"/>
    <n v="3"/>
    <x v="15"/>
    <n v="14"/>
    <x v="1584"/>
    <n v="1953000"/>
    <x v="1"/>
    <x v="0"/>
    <x v="1"/>
    <x v="2"/>
    <x v="8"/>
    <n v="9"/>
    <x v="20"/>
    <n v="139500"/>
    <n v="0.2"/>
  </r>
  <r>
    <d v="2024-09-15T00:00:00"/>
    <x v="2"/>
    <s v="Ghaziabad"/>
    <x v="8"/>
    <x v="20"/>
    <x v="0"/>
    <n v="84"/>
    <x v="18"/>
    <n v="32"/>
    <x v="1585"/>
    <n v="239836800"/>
    <x v="1"/>
    <x v="0"/>
    <x v="1"/>
    <x v="2"/>
    <x v="8"/>
    <n v="9"/>
    <x v="20"/>
    <n v="7494900"/>
    <n v="23.98"/>
  </r>
  <r>
    <d v="2024-09-16T00:00:00"/>
    <x v="5"/>
    <s v="Mangaluru"/>
    <x v="11"/>
    <x v="23"/>
    <x v="0"/>
    <n v="59"/>
    <x v="20"/>
    <n v="144"/>
    <x v="1474"/>
    <n v="443937600"/>
    <x v="1"/>
    <x v="0"/>
    <x v="1"/>
    <x v="2"/>
    <x v="8"/>
    <n v="9"/>
    <x v="20"/>
    <n v="3082900"/>
    <n v="44.39"/>
  </r>
  <r>
    <d v="2024-09-16T00:00:00"/>
    <x v="0"/>
    <s v="Warangal"/>
    <x v="6"/>
    <x v="13"/>
    <x v="0"/>
    <n v="48"/>
    <x v="12"/>
    <n v="65"/>
    <x v="1586"/>
    <n v="151404500"/>
    <x v="1"/>
    <x v="2"/>
    <x v="1"/>
    <x v="2"/>
    <x v="8"/>
    <n v="9"/>
    <x v="20"/>
    <n v="2329300"/>
    <n v="15.14"/>
  </r>
  <r>
    <d v="2024-09-16T00:00:00"/>
    <x v="1"/>
    <s v="Rohini"/>
    <x v="7"/>
    <x v="7"/>
    <x v="0"/>
    <n v="3"/>
    <x v="7"/>
    <n v="58"/>
    <x v="515"/>
    <n v="8178000"/>
    <x v="1"/>
    <x v="0"/>
    <x v="1"/>
    <x v="2"/>
    <x v="8"/>
    <n v="9"/>
    <x v="20"/>
    <n v="141000"/>
    <n v="0.82"/>
  </r>
  <r>
    <d v="2024-09-16T00:00:00"/>
    <x v="12"/>
    <s v="Hisar"/>
    <x v="12"/>
    <x v="14"/>
    <x v="0"/>
    <n v="82"/>
    <x v="13"/>
    <n v="13"/>
    <x v="1587"/>
    <n v="70118100"/>
    <x v="2"/>
    <x v="3"/>
    <x v="1"/>
    <x v="2"/>
    <x v="8"/>
    <n v="9"/>
    <x v="20"/>
    <n v="5393700"/>
    <n v="7.01"/>
  </r>
  <r>
    <d v="2024-09-17T00:00:00"/>
    <x v="4"/>
    <s v="Amritsar"/>
    <x v="7"/>
    <x v="7"/>
    <x v="0"/>
    <n v="3"/>
    <x v="7"/>
    <n v="41"/>
    <x v="1588"/>
    <n v="7642400"/>
    <x v="1"/>
    <x v="0"/>
    <x v="1"/>
    <x v="2"/>
    <x v="8"/>
    <n v="9"/>
    <x v="20"/>
    <n v="186400"/>
    <n v="0.76"/>
  </r>
  <r>
    <d v="2024-09-18T00:00:00"/>
    <x v="5"/>
    <s v="Bengaluru"/>
    <x v="10"/>
    <x v="11"/>
    <x v="0"/>
    <n v="69"/>
    <x v="11"/>
    <n v="14"/>
    <x v="1589"/>
    <n v="77389200"/>
    <x v="0"/>
    <x v="2"/>
    <x v="1"/>
    <x v="2"/>
    <x v="8"/>
    <n v="9"/>
    <x v="20"/>
    <n v="5527800"/>
    <n v="7.74"/>
  </r>
  <r>
    <d v="2024-09-18T00:00:00"/>
    <x v="6"/>
    <s v="Rajkot"/>
    <x v="14"/>
    <x v="16"/>
    <x v="0"/>
    <n v="3"/>
    <x v="15"/>
    <n v="146"/>
    <x v="498"/>
    <n v="21009400"/>
    <x v="1"/>
    <x v="0"/>
    <x v="1"/>
    <x v="2"/>
    <x v="8"/>
    <n v="9"/>
    <x v="20"/>
    <n v="143900"/>
    <n v="2.1"/>
  </r>
  <r>
    <d v="2024-09-18T00:00:00"/>
    <x v="10"/>
    <s v="Thiruvananthapuram"/>
    <x v="0"/>
    <x v="0"/>
    <x v="0"/>
    <n v="82"/>
    <x v="0"/>
    <n v="79"/>
    <x v="1590"/>
    <n v="512552000"/>
    <x v="2"/>
    <x v="2"/>
    <x v="1"/>
    <x v="2"/>
    <x v="8"/>
    <n v="9"/>
    <x v="20"/>
    <n v="6488000"/>
    <n v="51.26"/>
  </r>
  <r>
    <d v="2024-09-19T00:00:00"/>
    <x v="14"/>
    <s v="Jaipur"/>
    <x v="4"/>
    <x v="4"/>
    <x v="0"/>
    <n v="77"/>
    <x v="4"/>
    <n v="52"/>
    <x v="1591"/>
    <n v="280649200"/>
    <x v="1"/>
    <x v="0"/>
    <x v="1"/>
    <x v="2"/>
    <x v="8"/>
    <n v="9"/>
    <x v="20"/>
    <n v="5397100"/>
    <n v="28.06"/>
  </r>
  <r>
    <d v="2024-09-20T00:00:00"/>
    <x v="8"/>
    <s v="Asansol"/>
    <x v="10"/>
    <x v="11"/>
    <x v="0"/>
    <n v="69"/>
    <x v="11"/>
    <n v="50"/>
    <x v="1592"/>
    <n v="274220000"/>
    <x v="1"/>
    <x v="2"/>
    <x v="1"/>
    <x v="2"/>
    <x v="8"/>
    <n v="9"/>
    <x v="20"/>
    <n v="5484400"/>
    <n v="27.42"/>
  </r>
  <r>
    <d v="2024-09-20T00:00:00"/>
    <x v="3"/>
    <s v="Mumbai"/>
    <x v="15"/>
    <x v="17"/>
    <x v="0"/>
    <n v="5"/>
    <x v="15"/>
    <n v="34"/>
    <x v="1012"/>
    <n v="5633800"/>
    <x v="1"/>
    <x v="0"/>
    <x v="1"/>
    <x v="2"/>
    <x v="8"/>
    <n v="9"/>
    <x v="20"/>
    <n v="165700"/>
    <n v="0.56000000000000005"/>
  </r>
  <r>
    <d v="2024-09-20T00:00:00"/>
    <x v="14"/>
    <s v="Udaipur"/>
    <x v="11"/>
    <x v="23"/>
    <x v="1"/>
    <n v="59"/>
    <x v="20"/>
    <n v="68"/>
    <x v="1593"/>
    <n v="156658400"/>
    <x v="2"/>
    <x v="0"/>
    <x v="1"/>
    <x v="2"/>
    <x v="8"/>
    <n v="9"/>
    <x v="20"/>
    <n v="2303800"/>
    <n v="15.67"/>
  </r>
  <r>
    <d v="2024-09-21T00:00:00"/>
    <x v="5"/>
    <s v="Bengaluru"/>
    <x v="13"/>
    <x v="19"/>
    <x v="1"/>
    <n v="24"/>
    <x v="17"/>
    <n v="156"/>
    <x v="1594"/>
    <n v="210506400"/>
    <x v="1"/>
    <x v="0"/>
    <x v="1"/>
    <x v="2"/>
    <x v="8"/>
    <n v="9"/>
    <x v="20"/>
    <n v="1349400"/>
    <n v="21.05"/>
  </r>
  <r>
    <d v="2024-09-21T00:00:00"/>
    <x v="0"/>
    <s v="Hyderabad"/>
    <x v="0"/>
    <x v="0"/>
    <x v="1"/>
    <n v="82"/>
    <x v="0"/>
    <n v="69"/>
    <x v="1595"/>
    <n v="441682800"/>
    <x v="1"/>
    <x v="2"/>
    <x v="1"/>
    <x v="2"/>
    <x v="8"/>
    <n v="9"/>
    <x v="20"/>
    <n v="6401200"/>
    <n v="44.17"/>
  </r>
  <r>
    <d v="2024-09-21T00:00:00"/>
    <x v="11"/>
    <s v="Madurai"/>
    <x v="11"/>
    <x v="12"/>
    <x v="0"/>
    <n v="40"/>
    <x v="12"/>
    <n v="49"/>
    <x v="1596"/>
    <n v="111661200"/>
    <x v="0"/>
    <x v="1"/>
    <x v="1"/>
    <x v="2"/>
    <x v="8"/>
    <n v="9"/>
    <x v="20"/>
    <n v="2278800"/>
    <n v="11.17"/>
  </r>
  <r>
    <d v="2024-09-22T00:00:00"/>
    <x v="11"/>
    <s v="Madurai"/>
    <x v="2"/>
    <x v="2"/>
    <x v="0"/>
    <n v="66"/>
    <x v="2"/>
    <n v="42"/>
    <x v="1597"/>
    <n v="393850800"/>
    <x v="1"/>
    <x v="0"/>
    <x v="1"/>
    <x v="2"/>
    <x v="8"/>
    <n v="9"/>
    <x v="20"/>
    <n v="9377400"/>
    <n v="39.39"/>
  </r>
  <r>
    <d v="2024-09-22T00:00:00"/>
    <x v="14"/>
    <s v="Jaipur"/>
    <x v="6"/>
    <x v="13"/>
    <x v="0"/>
    <n v="48"/>
    <x v="12"/>
    <n v="151"/>
    <x v="1598"/>
    <n v="367956800"/>
    <x v="0"/>
    <x v="0"/>
    <x v="1"/>
    <x v="2"/>
    <x v="8"/>
    <n v="9"/>
    <x v="20"/>
    <n v="2436800"/>
    <n v="36.799999999999997"/>
  </r>
  <r>
    <d v="2024-09-22T00:00:00"/>
    <x v="6"/>
    <s v="Ahmedabad"/>
    <x v="0"/>
    <x v="0"/>
    <x v="3"/>
    <n v="82"/>
    <x v="0"/>
    <n v="72"/>
    <x v="1599"/>
    <n v="489340800"/>
    <x v="1"/>
    <x v="0"/>
    <x v="1"/>
    <x v="2"/>
    <x v="8"/>
    <n v="9"/>
    <x v="20"/>
    <n v="6796400"/>
    <n v="48.93"/>
  </r>
  <r>
    <d v="2024-09-23T00:00:00"/>
    <x v="7"/>
    <s v="Tirupati"/>
    <x v="0"/>
    <x v="0"/>
    <x v="1"/>
    <n v="82"/>
    <x v="0"/>
    <n v="79"/>
    <x v="1600"/>
    <n v="578185200"/>
    <x v="1"/>
    <x v="0"/>
    <x v="1"/>
    <x v="2"/>
    <x v="8"/>
    <n v="9"/>
    <x v="20"/>
    <n v="7318800"/>
    <n v="57.82"/>
  </r>
  <r>
    <d v="2024-09-23T00:00:00"/>
    <x v="5"/>
    <s v="Hubballi"/>
    <x v="15"/>
    <x v="17"/>
    <x v="0"/>
    <n v="5"/>
    <x v="15"/>
    <n v="140"/>
    <x v="1601"/>
    <n v="26082000"/>
    <x v="0"/>
    <x v="3"/>
    <x v="1"/>
    <x v="2"/>
    <x v="8"/>
    <n v="9"/>
    <x v="20"/>
    <n v="186300"/>
    <n v="2.61"/>
  </r>
  <r>
    <d v="2024-09-23T00:00:00"/>
    <x v="11"/>
    <s v="Chennai"/>
    <x v="6"/>
    <x v="13"/>
    <x v="0"/>
    <n v="48"/>
    <x v="12"/>
    <n v="97"/>
    <x v="1602"/>
    <n v="192593500"/>
    <x v="2"/>
    <x v="0"/>
    <x v="1"/>
    <x v="2"/>
    <x v="8"/>
    <n v="9"/>
    <x v="20"/>
    <n v="1985500"/>
    <n v="19.260000000000002"/>
  </r>
  <r>
    <d v="2024-09-23T00:00:00"/>
    <x v="14"/>
    <s v="Kota"/>
    <x v="4"/>
    <x v="4"/>
    <x v="0"/>
    <n v="77"/>
    <x v="4"/>
    <n v="49"/>
    <x v="1603"/>
    <n v="249263000"/>
    <x v="1"/>
    <x v="1"/>
    <x v="1"/>
    <x v="2"/>
    <x v="8"/>
    <n v="9"/>
    <x v="20"/>
    <n v="5087000"/>
    <n v="24.93"/>
  </r>
  <r>
    <d v="2024-09-23T00:00:00"/>
    <x v="10"/>
    <s v="Kochi"/>
    <x v="8"/>
    <x v="20"/>
    <x v="0"/>
    <n v="84"/>
    <x v="18"/>
    <n v="21"/>
    <x v="1604"/>
    <n v="169306200"/>
    <x v="1"/>
    <x v="3"/>
    <x v="1"/>
    <x v="2"/>
    <x v="8"/>
    <n v="9"/>
    <x v="20"/>
    <n v="8062200"/>
    <n v="16.93"/>
  </r>
  <r>
    <d v="2024-09-24T00:00:00"/>
    <x v="0"/>
    <s v="Hyderabad"/>
    <x v="12"/>
    <x v="14"/>
    <x v="0"/>
    <n v="82"/>
    <x v="13"/>
    <n v="16"/>
    <x v="1605"/>
    <n v="87164800"/>
    <x v="1"/>
    <x v="0"/>
    <x v="1"/>
    <x v="2"/>
    <x v="8"/>
    <n v="9"/>
    <x v="20"/>
    <n v="5447800"/>
    <n v="8.7200000000000006"/>
  </r>
  <r>
    <d v="2024-09-25T00:00:00"/>
    <x v="6"/>
    <s v="Vadodara"/>
    <x v="9"/>
    <x v="10"/>
    <x v="0"/>
    <n v="25"/>
    <x v="10"/>
    <n v="60"/>
    <x v="1606"/>
    <n v="77256000"/>
    <x v="1"/>
    <x v="2"/>
    <x v="1"/>
    <x v="2"/>
    <x v="8"/>
    <n v="9"/>
    <x v="20"/>
    <n v="1287600"/>
    <n v="7.73"/>
  </r>
  <r>
    <d v="2024-09-25T00:00:00"/>
    <x v="8"/>
    <s v="Kolkata"/>
    <x v="6"/>
    <x v="6"/>
    <x v="0"/>
    <n v="72"/>
    <x v="6"/>
    <n v="71"/>
    <x v="1607"/>
    <n v="328815200"/>
    <x v="2"/>
    <x v="0"/>
    <x v="1"/>
    <x v="2"/>
    <x v="8"/>
    <n v="9"/>
    <x v="20"/>
    <n v="4631200"/>
    <n v="32.880000000000003"/>
  </r>
  <r>
    <d v="2024-09-25T00:00:00"/>
    <x v="1"/>
    <s v="New Delhi"/>
    <x v="3"/>
    <x v="3"/>
    <x v="0"/>
    <n v="3"/>
    <x v="3"/>
    <n v="92"/>
    <x v="784"/>
    <n v="9512800"/>
    <x v="1"/>
    <x v="1"/>
    <x v="1"/>
    <x v="2"/>
    <x v="8"/>
    <n v="9"/>
    <x v="20"/>
    <n v="103400"/>
    <n v="0.95"/>
  </r>
  <r>
    <d v="2024-09-26T00:00:00"/>
    <x v="12"/>
    <s v="Gurugram"/>
    <x v="9"/>
    <x v="9"/>
    <x v="0"/>
    <n v="50"/>
    <x v="9"/>
    <n v="63"/>
    <x v="1608"/>
    <n v="134234100"/>
    <x v="1"/>
    <x v="0"/>
    <x v="1"/>
    <x v="2"/>
    <x v="8"/>
    <n v="9"/>
    <x v="20"/>
    <n v="2130700"/>
    <n v="13.42"/>
  </r>
  <r>
    <d v="2024-09-26T00:00:00"/>
    <x v="12"/>
    <s v="Panipat"/>
    <x v="0"/>
    <x v="0"/>
    <x v="0"/>
    <n v="82"/>
    <x v="0"/>
    <n v="20"/>
    <x v="1609"/>
    <n v="152320000"/>
    <x v="1"/>
    <x v="1"/>
    <x v="1"/>
    <x v="2"/>
    <x v="8"/>
    <n v="9"/>
    <x v="20"/>
    <n v="7616000"/>
    <n v="15.23"/>
  </r>
  <r>
    <d v="2024-09-27T00:00:00"/>
    <x v="6"/>
    <s v="Vadodara"/>
    <x v="0"/>
    <x v="0"/>
    <x v="1"/>
    <n v="82"/>
    <x v="0"/>
    <n v="40"/>
    <x v="1610"/>
    <n v="301992000"/>
    <x v="0"/>
    <x v="1"/>
    <x v="1"/>
    <x v="2"/>
    <x v="8"/>
    <n v="9"/>
    <x v="20"/>
    <n v="7549800"/>
    <n v="30.2"/>
  </r>
  <r>
    <d v="2024-09-28T00:00:00"/>
    <x v="6"/>
    <s v="Vadodara"/>
    <x v="12"/>
    <x v="14"/>
    <x v="0"/>
    <n v="82"/>
    <x v="13"/>
    <n v="62"/>
    <x v="1611"/>
    <n v="311426000"/>
    <x v="1"/>
    <x v="0"/>
    <x v="1"/>
    <x v="2"/>
    <x v="8"/>
    <n v="9"/>
    <x v="20"/>
    <n v="5023000"/>
    <n v="31.14"/>
  </r>
  <r>
    <d v="2024-09-28T00:00:00"/>
    <x v="14"/>
    <s v="Udaipur"/>
    <x v="11"/>
    <x v="23"/>
    <x v="0"/>
    <n v="59"/>
    <x v="20"/>
    <n v="122"/>
    <x v="1612"/>
    <n v="309453000"/>
    <x v="1"/>
    <x v="0"/>
    <x v="1"/>
    <x v="2"/>
    <x v="8"/>
    <n v="9"/>
    <x v="20"/>
    <n v="2536500"/>
    <n v="30.95"/>
  </r>
  <r>
    <d v="2024-09-28T00:00:00"/>
    <x v="6"/>
    <s v="Ahmedabad"/>
    <x v="1"/>
    <x v="21"/>
    <x v="0"/>
    <n v="3"/>
    <x v="19"/>
    <n v="94"/>
    <x v="270"/>
    <n v="8742000"/>
    <x v="2"/>
    <x v="2"/>
    <x v="1"/>
    <x v="2"/>
    <x v="8"/>
    <n v="9"/>
    <x v="20"/>
    <n v="93000"/>
    <n v="0.87"/>
  </r>
  <r>
    <d v="2024-09-28T00:00:00"/>
    <x v="14"/>
    <s v="Jodhpur"/>
    <x v="1"/>
    <x v="1"/>
    <x v="0"/>
    <n v="4"/>
    <x v="1"/>
    <n v="120"/>
    <x v="132"/>
    <n v="16488000"/>
    <x v="2"/>
    <x v="0"/>
    <x v="1"/>
    <x v="2"/>
    <x v="8"/>
    <n v="9"/>
    <x v="20"/>
    <n v="137400"/>
    <n v="1.65"/>
  </r>
  <r>
    <d v="2024-09-28T00:00:00"/>
    <x v="11"/>
    <s v="Madurai"/>
    <x v="13"/>
    <x v="22"/>
    <x v="0"/>
    <n v="35"/>
    <x v="10"/>
    <n v="14"/>
    <x v="1613"/>
    <n v="30329600"/>
    <x v="0"/>
    <x v="1"/>
    <x v="1"/>
    <x v="2"/>
    <x v="8"/>
    <n v="9"/>
    <x v="20"/>
    <n v="2166400"/>
    <n v="3.03"/>
  </r>
  <r>
    <d v="2024-09-29T00:00:00"/>
    <x v="3"/>
    <s v="Pune"/>
    <x v="12"/>
    <x v="18"/>
    <x v="2"/>
    <n v="60"/>
    <x v="16"/>
    <n v="44"/>
    <x v="1614"/>
    <n v="151650400"/>
    <x v="1"/>
    <x v="0"/>
    <x v="1"/>
    <x v="2"/>
    <x v="8"/>
    <n v="9"/>
    <x v="20"/>
    <n v="3446600"/>
    <n v="15.17"/>
  </r>
  <r>
    <d v="2024-09-29T00:00:00"/>
    <x v="11"/>
    <s v="Madurai"/>
    <x v="4"/>
    <x v="4"/>
    <x v="0"/>
    <n v="77"/>
    <x v="4"/>
    <n v="46"/>
    <x v="1615"/>
    <n v="247204000"/>
    <x v="1"/>
    <x v="3"/>
    <x v="1"/>
    <x v="2"/>
    <x v="8"/>
    <n v="9"/>
    <x v="20"/>
    <n v="5374000"/>
    <n v="24.72"/>
  </r>
  <r>
    <d v="2024-09-29T00:00:00"/>
    <x v="7"/>
    <s v="Vijayawada"/>
    <x v="15"/>
    <x v="17"/>
    <x v="0"/>
    <n v="5"/>
    <x v="15"/>
    <n v="112"/>
    <x v="1616"/>
    <n v="18032000"/>
    <x v="1"/>
    <x v="2"/>
    <x v="1"/>
    <x v="2"/>
    <x v="8"/>
    <n v="9"/>
    <x v="20"/>
    <n v="161000"/>
    <n v="1.8"/>
  </r>
  <r>
    <d v="2024-09-29T00:00:00"/>
    <x v="3"/>
    <s v="Mumbai"/>
    <x v="11"/>
    <x v="23"/>
    <x v="0"/>
    <n v="59"/>
    <x v="20"/>
    <n v="106"/>
    <x v="1617"/>
    <n v="247859800"/>
    <x v="0"/>
    <x v="2"/>
    <x v="1"/>
    <x v="2"/>
    <x v="8"/>
    <n v="9"/>
    <x v="20"/>
    <n v="2338300"/>
    <n v="24.79"/>
  </r>
  <r>
    <d v="2024-09-29T00:00:00"/>
    <x v="4"/>
    <s v="Ludhiana"/>
    <x v="8"/>
    <x v="8"/>
    <x v="0"/>
    <n v="66"/>
    <x v="8"/>
    <n v="79"/>
    <x v="1618"/>
    <n v="458302700"/>
    <x v="1"/>
    <x v="0"/>
    <x v="1"/>
    <x v="2"/>
    <x v="8"/>
    <n v="9"/>
    <x v="20"/>
    <n v="5801300"/>
    <n v="45.83"/>
  </r>
  <r>
    <d v="2024-10-01T00:00:00"/>
    <x v="3"/>
    <s v="Nashik"/>
    <x v="5"/>
    <x v="5"/>
    <x v="0"/>
    <n v="30"/>
    <x v="5"/>
    <n v="63"/>
    <x v="1619"/>
    <n v="80142300"/>
    <x v="0"/>
    <x v="0"/>
    <x v="1"/>
    <x v="3"/>
    <x v="9"/>
    <n v="10"/>
    <x v="21"/>
    <n v="1272100"/>
    <n v="8.01"/>
  </r>
  <r>
    <d v="2024-10-01T00:00:00"/>
    <x v="8"/>
    <s v="Asansol"/>
    <x v="6"/>
    <x v="6"/>
    <x v="0"/>
    <n v="72"/>
    <x v="6"/>
    <n v="118"/>
    <x v="1620"/>
    <n v="615700400"/>
    <x v="1"/>
    <x v="1"/>
    <x v="1"/>
    <x v="3"/>
    <x v="9"/>
    <n v="10"/>
    <x v="21"/>
    <n v="5217800"/>
    <n v="61.57"/>
  </r>
  <r>
    <d v="2024-10-02T00:00:00"/>
    <x v="1"/>
    <s v="New Delhi"/>
    <x v="13"/>
    <x v="22"/>
    <x v="0"/>
    <n v="35"/>
    <x v="10"/>
    <n v="33"/>
    <x v="1621"/>
    <n v="70092000"/>
    <x v="0"/>
    <x v="2"/>
    <x v="1"/>
    <x v="3"/>
    <x v="9"/>
    <n v="10"/>
    <x v="21"/>
    <n v="2124000"/>
    <n v="7.01"/>
  </r>
  <r>
    <d v="2024-10-02T00:00:00"/>
    <x v="2"/>
    <s v="Noida"/>
    <x v="13"/>
    <x v="22"/>
    <x v="0"/>
    <n v="35"/>
    <x v="10"/>
    <n v="113"/>
    <x v="1622"/>
    <n v="193083100"/>
    <x v="1"/>
    <x v="0"/>
    <x v="1"/>
    <x v="3"/>
    <x v="9"/>
    <n v="10"/>
    <x v="21"/>
    <n v="1708700"/>
    <n v="19.309999999999999"/>
  </r>
  <r>
    <d v="2024-10-02T00:00:00"/>
    <x v="8"/>
    <s v="Kolkata"/>
    <x v="6"/>
    <x v="6"/>
    <x v="1"/>
    <n v="72"/>
    <x v="6"/>
    <n v="69"/>
    <x v="1623"/>
    <n v="296120400"/>
    <x v="1"/>
    <x v="0"/>
    <x v="1"/>
    <x v="3"/>
    <x v="9"/>
    <n v="10"/>
    <x v="21"/>
    <n v="4291600"/>
    <n v="29.61"/>
  </r>
  <r>
    <d v="2024-10-02T00:00:00"/>
    <x v="0"/>
    <s v="Hyderabad"/>
    <x v="11"/>
    <x v="23"/>
    <x v="0"/>
    <n v="59"/>
    <x v="20"/>
    <n v="149"/>
    <x v="1624"/>
    <n v="380695000"/>
    <x v="0"/>
    <x v="0"/>
    <x v="1"/>
    <x v="3"/>
    <x v="9"/>
    <n v="10"/>
    <x v="21"/>
    <n v="2555000"/>
    <n v="38.07"/>
  </r>
  <r>
    <d v="2024-10-03T00:00:00"/>
    <x v="10"/>
    <s v="Thiruvananthapuram"/>
    <x v="14"/>
    <x v="16"/>
    <x v="0"/>
    <n v="3"/>
    <x v="15"/>
    <n v="105"/>
    <x v="524"/>
    <n v="16611000"/>
    <x v="1"/>
    <x v="0"/>
    <x v="1"/>
    <x v="3"/>
    <x v="9"/>
    <n v="10"/>
    <x v="21"/>
    <n v="158200"/>
    <n v="1.66"/>
  </r>
  <r>
    <d v="2024-10-04T00:00:00"/>
    <x v="6"/>
    <s v="Surat"/>
    <x v="7"/>
    <x v="7"/>
    <x v="0"/>
    <n v="3"/>
    <x v="7"/>
    <n v="135"/>
    <x v="982"/>
    <n v="22288500"/>
    <x v="0"/>
    <x v="0"/>
    <x v="1"/>
    <x v="3"/>
    <x v="9"/>
    <n v="10"/>
    <x v="21"/>
    <n v="165100"/>
    <n v="2.23"/>
  </r>
  <r>
    <d v="2024-10-04T00:00:00"/>
    <x v="13"/>
    <s v="Bhopal"/>
    <x v="1"/>
    <x v="1"/>
    <x v="0"/>
    <n v="4"/>
    <x v="1"/>
    <n v="61"/>
    <x v="1002"/>
    <n v="9631900"/>
    <x v="1"/>
    <x v="0"/>
    <x v="1"/>
    <x v="3"/>
    <x v="9"/>
    <n v="10"/>
    <x v="21"/>
    <n v="157900"/>
    <n v="0.96"/>
  </r>
  <r>
    <d v="2024-10-04T00:00:00"/>
    <x v="2"/>
    <s v="Lucknow"/>
    <x v="1"/>
    <x v="1"/>
    <x v="0"/>
    <n v="4"/>
    <x v="1"/>
    <n v="25"/>
    <x v="1263"/>
    <n v="3657500"/>
    <x v="0"/>
    <x v="0"/>
    <x v="1"/>
    <x v="3"/>
    <x v="9"/>
    <n v="10"/>
    <x v="21"/>
    <n v="146300"/>
    <n v="0.37"/>
  </r>
  <r>
    <d v="2024-10-04T00:00:00"/>
    <x v="2"/>
    <s v="Kanpur"/>
    <x v="1"/>
    <x v="1"/>
    <x v="0"/>
    <n v="4"/>
    <x v="1"/>
    <n v="124"/>
    <x v="1625"/>
    <n v="17136800"/>
    <x v="1"/>
    <x v="1"/>
    <x v="1"/>
    <x v="3"/>
    <x v="9"/>
    <n v="10"/>
    <x v="21"/>
    <n v="138200"/>
    <n v="1.71"/>
  </r>
  <r>
    <d v="2024-10-04T00:00:00"/>
    <x v="3"/>
    <s v="Pune"/>
    <x v="13"/>
    <x v="15"/>
    <x v="0"/>
    <n v="40"/>
    <x v="14"/>
    <n v="10"/>
    <x v="1626"/>
    <n v="21156000"/>
    <x v="2"/>
    <x v="0"/>
    <x v="1"/>
    <x v="3"/>
    <x v="9"/>
    <n v="10"/>
    <x v="21"/>
    <n v="2115600"/>
    <n v="2.12"/>
  </r>
  <r>
    <d v="2024-10-04T00:00:00"/>
    <x v="10"/>
    <s v="Kochi"/>
    <x v="0"/>
    <x v="0"/>
    <x v="1"/>
    <n v="82"/>
    <x v="0"/>
    <n v="73"/>
    <x v="1627"/>
    <n v="521125100"/>
    <x v="1"/>
    <x v="0"/>
    <x v="1"/>
    <x v="3"/>
    <x v="9"/>
    <n v="10"/>
    <x v="21"/>
    <n v="7138700"/>
    <n v="52.11"/>
  </r>
  <r>
    <d v="2024-10-05T00:00:00"/>
    <x v="1"/>
    <s v="Saket"/>
    <x v="1"/>
    <x v="21"/>
    <x v="0"/>
    <n v="3"/>
    <x v="19"/>
    <n v="44"/>
    <x v="1628"/>
    <n v="4932400"/>
    <x v="1"/>
    <x v="0"/>
    <x v="1"/>
    <x v="3"/>
    <x v="9"/>
    <n v="10"/>
    <x v="21"/>
    <n v="112100"/>
    <n v="0.49"/>
  </r>
  <r>
    <d v="2024-10-05T00:00:00"/>
    <x v="3"/>
    <s v="Nagpur"/>
    <x v="9"/>
    <x v="9"/>
    <x v="2"/>
    <n v="50"/>
    <x v="9"/>
    <n v="47"/>
    <x v="1629"/>
    <n v="114900900"/>
    <x v="1"/>
    <x v="0"/>
    <x v="1"/>
    <x v="3"/>
    <x v="9"/>
    <n v="10"/>
    <x v="21"/>
    <n v="2444700"/>
    <n v="11.49"/>
  </r>
  <r>
    <d v="2024-10-06T00:00:00"/>
    <x v="9"/>
    <s v="Patna"/>
    <x v="12"/>
    <x v="18"/>
    <x v="0"/>
    <n v="60"/>
    <x v="16"/>
    <n v="39"/>
    <x v="1630"/>
    <n v="139191000"/>
    <x v="0"/>
    <x v="0"/>
    <x v="1"/>
    <x v="3"/>
    <x v="9"/>
    <n v="10"/>
    <x v="21"/>
    <n v="3569000"/>
    <n v="13.92"/>
  </r>
  <r>
    <d v="2024-10-06T00:00:00"/>
    <x v="8"/>
    <s v="Asansol"/>
    <x v="5"/>
    <x v="5"/>
    <x v="0"/>
    <n v="30"/>
    <x v="5"/>
    <n v="73"/>
    <x v="1631"/>
    <n v="115989700"/>
    <x v="1"/>
    <x v="0"/>
    <x v="1"/>
    <x v="3"/>
    <x v="9"/>
    <n v="10"/>
    <x v="21"/>
    <n v="1588900"/>
    <n v="11.6"/>
  </r>
  <r>
    <d v="2024-10-08T00:00:00"/>
    <x v="0"/>
    <s v="Warangal"/>
    <x v="6"/>
    <x v="6"/>
    <x v="0"/>
    <n v="72"/>
    <x v="6"/>
    <n v="173"/>
    <x v="1632"/>
    <n v="874290100"/>
    <x v="1"/>
    <x v="0"/>
    <x v="1"/>
    <x v="3"/>
    <x v="9"/>
    <n v="10"/>
    <x v="21"/>
    <n v="5053700"/>
    <n v="87.43"/>
  </r>
  <r>
    <d v="2024-10-08T00:00:00"/>
    <x v="3"/>
    <s v="Nagpur"/>
    <x v="10"/>
    <x v="11"/>
    <x v="0"/>
    <n v="69"/>
    <x v="11"/>
    <n v="35"/>
    <x v="1633"/>
    <n v="175000000"/>
    <x v="2"/>
    <x v="0"/>
    <x v="1"/>
    <x v="3"/>
    <x v="9"/>
    <n v="10"/>
    <x v="21"/>
    <n v="5000000"/>
    <n v="17.5"/>
  </r>
  <r>
    <d v="2024-10-08T00:00:00"/>
    <x v="6"/>
    <s v="Ahmedabad"/>
    <x v="1"/>
    <x v="21"/>
    <x v="0"/>
    <n v="3"/>
    <x v="19"/>
    <n v="85"/>
    <x v="1634"/>
    <n v="7786000"/>
    <x v="2"/>
    <x v="0"/>
    <x v="1"/>
    <x v="3"/>
    <x v="9"/>
    <n v="10"/>
    <x v="21"/>
    <n v="91600"/>
    <n v="0.78"/>
  </r>
  <r>
    <d v="2024-10-09T00:00:00"/>
    <x v="8"/>
    <s v="Asansol"/>
    <x v="0"/>
    <x v="0"/>
    <x v="3"/>
    <n v="82"/>
    <x v="0"/>
    <n v="25"/>
    <x v="1635"/>
    <n v="164127500"/>
    <x v="1"/>
    <x v="0"/>
    <x v="1"/>
    <x v="3"/>
    <x v="9"/>
    <n v="10"/>
    <x v="21"/>
    <n v="6565100"/>
    <n v="16.41"/>
  </r>
  <r>
    <d v="2024-10-09T00:00:00"/>
    <x v="11"/>
    <s v="Coimbatore"/>
    <x v="5"/>
    <x v="5"/>
    <x v="3"/>
    <n v="30"/>
    <x v="5"/>
    <n v="41"/>
    <x v="1636"/>
    <n v="67428600"/>
    <x v="0"/>
    <x v="0"/>
    <x v="1"/>
    <x v="3"/>
    <x v="9"/>
    <n v="10"/>
    <x v="21"/>
    <n v="1644600"/>
    <n v="6.74"/>
  </r>
  <r>
    <d v="2024-10-09T00:00:00"/>
    <x v="5"/>
    <s v="Hubballi"/>
    <x v="13"/>
    <x v="22"/>
    <x v="1"/>
    <n v="35"/>
    <x v="10"/>
    <n v="97"/>
    <x v="1637"/>
    <n v="194397700"/>
    <x v="1"/>
    <x v="2"/>
    <x v="1"/>
    <x v="3"/>
    <x v="9"/>
    <n v="10"/>
    <x v="21"/>
    <n v="2004100"/>
    <n v="19.440000000000001"/>
  </r>
  <r>
    <d v="2024-10-09T00:00:00"/>
    <x v="4"/>
    <s v="Jalandhar"/>
    <x v="15"/>
    <x v="17"/>
    <x v="0"/>
    <n v="5"/>
    <x v="15"/>
    <n v="43"/>
    <x v="1638"/>
    <n v="6037200"/>
    <x v="1"/>
    <x v="2"/>
    <x v="1"/>
    <x v="3"/>
    <x v="9"/>
    <n v="10"/>
    <x v="21"/>
    <n v="140400"/>
    <n v="0.6"/>
  </r>
  <r>
    <d v="2024-10-10T00:00:00"/>
    <x v="0"/>
    <s v="Hyderabad"/>
    <x v="14"/>
    <x v="16"/>
    <x v="0"/>
    <n v="3"/>
    <x v="15"/>
    <n v="35"/>
    <x v="1639"/>
    <n v="4585000"/>
    <x v="1"/>
    <x v="1"/>
    <x v="1"/>
    <x v="3"/>
    <x v="9"/>
    <n v="10"/>
    <x v="21"/>
    <n v="131000"/>
    <n v="0.46"/>
  </r>
  <r>
    <d v="2024-10-10T00:00:00"/>
    <x v="12"/>
    <s v="Faridabad"/>
    <x v="4"/>
    <x v="4"/>
    <x v="0"/>
    <n v="77"/>
    <x v="4"/>
    <n v="43"/>
    <x v="1640"/>
    <n v="219794500"/>
    <x v="0"/>
    <x v="1"/>
    <x v="1"/>
    <x v="3"/>
    <x v="9"/>
    <n v="10"/>
    <x v="21"/>
    <n v="5111500"/>
    <n v="21.98"/>
  </r>
  <r>
    <d v="2024-10-10T00:00:00"/>
    <x v="0"/>
    <s v="Nizamabad"/>
    <x v="9"/>
    <x v="9"/>
    <x v="0"/>
    <n v="50"/>
    <x v="9"/>
    <n v="144"/>
    <x v="1641"/>
    <n v="314006400"/>
    <x v="0"/>
    <x v="0"/>
    <x v="1"/>
    <x v="3"/>
    <x v="9"/>
    <n v="10"/>
    <x v="21"/>
    <n v="2180600"/>
    <n v="31.4"/>
  </r>
  <r>
    <d v="2024-10-12T00:00:00"/>
    <x v="10"/>
    <s v="Kozhikode"/>
    <x v="11"/>
    <x v="23"/>
    <x v="0"/>
    <n v="59"/>
    <x v="20"/>
    <n v="75"/>
    <x v="1642"/>
    <n v="232357500"/>
    <x v="1"/>
    <x v="0"/>
    <x v="1"/>
    <x v="3"/>
    <x v="9"/>
    <n v="10"/>
    <x v="21"/>
    <n v="3098100"/>
    <n v="23.24"/>
  </r>
  <r>
    <d v="2024-10-12T00:00:00"/>
    <x v="1"/>
    <s v="Saket"/>
    <x v="13"/>
    <x v="15"/>
    <x v="0"/>
    <n v="40"/>
    <x v="14"/>
    <n v="93"/>
    <x v="1643"/>
    <n v="215313600"/>
    <x v="1"/>
    <x v="2"/>
    <x v="1"/>
    <x v="3"/>
    <x v="9"/>
    <n v="10"/>
    <x v="21"/>
    <n v="2315200"/>
    <n v="21.53"/>
  </r>
  <r>
    <d v="2024-10-12T00:00:00"/>
    <x v="2"/>
    <s v="Ghaziabad"/>
    <x v="13"/>
    <x v="19"/>
    <x v="0"/>
    <n v="24"/>
    <x v="17"/>
    <n v="123"/>
    <x v="280"/>
    <n v="158682300"/>
    <x v="1"/>
    <x v="1"/>
    <x v="1"/>
    <x v="3"/>
    <x v="9"/>
    <n v="10"/>
    <x v="21"/>
    <n v="1290100"/>
    <n v="15.87"/>
  </r>
  <r>
    <d v="2024-10-12T00:00:00"/>
    <x v="5"/>
    <s v="Mysuru"/>
    <x v="6"/>
    <x v="13"/>
    <x v="0"/>
    <n v="48"/>
    <x v="12"/>
    <n v="101"/>
    <x v="1644"/>
    <n v="270508300"/>
    <x v="1"/>
    <x v="1"/>
    <x v="1"/>
    <x v="3"/>
    <x v="9"/>
    <n v="10"/>
    <x v="21"/>
    <n v="2678300"/>
    <n v="27.05"/>
  </r>
  <r>
    <d v="2024-10-13T00:00:00"/>
    <x v="12"/>
    <s v="Gurugram"/>
    <x v="12"/>
    <x v="18"/>
    <x v="2"/>
    <n v="60"/>
    <x v="16"/>
    <n v="71"/>
    <x v="1645"/>
    <n v="232439800"/>
    <x v="1"/>
    <x v="3"/>
    <x v="1"/>
    <x v="3"/>
    <x v="9"/>
    <n v="10"/>
    <x v="21"/>
    <n v="3273800"/>
    <n v="23.24"/>
  </r>
  <r>
    <d v="2024-10-13T00:00:00"/>
    <x v="6"/>
    <s v="Vadodara"/>
    <x v="9"/>
    <x v="10"/>
    <x v="0"/>
    <n v="25"/>
    <x v="10"/>
    <n v="169"/>
    <x v="1646"/>
    <n v="193640200"/>
    <x v="0"/>
    <x v="1"/>
    <x v="1"/>
    <x v="3"/>
    <x v="9"/>
    <n v="10"/>
    <x v="21"/>
    <n v="1145800"/>
    <n v="19.36"/>
  </r>
  <r>
    <d v="2024-10-14T00:00:00"/>
    <x v="14"/>
    <s v="Jaipur"/>
    <x v="5"/>
    <x v="5"/>
    <x v="0"/>
    <n v="30"/>
    <x v="5"/>
    <n v="68"/>
    <x v="1647"/>
    <n v="82286800"/>
    <x v="1"/>
    <x v="1"/>
    <x v="1"/>
    <x v="3"/>
    <x v="9"/>
    <n v="10"/>
    <x v="21"/>
    <n v="1210100"/>
    <n v="8.23"/>
  </r>
  <r>
    <d v="2024-10-14T00:00:00"/>
    <x v="2"/>
    <s v="Noida"/>
    <x v="0"/>
    <x v="0"/>
    <x v="0"/>
    <n v="82"/>
    <x v="0"/>
    <n v="67"/>
    <x v="1648"/>
    <n v="495089800"/>
    <x v="1"/>
    <x v="2"/>
    <x v="1"/>
    <x v="3"/>
    <x v="9"/>
    <n v="10"/>
    <x v="21"/>
    <n v="7389400"/>
    <n v="49.51"/>
  </r>
  <r>
    <d v="2024-10-14T00:00:00"/>
    <x v="5"/>
    <s v="Mangaluru"/>
    <x v="4"/>
    <x v="4"/>
    <x v="0"/>
    <n v="77"/>
    <x v="4"/>
    <n v="24"/>
    <x v="1649"/>
    <n v="113176800"/>
    <x v="1"/>
    <x v="0"/>
    <x v="1"/>
    <x v="3"/>
    <x v="9"/>
    <n v="10"/>
    <x v="21"/>
    <n v="4715700"/>
    <n v="11.32"/>
  </r>
  <r>
    <d v="2024-10-15T00:00:00"/>
    <x v="3"/>
    <s v="Pune"/>
    <x v="12"/>
    <x v="18"/>
    <x v="1"/>
    <n v="60"/>
    <x v="16"/>
    <n v="60"/>
    <x v="1650"/>
    <n v="197148000"/>
    <x v="0"/>
    <x v="2"/>
    <x v="1"/>
    <x v="3"/>
    <x v="9"/>
    <n v="10"/>
    <x v="21"/>
    <n v="3285800"/>
    <n v="19.71"/>
  </r>
  <r>
    <d v="2024-10-16T00:00:00"/>
    <x v="1"/>
    <s v="New Delhi"/>
    <x v="7"/>
    <x v="7"/>
    <x v="0"/>
    <n v="3"/>
    <x v="7"/>
    <n v="17"/>
    <x v="1651"/>
    <n v="3202800"/>
    <x v="1"/>
    <x v="0"/>
    <x v="1"/>
    <x v="3"/>
    <x v="9"/>
    <n v="10"/>
    <x v="21"/>
    <n v="188400"/>
    <n v="0.32"/>
  </r>
  <r>
    <d v="2024-10-17T00:00:00"/>
    <x v="0"/>
    <s v="Nizamabad"/>
    <x v="6"/>
    <x v="13"/>
    <x v="1"/>
    <n v="48"/>
    <x v="12"/>
    <n v="129"/>
    <x v="1652"/>
    <n v="337038300"/>
    <x v="2"/>
    <x v="0"/>
    <x v="1"/>
    <x v="3"/>
    <x v="9"/>
    <n v="10"/>
    <x v="21"/>
    <n v="2612700"/>
    <n v="33.700000000000003"/>
  </r>
  <r>
    <d v="2024-10-17T00:00:00"/>
    <x v="14"/>
    <s v="Kota"/>
    <x v="14"/>
    <x v="16"/>
    <x v="0"/>
    <n v="3"/>
    <x v="15"/>
    <n v="25"/>
    <x v="1653"/>
    <n v="3600000"/>
    <x v="0"/>
    <x v="0"/>
    <x v="1"/>
    <x v="3"/>
    <x v="9"/>
    <n v="10"/>
    <x v="21"/>
    <n v="144000"/>
    <n v="0.36"/>
  </r>
  <r>
    <d v="2024-10-17T00:00:00"/>
    <x v="4"/>
    <s v="Amritsar"/>
    <x v="9"/>
    <x v="9"/>
    <x v="0"/>
    <n v="50"/>
    <x v="9"/>
    <n v="28"/>
    <x v="1654"/>
    <n v="77812000"/>
    <x v="1"/>
    <x v="0"/>
    <x v="1"/>
    <x v="3"/>
    <x v="9"/>
    <n v="10"/>
    <x v="21"/>
    <n v="2779000"/>
    <n v="7.78"/>
  </r>
  <r>
    <d v="2024-10-18T00:00:00"/>
    <x v="13"/>
    <s v="Gwalior"/>
    <x v="4"/>
    <x v="4"/>
    <x v="0"/>
    <n v="77"/>
    <x v="4"/>
    <n v="24"/>
    <x v="1655"/>
    <n v="125020800"/>
    <x v="0"/>
    <x v="0"/>
    <x v="1"/>
    <x v="3"/>
    <x v="9"/>
    <n v="10"/>
    <x v="21"/>
    <n v="5209200"/>
    <n v="12.5"/>
  </r>
  <r>
    <d v="2024-10-18T00:00:00"/>
    <x v="14"/>
    <s v="Udaipur"/>
    <x v="4"/>
    <x v="4"/>
    <x v="0"/>
    <n v="77"/>
    <x v="4"/>
    <n v="66"/>
    <x v="1656"/>
    <n v="307850400"/>
    <x v="1"/>
    <x v="2"/>
    <x v="1"/>
    <x v="3"/>
    <x v="9"/>
    <n v="10"/>
    <x v="21"/>
    <n v="4664400"/>
    <n v="30.79"/>
  </r>
  <r>
    <d v="2024-10-18T00:00:00"/>
    <x v="2"/>
    <s v="Noida"/>
    <x v="10"/>
    <x v="11"/>
    <x v="0"/>
    <n v="69"/>
    <x v="11"/>
    <n v="7"/>
    <x v="1657"/>
    <n v="38682700"/>
    <x v="1"/>
    <x v="1"/>
    <x v="1"/>
    <x v="3"/>
    <x v="9"/>
    <n v="10"/>
    <x v="21"/>
    <n v="5526100"/>
    <n v="3.87"/>
  </r>
  <r>
    <d v="2024-10-18T00:00:00"/>
    <x v="5"/>
    <s v="Mysuru"/>
    <x v="10"/>
    <x v="11"/>
    <x v="0"/>
    <n v="69"/>
    <x v="11"/>
    <n v="64"/>
    <x v="1658"/>
    <n v="307897600"/>
    <x v="0"/>
    <x v="0"/>
    <x v="1"/>
    <x v="3"/>
    <x v="9"/>
    <n v="10"/>
    <x v="21"/>
    <n v="4810900"/>
    <n v="30.79"/>
  </r>
  <r>
    <d v="2024-10-18T00:00:00"/>
    <x v="6"/>
    <s v="Ahmedabad"/>
    <x v="3"/>
    <x v="3"/>
    <x v="0"/>
    <n v="3"/>
    <x v="3"/>
    <n v="26"/>
    <x v="1659"/>
    <n v="3541200"/>
    <x v="0"/>
    <x v="1"/>
    <x v="1"/>
    <x v="3"/>
    <x v="9"/>
    <n v="10"/>
    <x v="21"/>
    <n v="136200"/>
    <n v="0.35"/>
  </r>
  <r>
    <d v="2024-10-18T00:00:00"/>
    <x v="11"/>
    <s v="Madurai"/>
    <x v="7"/>
    <x v="7"/>
    <x v="0"/>
    <n v="3"/>
    <x v="7"/>
    <n v="138"/>
    <x v="1660"/>
    <n v="19954800"/>
    <x v="1"/>
    <x v="1"/>
    <x v="1"/>
    <x v="3"/>
    <x v="9"/>
    <n v="10"/>
    <x v="21"/>
    <n v="144600"/>
    <n v="2"/>
  </r>
  <r>
    <d v="2024-10-19T00:00:00"/>
    <x v="8"/>
    <s v="Asansol"/>
    <x v="5"/>
    <x v="5"/>
    <x v="2"/>
    <n v="30"/>
    <x v="5"/>
    <n v="19"/>
    <x v="1661"/>
    <n v="28277700"/>
    <x v="1"/>
    <x v="2"/>
    <x v="1"/>
    <x v="3"/>
    <x v="9"/>
    <n v="10"/>
    <x v="21"/>
    <n v="1488300"/>
    <n v="2.83"/>
  </r>
  <r>
    <d v="2024-10-19T00:00:00"/>
    <x v="3"/>
    <s v="Nashik"/>
    <x v="11"/>
    <x v="12"/>
    <x v="0"/>
    <n v="40"/>
    <x v="12"/>
    <n v="52"/>
    <x v="1662"/>
    <n v="95867200"/>
    <x v="1"/>
    <x v="1"/>
    <x v="1"/>
    <x v="3"/>
    <x v="9"/>
    <n v="10"/>
    <x v="21"/>
    <n v="1843600"/>
    <n v="9.59"/>
  </r>
  <r>
    <d v="2024-10-19T00:00:00"/>
    <x v="4"/>
    <s v="Ludhiana"/>
    <x v="13"/>
    <x v="22"/>
    <x v="0"/>
    <n v="35"/>
    <x v="10"/>
    <n v="175"/>
    <x v="1663"/>
    <n v="352695000"/>
    <x v="0"/>
    <x v="0"/>
    <x v="1"/>
    <x v="3"/>
    <x v="9"/>
    <n v="10"/>
    <x v="21"/>
    <n v="2015400"/>
    <n v="35.270000000000003"/>
  </r>
  <r>
    <d v="2024-10-20T00:00:00"/>
    <x v="7"/>
    <s v="Tirupati"/>
    <x v="9"/>
    <x v="9"/>
    <x v="2"/>
    <n v="50"/>
    <x v="9"/>
    <n v="23"/>
    <x v="1664"/>
    <n v="57580500"/>
    <x v="1"/>
    <x v="3"/>
    <x v="1"/>
    <x v="3"/>
    <x v="9"/>
    <n v="10"/>
    <x v="21"/>
    <n v="2503500"/>
    <n v="5.76"/>
  </r>
  <r>
    <d v="2024-10-20T00:00:00"/>
    <x v="0"/>
    <s v="Warangal"/>
    <x v="0"/>
    <x v="0"/>
    <x v="0"/>
    <n v="82"/>
    <x v="0"/>
    <n v="19"/>
    <x v="1665"/>
    <n v="134727100"/>
    <x v="2"/>
    <x v="0"/>
    <x v="1"/>
    <x v="3"/>
    <x v="9"/>
    <n v="10"/>
    <x v="21"/>
    <n v="7090900"/>
    <n v="13.47"/>
  </r>
  <r>
    <d v="2024-10-20T00:00:00"/>
    <x v="2"/>
    <s v="Lucknow"/>
    <x v="14"/>
    <x v="16"/>
    <x v="0"/>
    <n v="3"/>
    <x v="15"/>
    <n v="12"/>
    <x v="754"/>
    <n v="1641600"/>
    <x v="1"/>
    <x v="0"/>
    <x v="1"/>
    <x v="3"/>
    <x v="9"/>
    <n v="10"/>
    <x v="21"/>
    <n v="136800"/>
    <n v="0.16"/>
  </r>
  <r>
    <d v="2024-10-20T00:00:00"/>
    <x v="11"/>
    <s v="Salem"/>
    <x v="14"/>
    <x v="16"/>
    <x v="0"/>
    <n v="3"/>
    <x v="15"/>
    <n v="149"/>
    <x v="1666"/>
    <n v="26000500"/>
    <x v="1"/>
    <x v="0"/>
    <x v="1"/>
    <x v="3"/>
    <x v="9"/>
    <n v="10"/>
    <x v="21"/>
    <n v="174500"/>
    <n v="2.6"/>
  </r>
  <r>
    <d v="2024-10-22T00:00:00"/>
    <x v="1"/>
    <s v="Dwarka"/>
    <x v="7"/>
    <x v="7"/>
    <x v="0"/>
    <n v="3"/>
    <x v="7"/>
    <n v="96"/>
    <x v="1667"/>
    <n v="17913600"/>
    <x v="1"/>
    <x v="0"/>
    <x v="1"/>
    <x v="3"/>
    <x v="9"/>
    <n v="10"/>
    <x v="21"/>
    <n v="186600"/>
    <n v="1.79"/>
  </r>
  <r>
    <d v="2024-10-22T00:00:00"/>
    <x v="2"/>
    <s v="Lucknow"/>
    <x v="12"/>
    <x v="18"/>
    <x v="0"/>
    <n v="60"/>
    <x v="16"/>
    <n v="59"/>
    <x v="1668"/>
    <n v="177330400"/>
    <x v="1"/>
    <x v="0"/>
    <x v="1"/>
    <x v="3"/>
    <x v="9"/>
    <n v="10"/>
    <x v="21"/>
    <n v="3005600"/>
    <n v="17.73"/>
  </r>
  <r>
    <d v="2024-10-22T00:00:00"/>
    <x v="7"/>
    <s v="Vijayawada"/>
    <x v="9"/>
    <x v="10"/>
    <x v="1"/>
    <n v="25"/>
    <x v="10"/>
    <n v="63"/>
    <x v="1669"/>
    <n v="71618400"/>
    <x v="1"/>
    <x v="2"/>
    <x v="1"/>
    <x v="3"/>
    <x v="9"/>
    <n v="10"/>
    <x v="21"/>
    <n v="1136800"/>
    <n v="7.16"/>
  </r>
  <r>
    <d v="2024-10-23T00:00:00"/>
    <x v="11"/>
    <s v="Salem"/>
    <x v="7"/>
    <x v="7"/>
    <x v="0"/>
    <n v="3"/>
    <x v="7"/>
    <n v="169"/>
    <x v="515"/>
    <n v="23829000"/>
    <x v="0"/>
    <x v="0"/>
    <x v="1"/>
    <x v="3"/>
    <x v="9"/>
    <n v="10"/>
    <x v="21"/>
    <n v="141000"/>
    <n v="2.38"/>
  </r>
  <r>
    <d v="2024-10-23T00:00:00"/>
    <x v="5"/>
    <s v="Hubballi"/>
    <x v="4"/>
    <x v="4"/>
    <x v="1"/>
    <n v="77"/>
    <x v="4"/>
    <n v="6"/>
    <x v="1670"/>
    <n v="28161000"/>
    <x v="0"/>
    <x v="0"/>
    <x v="1"/>
    <x v="3"/>
    <x v="9"/>
    <n v="10"/>
    <x v="21"/>
    <n v="4693500"/>
    <n v="2.82"/>
  </r>
  <r>
    <d v="2024-10-23T00:00:00"/>
    <x v="5"/>
    <s v="Hubballi"/>
    <x v="9"/>
    <x v="9"/>
    <x v="0"/>
    <n v="50"/>
    <x v="9"/>
    <n v="90"/>
    <x v="1671"/>
    <n v="217089000"/>
    <x v="2"/>
    <x v="0"/>
    <x v="1"/>
    <x v="3"/>
    <x v="9"/>
    <n v="10"/>
    <x v="21"/>
    <n v="2412100"/>
    <n v="21.71"/>
  </r>
  <r>
    <d v="2024-10-24T00:00:00"/>
    <x v="5"/>
    <s v="Mangaluru"/>
    <x v="1"/>
    <x v="1"/>
    <x v="0"/>
    <n v="4"/>
    <x v="1"/>
    <n v="133"/>
    <x v="1672"/>
    <n v="16239300"/>
    <x v="0"/>
    <x v="2"/>
    <x v="1"/>
    <x v="3"/>
    <x v="9"/>
    <n v="10"/>
    <x v="21"/>
    <n v="122100"/>
    <n v="1.62"/>
  </r>
  <r>
    <d v="2024-10-24T00:00:00"/>
    <x v="2"/>
    <s v="Ghaziabad"/>
    <x v="0"/>
    <x v="0"/>
    <x v="0"/>
    <n v="82"/>
    <x v="0"/>
    <n v="42"/>
    <x v="1673"/>
    <n v="264814200"/>
    <x v="1"/>
    <x v="3"/>
    <x v="1"/>
    <x v="3"/>
    <x v="9"/>
    <n v="10"/>
    <x v="21"/>
    <n v="6305100"/>
    <n v="26.48"/>
  </r>
  <r>
    <d v="2024-10-24T00:00:00"/>
    <x v="3"/>
    <s v="Nagpur"/>
    <x v="8"/>
    <x v="8"/>
    <x v="0"/>
    <n v="66"/>
    <x v="8"/>
    <n v="16"/>
    <x v="1674"/>
    <n v="85075200"/>
    <x v="1"/>
    <x v="0"/>
    <x v="1"/>
    <x v="3"/>
    <x v="9"/>
    <n v="10"/>
    <x v="21"/>
    <n v="5317200"/>
    <n v="8.51"/>
  </r>
  <r>
    <d v="2024-10-24T00:00:00"/>
    <x v="6"/>
    <s v="Ahmedabad"/>
    <x v="2"/>
    <x v="2"/>
    <x v="0"/>
    <n v="66"/>
    <x v="2"/>
    <n v="15"/>
    <x v="1675"/>
    <n v="108570000"/>
    <x v="1"/>
    <x v="0"/>
    <x v="1"/>
    <x v="3"/>
    <x v="9"/>
    <n v="10"/>
    <x v="21"/>
    <n v="7238000"/>
    <n v="10.86"/>
  </r>
  <r>
    <d v="2024-10-25T00:00:00"/>
    <x v="3"/>
    <s v="Nagpur"/>
    <x v="6"/>
    <x v="13"/>
    <x v="2"/>
    <n v="48"/>
    <x v="12"/>
    <n v="168"/>
    <x v="1676"/>
    <n v="371296800"/>
    <x v="1"/>
    <x v="0"/>
    <x v="1"/>
    <x v="3"/>
    <x v="9"/>
    <n v="10"/>
    <x v="21"/>
    <n v="2210100"/>
    <n v="37.130000000000003"/>
  </r>
  <r>
    <d v="2024-10-25T00:00:00"/>
    <x v="3"/>
    <s v="Nashik"/>
    <x v="4"/>
    <x v="4"/>
    <x v="2"/>
    <n v="77"/>
    <x v="4"/>
    <n v="28"/>
    <x v="1677"/>
    <n v="158844000"/>
    <x v="2"/>
    <x v="2"/>
    <x v="1"/>
    <x v="3"/>
    <x v="9"/>
    <n v="10"/>
    <x v="21"/>
    <n v="5673000"/>
    <n v="15.88"/>
  </r>
  <r>
    <d v="2024-10-25T00:00:00"/>
    <x v="13"/>
    <s v="Indore"/>
    <x v="9"/>
    <x v="10"/>
    <x v="0"/>
    <n v="25"/>
    <x v="10"/>
    <n v="74"/>
    <x v="1678"/>
    <n v="79794200"/>
    <x v="1"/>
    <x v="1"/>
    <x v="1"/>
    <x v="3"/>
    <x v="9"/>
    <n v="10"/>
    <x v="21"/>
    <n v="1078300"/>
    <n v="7.98"/>
  </r>
  <r>
    <d v="2024-10-25T00:00:00"/>
    <x v="10"/>
    <s v="Kochi"/>
    <x v="0"/>
    <x v="0"/>
    <x v="0"/>
    <n v="82"/>
    <x v="0"/>
    <n v="57"/>
    <x v="1679"/>
    <n v="428457600"/>
    <x v="0"/>
    <x v="2"/>
    <x v="1"/>
    <x v="3"/>
    <x v="9"/>
    <n v="10"/>
    <x v="21"/>
    <n v="7516800"/>
    <n v="42.85"/>
  </r>
  <r>
    <d v="2024-10-25T00:00:00"/>
    <x v="4"/>
    <s v="Amritsar"/>
    <x v="10"/>
    <x v="11"/>
    <x v="1"/>
    <n v="69"/>
    <x v="11"/>
    <n v="31"/>
    <x v="1680"/>
    <n v="151307900"/>
    <x v="1"/>
    <x v="1"/>
    <x v="1"/>
    <x v="3"/>
    <x v="9"/>
    <n v="10"/>
    <x v="21"/>
    <n v="4880900"/>
    <n v="15.13"/>
  </r>
  <r>
    <d v="2024-10-26T00:00:00"/>
    <x v="14"/>
    <s v="Kota"/>
    <x v="8"/>
    <x v="20"/>
    <x v="0"/>
    <n v="84"/>
    <x v="18"/>
    <n v="72"/>
    <x v="1681"/>
    <n v="519379200"/>
    <x v="1"/>
    <x v="0"/>
    <x v="1"/>
    <x v="3"/>
    <x v="9"/>
    <n v="10"/>
    <x v="21"/>
    <n v="7213600"/>
    <n v="51.94"/>
  </r>
  <r>
    <d v="2024-10-26T00:00:00"/>
    <x v="13"/>
    <s v="Indore"/>
    <x v="3"/>
    <x v="3"/>
    <x v="0"/>
    <n v="3"/>
    <x v="3"/>
    <n v="162"/>
    <x v="241"/>
    <n v="20719800"/>
    <x v="1"/>
    <x v="1"/>
    <x v="1"/>
    <x v="3"/>
    <x v="9"/>
    <n v="10"/>
    <x v="21"/>
    <n v="127900"/>
    <n v="2.0699999999999998"/>
  </r>
  <r>
    <d v="2024-10-26T00:00:00"/>
    <x v="12"/>
    <s v="Faridabad"/>
    <x v="13"/>
    <x v="22"/>
    <x v="2"/>
    <n v="35"/>
    <x v="10"/>
    <n v="152"/>
    <x v="1682"/>
    <n v="247957600"/>
    <x v="2"/>
    <x v="0"/>
    <x v="1"/>
    <x v="3"/>
    <x v="9"/>
    <n v="10"/>
    <x v="21"/>
    <n v="1631300"/>
    <n v="24.8"/>
  </r>
  <r>
    <d v="2024-10-27T00:00:00"/>
    <x v="11"/>
    <s v="Salem"/>
    <x v="3"/>
    <x v="3"/>
    <x v="0"/>
    <n v="3"/>
    <x v="3"/>
    <n v="46"/>
    <x v="160"/>
    <n v="5869600"/>
    <x v="1"/>
    <x v="1"/>
    <x v="1"/>
    <x v="3"/>
    <x v="9"/>
    <n v="10"/>
    <x v="21"/>
    <n v="127600"/>
    <n v="0.59"/>
  </r>
  <r>
    <d v="2024-10-27T00:00:00"/>
    <x v="5"/>
    <s v="Bengaluru"/>
    <x v="7"/>
    <x v="7"/>
    <x v="0"/>
    <n v="3"/>
    <x v="7"/>
    <n v="167"/>
    <x v="102"/>
    <n v="28707300"/>
    <x v="1"/>
    <x v="0"/>
    <x v="1"/>
    <x v="3"/>
    <x v="9"/>
    <n v="10"/>
    <x v="21"/>
    <n v="171900"/>
    <n v="2.87"/>
  </r>
  <r>
    <d v="2024-10-27T00:00:00"/>
    <x v="8"/>
    <s v="Durgapur"/>
    <x v="9"/>
    <x v="9"/>
    <x v="1"/>
    <n v="50"/>
    <x v="9"/>
    <n v="19"/>
    <x v="1683"/>
    <n v="50997900"/>
    <x v="1"/>
    <x v="1"/>
    <x v="1"/>
    <x v="3"/>
    <x v="9"/>
    <n v="10"/>
    <x v="21"/>
    <n v="2684100"/>
    <n v="5.0999999999999996"/>
  </r>
  <r>
    <d v="2024-10-27T00:00:00"/>
    <x v="3"/>
    <s v="Nagpur"/>
    <x v="8"/>
    <x v="20"/>
    <x v="0"/>
    <n v="84"/>
    <x v="18"/>
    <n v="40"/>
    <x v="1684"/>
    <n v="341044000"/>
    <x v="0"/>
    <x v="0"/>
    <x v="1"/>
    <x v="3"/>
    <x v="9"/>
    <n v="10"/>
    <x v="21"/>
    <n v="8526100"/>
    <n v="34.1"/>
  </r>
  <r>
    <d v="2024-10-28T00:00:00"/>
    <x v="14"/>
    <s v="Kota"/>
    <x v="3"/>
    <x v="3"/>
    <x v="0"/>
    <n v="3"/>
    <x v="3"/>
    <n v="153"/>
    <x v="1685"/>
    <n v="15713100"/>
    <x v="2"/>
    <x v="1"/>
    <x v="1"/>
    <x v="3"/>
    <x v="9"/>
    <n v="10"/>
    <x v="21"/>
    <n v="102700"/>
    <n v="1.57"/>
  </r>
  <r>
    <d v="2024-10-28T00:00:00"/>
    <x v="0"/>
    <s v="Hyderabad"/>
    <x v="10"/>
    <x v="11"/>
    <x v="0"/>
    <n v="69"/>
    <x v="11"/>
    <n v="7"/>
    <x v="1686"/>
    <n v="42147700"/>
    <x v="1"/>
    <x v="2"/>
    <x v="1"/>
    <x v="3"/>
    <x v="9"/>
    <n v="10"/>
    <x v="21"/>
    <n v="6021100"/>
    <n v="4.21"/>
  </r>
  <r>
    <d v="2024-10-29T00:00:00"/>
    <x v="3"/>
    <s v="Nagpur"/>
    <x v="15"/>
    <x v="17"/>
    <x v="0"/>
    <n v="5"/>
    <x v="15"/>
    <n v="157"/>
    <x v="305"/>
    <n v="23345900"/>
    <x v="1"/>
    <x v="0"/>
    <x v="1"/>
    <x v="3"/>
    <x v="9"/>
    <n v="10"/>
    <x v="21"/>
    <n v="148700"/>
    <n v="2.33"/>
  </r>
  <r>
    <d v="2024-10-29T00:00:00"/>
    <x v="5"/>
    <s v="Mysuru"/>
    <x v="8"/>
    <x v="8"/>
    <x v="0"/>
    <n v="66"/>
    <x v="8"/>
    <n v="18"/>
    <x v="1687"/>
    <n v="124450200"/>
    <x v="1"/>
    <x v="3"/>
    <x v="1"/>
    <x v="3"/>
    <x v="9"/>
    <n v="10"/>
    <x v="21"/>
    <n v="6913900"/>
    <n v="12.45"/>
  </r>
  <r>
    <d v="2024-10-29T00:00:00"/>
    <x v="3"/>
    <s v="Nagpur"/>
    <x v="13"/>
    <x v="19"/>
    <x v="1"/>
    <n v="24"/>
    <x v="17"/>
    <n v="164"/>
    <x v="1688"/>
    <n v="218972800"/>
    <x v="0"/>
    <x v="2"/>
    <x v="1"/>
    <x v="3"/>
    <x v="9"/>
    <n v="10"/>
    <x v="21"/>
    <n v="1335200"/>
    <n v="21.9"/>
  </r>
  <r>
    <d v="2024-10-29T00:00:00"/>
    <x v="0"/>
    <s v="Warangal"/>
    <x v="2"/>
    <x v="2"/>
    <x v="0"/>
    <n v="66"/>
    <x v="2"/>
    <n v="20"/>
    <x v="1689"/>
    <n v="147566000"/>
    <x v="0"/>
    <x v="0"/>
    <x v="1"/>
    <x v="3"/>
    <x v="9"/>
    <n v="10"/>
    <x v="21"/>
    <n v="7378300"/>
    <n v="14.76"/>
  </r>
  <r>
    <d v="2024-10-29T00:00:00"/>
    <x v="12"/>
    <s v="Faridabad"/>
    <x v="2"/>
    <x v="2"/>
    <x v="2"/>
    <n v="66"/>
    <x v="2"/>
    <n v="43"/>
    <x v="1690"/>
    <n v="387288100"/>
    <x v="1"/>
    <x v="0"/>
    <x v="1"/>
    <x v="3"/>
    <x v="9"/>
    <n v="10"/>
    <x v="21"/>
    <n v="9006700"/>
    <n v="38.729999999999997"/>
  </r>
  <r>
    <d v="2024-10-30T00:00:00"/>
    <x v="7"/>
    <s v="Visakhapatnam"/>
    <x v="4"/>
    <x v="4"/>
    <x v="0"/>
    <n v="77"/>
    <x v="4"/>
    <n v="71"/>
    <x v="1691"/>
    <n v="343490900"/>
    <x v="0"/>
    <x v="1"/>
    <x v="1"/>
    <x v="3"/>
    <x v="9"/>
    <n v="10"/>
    <x v="21"/>
    <n v="4837900"/>
    <n v="34.35"/>
  </r>
  <r>
    <d v="2024-10-30T00:00:00"/>
    <x v="6"/>
    <s v="Surat"/>
    <x v="12"/>
    <x v="18"/>
    <x v="0"/>
    <n v="60"/>
    <x v="16"/>
    <n v="36"/>
    <x v="1692"/>
    <n v="107175600"/>
    <x v="1"/>
    <x v="3"/>
    <x v="1"/>
    <x v="3"/>
    <x v="9"/>
    <n v="10"/>
    <x v="21"/>
    <n v="2977100"/>
    <n v="10.72"/>
  </r>
  <r>
    <d v="2024-10-31T00:00:00"/>
    <x v="3"/>
    <s v="Mumbai"/>
    <x v="8"/>
    <x v="20"/>
    <x v="1"/>
    <n v="84"/>
    <x v="18"/>
    <n v="24"/>
    <x v="1693"/>
    <n v="174105600"/>
    <x v="1"/>
    <x v="1"/>
    <x v="1"/>
    <x v="3"/>
    <x v="9"/>
    <n v="10"/>
    <x v="21"/>
    <n v="7254400"/>
    <n v="17.41"/>
  </r>
  <r>
    <d v="2024-10-31T00:00:00"/>
    <x v="8"/>
    <s v="Kolkata"/>
    <x v="12"/>
    <x v="14"/>
    <x v="0"/>
    <n v="82"/>
    <x v="13"/>
    <n v="49"/>
    <x v="1694"/>
    <n v="277148900"/>
    <x v="1"/>
    <x v="0"/>
    <x v="1"/>
    <x v="3"/>
    <x v="9"/>
    <n v="10"/>
    <x v="21"/>
    <n v="5656100"/>
    <n v="27.71"/>
  </r>
  <r>
    <d v="2024-10-31T00:00:00"/>
    <x v="14"/>
    <s v="Jodhpur"/>
    <x v="11"/>
    <x v="23"/>
    <x v="0"/>
    <n v="59"/>
    <x v="20"/>
    <n v="23"/>
    <x v="1695"/>
    <n v="54988400"/>
    <x v="1"/>
    <x v="0"/>
    <x v="1"/>
    <x v="3"/>
    <x v="9"/>
    <n v="10"/>
    <x v="21"/>
    <n v="2390800"/>
    <n v="5.5"/>
  </r>
  <r>
    <d v="2024-10-31T00:00:00"/>
    <x v="1"/>
    <s v="Saket"/>
    <x v="13"/>
    <x v="19"/>
    <x v="1"/>
    <n v="24"/>
    <x v="17"/>
    <n v="145"/>
    <x v="1696"/>
    <n v="189341000"/>
    <x v="1"/>
    <x v="1"/>
    <x v="1"/>
    <x v="3"/>
    <x v="9"/>
    <n v="10"/>
    <x v="21"/>
    <n v="1305800"/>
    <n v="18.93"/>
  </r>
  <r>
    <d v="2024-11-01T00:00:00"/>
    <x v="9"/>
    <s v="Patna"/>
    <x v="14"/>
    <x v="16"/>
    <x v="0"/>
    <n v="3"/>
    <x v="15"/>
    <n v="54"/>
    <x v="265"/>
    <n v="9487800"/>
    <x v="1"/>
    <x v="0"/>
    <x v="1"/>
    <x v="3"/>
    <x v="10"/>
    <n v="11"/>
    <x v="22"/>
    <n v="175700"/>
    <n v="0.95"/>
  </r>
  <r>
    <d v="2024-11-01T00:00:00"/>
    <x v="7"/>
    <s v="Tirupati"/>
    <x v="9"/>
    <x v="9"/>
    <x v="0"/>
    <n v="50"/>
    <x v="9"/>
    <n v="104"/>
    <x v="1697"/>
    <n v="259074400"/>
    <x v="2"/>
    <x v="0"/>
    <x v="1"/>
    <x v="3"/>
    <x v="10"/>
    <n v="11"/>
    <x v="22"/>
    <n v="2491100"/>
    <n v="25.91"/>
  </r>
  <r>
    <d v="2024-11-01T00:00:00"/>
    <x v="1"/>
    <s v="Dwarka"/>
    <x v="7"/>
    <x v="7"/>
    <x v="0"/>
    <n v="3"/>
    <x v="7"/>
    <n v="144"/>
    <x v="104"/>
    <n v="20419200"/>
    <x v="0"/>
    <x v="2"/>
    <x v="1"/>
    <x v="3"/>
    <x v="10"/>
    <n v="11"/>
    <x v="22"/>
    <n v="141800"/>
    <n v="2.04"/>
  </r>
  <r>
    <d v="2024-11-01T00:00:00"/>
    <x v="2"/>
    <s v="Kanpur"/>
    <x v="7"/>
    <x v="7"/>
    <x v="0"/>
    <n v="3"/>
    <x v="7"/>
    <n v="54"/>
    <x v="583"/>
    <n v="8775000"/>
    <x v="1"/>
    <x v="0"/>
    <x v="1"/>
    <x v="3"/>
    <x v="10"/>
    <n v="11"/>
    <x v="22"/>
    <n v="162500"/>
    <n v="0.88"/>
  </r>
  <r>
    <d v="2024-11-01T00:00:00"/>
    <x v="10"/>
    <s v="Kozhikode"/>
    <x v="7"/>
    <x v="7"/>
    <x v="0"/>
    <n v="3"/>
    <x v="7"/>
    <n v="139"/>
    <x v="1698"/>
    <n v="25339700"/>
    <x v="1"/>
    <x v="2"/>
    <x v="1"/>
    <x v="3"/>
    <x v="10"/>
    <n v="11"/>
    <x v="22"/>
    <n v="182300"/>
    <n v="2.5299999999999998"/>
  </r>
  <r>
    <d v="2024-11-02T00:00:00"/>
    <x v="1"/>
    <s v="Dwarka"/>
    <x v="1"/>
    <x v="1"/>
    <x v="0"/>
    <n v="4"/>
    <x v="1"/>
    <n v="14"/>
    <x v="1699"/>
    <n v="1702400"/>
    <x v="1"/>
    <x v="0"/>
    <x v="1"/>
    <x v="3"/>
    <x v="10"/>
    <n v="11"/>
    <x v="22"/>
    <n v="121600"/>
    <n v="0.17"/>
  </r>
  <r>
    <d v="2024-11-03T00:00:00"/>
    <x v="11"/>
    <s v="Chennai"/>
    <x v="0"/>
    <x v="0"/>
    <x v="0"/>
    <n v="82"/>
    <x v="0"/>
    <n v="4"/>
    <x v="1700"/>
    <n v="30730000"/>
    <x v="1"/>
    <x v="1"/>
    <x v="1"/>
    <x v="3"/>
    <x v="10"/>
    <n v="11"/>
    <x v="22"/>
    <n v="7682500"/>
    <n v="3.07"/>
  </r>
  <r>
    <d v="2024-11-04T00:00:00"/>
    <x v="5"/>
    <s v="Mysuru"/>
    <x v="0"/>
    <x v="0"/>
    <x v="0"/>
    <n v="82"/>
    <x v="0"/>
    <n v="29"/>
    <x v="1701"/>
    <n v="216722800"/>
    <x v="1"/>
    <x v="0"/>
    <x v="1"/>
    <x v="3"/>
    <x v="10"/>
    <n v="11"/>
    <x v="22"/>
    <n v="7473200"/>
    <n v="21.67"/>
  </r>
  <r>
    <d v="2024-11-05T00:00:00"/>
    <x v="11"/>
    <s v="Salem"/>
    <x v="4"/>
    <x v="4"/>
    <x v="0"/>
    <n v="77"/>
    <x v="4"/>
    <n v="17"/>
    <x v="1702"/>
    <n v="88248700"/>
    <x v="1"/>
    <x v="0"/>
    <x v="1"/>
    <x v="3"/>
    <x v="10"/>
    <n v="11"/>
    <x v="22"/>
    <n v="5191100"/>
    <n v="8.82"/>
  </r>
  <r>
    <d v="2024-11-05T00:00:00"/>
    <x v="1"/>
    <s v="New Delhi"/>
    <x v="2"/>
    <x v="2"/>
    <x v="1"/>
    <n v="66"/>
    <x v="2"/>
    <n v="53"/>
    <x v="1703"/>
    <n v="475399400"/>
    <x v="0"/>
    <x v="0"/>
    <x v="1"/>
    <x v="3"/>
    <x v="10"/>
    <n v="11"/>
    <x v="22"/>
    <n v="8969800"/>
    <n v="47.54"/>
  </r>
  <r>
    <d v="2024-11-05T00:00:00"/>
    <x v="3"/>
    <s v="Nashik"/>
    <x v="12"/>
    <x v="14"/>
    <x v="0"/>
    <n v="82"/>
    <x v="13"/>
    <n v="25"/>
    <x v="1704"/>
    <n v="115755000"/>
    <x v="1"/>
    <x v="0"/>
    <x v="1"/>
    <x v="3"/>
    <x v="10"/>
    <n v="11"/>
    <x v="22"/>
    <n v="4630200"/>
    <n v="11.58"/>
  </r>
  <r>
    <d v="2024-11-06T00:00:00"/>
    <x v="2"/>
    <s v="Noida"/>
    <x v="0"/>
    <x v="0"/>
    <x v="0"/>
    <n v="82"/>
    <x v="0"/>
    <n v="69"/>
    <x v="1705"/>
    <n v="479149800"/>
    <x v="2"/>
    <x v="0"/>
    <x v="1"/>
    <x v="3"/>
    <x v="10"/>
    <n v="11"/>
    <x v="22"/>
    <n v="6944200"/>
    <n v="47.91"/>
  </r>
  <r>
    <d v="2024-11-06T00:00:00"/>
    <x v="1"/>
    <s v="Saket"/>
    <x v="10"/>
    <x v="11"/>
    <x v="0"/>
    <n v="69"/>
    <x v="11"/>
    <n v="51"/>
    <x v="1706"/>
    <n v="296988300"/>
    <x v="0"/>
    <x v="0"/>
    <x v="1"/>
    <x v="3"/>
    <x v="10"/>
    <n v="11"/>
    <x v="22"/>
    <n v="5823300"/>
    <n v="29.7"/>
  </r>
  <r>
    <d v="2024-11-06T00:00:00"/>
    <x v="6"/>
    <s v="Ahmedabad"/>
    <x v="0"/>
    <x v="0"/>
    <x v="1"/>
    <n v="82"/>
    <x v="0"/>
    <n v="77"/>
    <x v="1707"/>
    <n v="589658300"/>
    <x v="1"/>
    <x v="0"/>
    <x v="1"/>
    <x v="3"/>
    <x v="10"/>
    <n v="11"/>
    <x v="22"/>
    <n v="7657900"/>
    <n v="58.97"/>
  </r>
  <r>
    <d v="2024-11-07T00:00:00"/>
    <x v="3"/>
    <s v="Mumbai"/>
    <x v="11"/>
    <x v="23"/>
    <x v="2"/>
    <n v="59"/>
    <x v="20"/>
    <n v="43"/>
    <x v="1708"/>
    <n v="126957500"/>
    <x v="0"/>
    <x v="2"/>
    <x v="1"/>
    <x v="3"/>
    <x v="10"/>
    <n v="11"/>
    <x v="22"/>
    <n v="2952500"/>
    <n v="12.7"/>
  </r>
  <r>
    <d v="2024-11-08T00:00:00"/>
    <x v="11"/>
    <s v="Coimbatore"/>
    <x v="7"/>
    <x v="7"/>
    <x v="0"/>
    <n v="3"/>
    <x v="7"/>
    <n v="148"/>
    <x v="1709"/>
    <n v="23842800"/>
    <x v="1"/>
    <x v="0"/>
    <x v="1"/>
    <x v="3"/>
    <x v="10"/>
    <n v="11"/>
    <x v="22"/>
    <n v="161100"/>
    <n v="2.38"/>
  </r>
  <r>
    <d v="2024-11-08T00:00:00"/>
    <x v="1"/>
    <s v="Rohini"/>
    <x v="11"/>
    <x v="23"/>
    <x v="0"/>
    <n v="59"/>
    <x v="20"/>
    <n v="167"/>
    <x v="1710"/>
    <n v="415696400"/>
    <x v="1"/>
    <x v="0"/>
    <x v="1"/>
    <x v="3"/>
    <x v="10"/>
    <n v="11"/>
    <x v="22"/>
    <n v="2489200"/>
    <n v="41.57"/>
  </r>
  <r>
    <d v="2024-11-08T00:00:00"/>
    <x v="6"/>
    <s v="Ahmedabad"/>
    <x v="11"/>
    <x v="23"/>
    <x v="0"/>
    <n v="59"/>
    <x v="20"/>
    <n v="150"/>
    <x v="1711"/>
    <n v="405855000"/>
    <x v="0"/>
    <x v="1"/>
    <x v="1"/>
    <x v="3"/>
    <x v="10"/>
    <n v="11"/>
    <x v="22"/>
    <n v="2705700"/>
    <n v="40.590000000000003"/>
  </r>
  <r>
    <d v="2024-11-08T00:00:00"/>
    <x v="1"/>
    <s v="Rohini"/>
    <x v="8"/>
    <x v="8"/>
    <x v="0"/>
    <n v="66"/>
    <x v="8"/>
    <n v="30"/>
    <x v="1712"/>
    <n v="157377000"/>
    <x v="1"/>
    <x v="0"/>
    <x v="1"/>
    <x v="3"/>
    <x v="10"/>
    <n v="11"/>
    <x v="22"/>
    <n v="5245900"/>
    <n v="15.74"/>
  </r>
  <r>
    <d v="2024-11-08T00:00:00"/>
    <x v="2"/>
    <s v="Lucknow"/>
    <x v="0"/>
    <x v="0"/>
    <x v="0"/>
    <n v="82"/>
    <x v="0"/>
    <n v="52"/>
    <x v="1713"/>
    <n v="345857200"/>
    <x v="1"/>
    <x v="0"/>
    <x v="1"/>
    <x v="3"/>
    <x v="10"/>
    <n v="11"/>
    <x v="22"/>
    <n v="6651100"/>
    <n v="34.590000000000003"/>
  </r>
  <r>
    <d v="2024-11-08T00:00:00"/>
    <x v="0"/>
    <s v="Warangal"/>
    <x v="0"/>
    <x v="0"/>
    <x v="0"/>
    <n v="82"/>
    <x v="0"/>
    <n v="61"/>
    <x v="1714"/>
    <n v="358009000"/>
    <x v="1"/>
    <x v="0"/>
    <x v="1"/>
    <x v="3"/>
    <x v="10"/>
    <n v="11"/>
    <x v="22"/>
    <n v="5869000"/>
    <n v="35.799999999999997"/>
  </r>
  <r>
    <d v="2024-11-09T00:00:00"/>
    <x v="11"/>
    <s v="Madurai"/>
    <x v="2"/>
    <x v="2"/>
    <x v="0"/>
    <n v="66"/>
    <x v="2"/>
    <n v="40"/>
    <x v="1715"/>
    <n v="355548000"/>
    <x v="0"/>
    <x v="0"/>
    <x v="1"/>
    <x v="3"/>
    <x v="10"/>
    <n v="11"/>
    <x v="22"/>
    <n v="8888700"/>
    <n v="35.549999999999997"/>
  </r>
  <r>
    <d v="2024-11-09T00:00:00"/>
    <x v="14"/>
    <s v="Kota"/>
    <x v="11"/>
    <x v="23"/>
    <x v="0"/>
    <n v="59"/>
    <x v="20"/>
    <n v="61"/>
    <x v="576"/>
    <n v="170641400"/>
    <x v="1"/>
    <x v="1"/>
    <x v="1"/>
    <x v="3"/>
    <x v="10"/>
    <n v="11"/>
    <x v="22"/>
    <n v="2797400"/>
    <n v="17.059999999999999"/>
  </r>
  <r>
    <d v="2024-11-10T00:00:00"/>
    <x v="6"/>
    <s v="Vadodara"/>
    <x v="15"/>
    <x v="17"/>
    <x v="0"/>
    <n v="5"/>
    <x v="15"/>
    <n v="88"/>
    <x v="146"/>
    <n v="12953600"/>
    <x v="1"/>
    <x v="1"/>
    <x v="1"/>
    <x v="3"/>
    <x v="10"/>
    <n v="11"/>
    <x v="22"/>
    <n v="147200"/>
    <n v="1.3"/>
  </r>
  <r>
    <d v="2024-11-10T00:00:00"/>
    <x v="8"/>
    <s v="Durgapur"/>
    <x v="3"/>
    <x v="3"/>
    <x v="0"/>
    <n v="3"/>
    <x v="3"/>
    <n v="113"/>
    <x v="1716"/>
    <n v="14271900"/>
    <x v="0"/>
    <x v="1"/>
    <x v="1"/>
    <x v="3"/>
    <x v="10"/>
    <n v="11"/>
    <x v="22"/>
    <n v="126300"/>
    <n v="1.43"/>
  </r>
  <r>
    <d v="2024-11-10T00:00:00"/>
    <x v="12"/>
    <s v="Gurugram"/>
    <x v="12"/>
    <x v="18"/>
    <x v="0"/>
    <n v="60"/>
    <x v="16"/>
    <n v="54"/>
    <x v="1717"/>
    <n v="153900000"/>
    <x v="1"/>
    <x v="0"/>
    <x v="1"/>
    <x v="3"/>
    <x v="10"/>
    <n v="11"/>
    <x v="22"/>
    <n v="2850000"/>
    <n v="15.39"/>
  </r>
  <r>
    <d v="2024-11-11T00:00:00"/>
    <x v="5"/>
    <s v="Bengaluru"/>
    <x v="12"/>
    <x v="18"/>
    <x v="0"/>
    <n v="60"/>
    <x v="16"/>
    <n v="47"/>
    <x v="1718"/>
    <n v="152077900"/>
    <x v="0"/>
    <x v="2"/>
    <x v="1"/>
    <x v="3"/>
    <x v="10"/>
    <n v="11"/>
    <x v="22"/>
    <n v="3235700"/>
    <n v="15.21"/>
  </r>
  <r>
    <d v="2024-11-11T00:00:00"/>
    <x v="9"/>
    <s v="Muzaffarpur"/>
    <x v="13"/>
    <x v="15"/>
    <x v="0"/>
    <n v="40"/>
    <x v="14"/>
    <n v="121"/>
    <x v="1719"/>
    <n v="302451600"/>
    <x v="1"/>
    <x v="2"/>
    <x v="1"/>
    <x v="3"/>
    <x v="10"/>
    <n v="11"/>
    <x v="22"/>
    <n v="2499600"/>
    <n v="30.25"/>
  </r>
  <r>
    <d v="2024-11-11T00:00:00"/>
    <x v="0"/>
    <s v="Hyderabad"/>
    <x v="11"/>
    <x v="23"/>
    <x v="2"/>
    <n v="59"/>
    <x v="20"/>
    <n v="98"/>
    <x v="1720"/>
    <n v="275497600"/>
    <x v="1"/>
    <x v="1"/>
    <x v="1"/>
    <x v="3"/>
    <x v="10"/>
    <n v="11"/>
    <x v="22"/>
    <n v="2811200"/>
    <n v="27.55"/>
  </r>
  <r>
    <d v="2024-11-11T00:00:00"/>
    <x v="6"/>
    <s v="Surat"/>
    <x v="15"/>
    <x v="17"/>
    <x v="0"/>
    <n v="5"/>
    <x v="15"/>
    <n v="118"/>
    <x v="1721"/>
    <n v="20355000"/>
    <x v="0"/>
    <x v="2"/>
    <x v="1"/>
    <x v="3"/>
    <x v="10"/>
    <n v="11"/>
    <x v="22"/>
    <n v="172500"/>
    <n v="2.04"/>
  </r>
  <r>
    <d v="2024-11-11T00:00:00"/>
    <x v="1"/>
    <s v="New Delhi"/>
    <x v="11"/>
    <x v="23"/>
    <x v="0"/>
    <n v="59"/>
    <x v="20"/>
    <n v="73"/>
    <x v="1722"/>
    <n v="225956900"/>
    <x v="2"/>
    <x v="2"/>
    <x v="1"/>
    <x v="3"/>
    <x v="10"/>
    <n v="11"/>
    <x v="22"/>
    <n v="3095300"/>
    <n v="22.6"/>
  </r>
  <r>
    <d v="2024-11-11T00:00:00"/>
    <x v="1"/>
    <s v="New Delhi"/>
    <x v="5"/>
    <x v="5"/>
    <x v="0"/>
    <n v="30"/>
    <x v="5"/>
    <n v="68"/>
    <x v="1723"/>
    <n v="94955200"/>
    <x v="1"/>
    <x v="0"/>
    <x v="1"/>
    <x v="3"/>
    <x v="10"/>
    <n v="11"/>
    <x v="22"/>
    <n v="1396400"/>
    <n v="9.5"/>
  </r>
  <r>
    <d v="2024-11-12T00:00:00"/>
    <x v="6"/>
    <s v="Surat"/>
    <x v="14"/>
    <x v="16"/>
    <x v="0"/>
    <n v="3"/>
    <x v="15"/>
    <n v="17"/>
    <x v="176"/>
    <n v="2439500"/>
    <x v="1"/>
    <x v="0"/>
    <x v="1"/>
    <x v="3"/>
    <x v="10"/>
    <n v="11"/>
    <x v="22"/>
    <n v="143500"/>
    <n v="0.24"/>
  </r>
  <r>
    <d v="2024-11-12T00:00:00"/>
    <x v="5"/>
    <s v="Mangaluru"/>
    <x v="9"/>
    <x v="9"/>
    <x v="0"/>
    <n v="50"/>
    <x v="9"/>
    <n v="177"/>
    <x v="1724"/>
    <n v="408409800"/>
    <x v="1"/>
    <x v="2"/>
    <x v="1"/>
    <x v="3"/>
    <x v="10"/>
    <n v="11"/>
    <x v="22"/>
    <n v="2307400"/>
    <n v="40.840000000000003"/>
  </r>
  <r>
    <d v="2024-11-12T00:00:00"/>
    <x v="14"/>
    <s v="Kota"/>
    <x v="15"/>
    <x v="17"/>
    <x v="0"/>
    <n v="5"/>
    <x v="15"/>
    <n v="106"/>
    <x v="1725"/>
    <n v="18645400"/>
    <x v="1"/>
    <x v="1"/>
    <x v="1"/>
    <x v="3"/>
    <x v="10"/>
    <n v="11"/>
    <x v="22"/>
    <n v="175900"/>
    <n v="1.86"/>
  </r>
  <r>
    <d v="2024-11-13T00:00:00"/>
    <x v="1"/>
    <s v="Rohini"/>
    <x v="12"/>
    <x v="14"/>
    <x v="0"/>
    <n v="82"/>
    <x v="13"/>
    <n v="23"/>
    <x v="1726"/>
    <n v="122504900"/>
    <x v="1"/>
    <x v="2"/>
    <x v="1"/>
    <x v="3"/>
    <x v="10"/>
    <n v="11"/>
    <x v="22"/>
    <n v="5326300"/>
    <n v="12.25"/>
  </r>
  <r>
    <d v="2024-11-13T00:00:00"/>
    <x v="4"/>
    <s v="Ludhiana"/>
    <x v="10"/>
    <x v="11"/>
    <x v="0"/>
    <n v="69"/>
    <x v="11"/>
    <n v="30"/>
    <x v="1727"/>
    <n v="153021000"/>
    <x v="1"/>
    <x v="2"/>
    <x v="1"/>
    <x v="3"/>
    <x v="10"/>
    <n v="11"/>
    <x v="22"/>
    <n v="5100700"/>
    <n v="15.3"/>
  </r>
  <r>
    <d v="2024-11-14T00:00:00"/>
    <x v="5"/>
    <s v="Mangaluru"/>
    <x v="5"/>
    <x v="5"/>
    <x v="0"/>
    <n v="30"/>
    <x v="5"/>
    <n v="66"/>
    <x v="1728"/>
    <n v="101732400"/>
    <x v="1"/>
    <x v="1"/>
    <x v="1"/>
    <x v="3"/>
    <x v="10"/>
    <n v="11"/>
    <x v="22"/>
    <n v="1541400"/>
    <n v="10.17"/>
  </r>
  <r>
    <d v="2024-11-14T00:00:00"/>
    <x v="3"/>
    <s v="Mumbai"/>
    <x v="3"/>
    <x v="3"/>
    <x v="0"/>
    <n v="3"/>
    <x v="3"/>
    <n v="146"/>
    <x v="1729"/>
    <n v="17666000"/>
    <x v="1"/>
    <x v="1"/>
    <x v="1"/>
    <x v="3"/>
    <x v="10"/>
    <n v="11"/>
    <x v="22"/>
    <n v="121000"/>
    <n v="1.77"/>
  </r>
  <r>
    <d v="2024-11-15T00:00:00"/>
    <x v="14"/>
    <s v="Jodhpur"/>
    <x v="2"/>
    <x v="2"/>
    <x v="0"/>
    <n v="66"/>
    <x v="2"/>
    <n v="29"/>
    <x v="1730"/>
    <n v="244699100"/>
    <x v="0"/>
    <x v="0"/>
    <x v="1"/>
    <x v="3"/>
    <x v="10"/>
    <n v="11"/>
    <x v="22"/>
    <n v="8437900"/>
    <n v="24.47"/>
  </r>
  <r>
    <d v="2024-11-15T00:00:00"/>
    <x v="10"/>
    <s v="Kozhikode"/>
    <x v="4"/>
    <x v="4"/>
    <x v="0"/>
    <n v="77"/>
    <x v="4"/>
    <n v="34"/>
    <x v="1731"/>
    <n v="160728200"/>
    <x v="0"/>
    <x v="2"/>
    <x v="1"/>
    <x v="3"/>
    <x v="10"/>
    <n v="11"/>
    <x v="22"/>
    <n v="4727300"/>
    <n v="16.07"/>
  </r>
  <r>
    <d v="2024-11-15T00:00:00"/>
    <x v="6"/>
    <s v="Surat"/>
    <x v="4"/>
    <x v="4"/>
    <x v="1"/>
    <n v="77"/>
    <x v="4"/>
    <n v="17"/>
    <x v="1732"/>
    <n v="85982600"/>
    <x v="1"/>
    <x v="0"/>
    <x v="1"/>
    <x v="3"/>
    <x v="10"/>
    <n v="11"/>
    <x v="22"/>
    <n v="5057800"/>
    <n v="8.6"/>
  </r>
  <r>
    <d v="2024-11-15T00:00:00"/>
    <x v="5"/>
    <s v="Mysuru"/>
    <x v="6"/>
    <x v="13"/>
    <x v="0"/>
    <n v="48"/>
    <x v="12"/>
    <n v="142"/>
    <x v="1733"/>
    <n v="278731800"/>
    <x v="1"/>
    <x v="2"/>
    <x v="1"/>
    <x v="3"/>
    <x v="10"/>
    <n v="11"/>
    <x v="22"/>
    <n v="1962900"/>
    <n v="27.87"/>
  </r>
  <r>
    <d v="2024-11-15T00:00:00"/>
    <x v="10"/>
    <s v="Kochi"/>
    <x v="12"/>
    <x v="18"/>
    <x v="0"/>
    <n v="60"/>
    <x v="16"/>
    <n v="52"/>
    <x v="1734"/>
    <n v="170196000"/>
    <x v="1"/>
    <x v="0"/>
    <x v="1"/>
    <x v="3"/>
    <x v="10"/>
    <n v="11"/>
    <x v="22"/>
    <n v="3273000"/>
    <n v="17.02"/>
  </r>
  <r>
    <d v="2024-11-15T00:00:00"/>
    <x v="9"/>
    <s v="Patna"/>
    <x v="2"/>
    <x v="2"/>
    <x v="2"/>
    <n v="66"/>
    <x v="2"/>
    <n v="31"/>
    <x v="1735"/>
    <n v="250932600"/>
    <x v="1"/>
    <x v="0"/>
    <x v="1"/>
    <x v="3"/>
    <x v="10"/>
    <n v="11"/>
    <x v="22"/>
    <n v="8094600"/>
    <n v="25.09"/>
  </r>
  <r>
    <d v="2024-11-16T00:00:00"/>
    <x v="4"/>
    <s v="Jalandhar"/>
    <x v="3"/>
    <x v="3"/>
    <x v="0"/>
    <n v="3"/>
    <x v="3"/>
    <n v="135"/>
    <x v="1459"/>
    <n v="16645500"/>
    <x v="1"/>
    <x v="1"/>
    <x v="1"/>
    <x v="3"/>
    <x v="10"/>
    <n v="11"/>
    <x v="22"/>
    <n v="123300"/>
    <n v="1.66"/>
  </r>
  <r>
    <d v="2024-11-16T00:00:00"/>
    <x v="12"/>
    <s v="Faridabad"/>
    <x v="1"/>
    <x v="1"/>
    <x v="0"/>
    <n v="4"/>
    <x v="1"/>
    <n v="37"/>
    <x v="127"/>
    <n v="4617600"/>
    <x v="0"/>
    <x v="1"/>
    <x v="1"/>
    <x v="3"/>
    <x v="10"/>
    <n v="11"/>
    <x v="22"/>
    <n v="124800"/>
    <n v="0.46"/>
  </r>
  <r>
    <d v="2024-11-16T00:00:00"/>
    <x v="3"/>
    <s v="Mumbai"/>
    <x v="0"/>
    <x v="0"/>
    <x v="1"/>
    <n v="82"/>
    <x v="0"/>
    <n v="25"/>
    <x v="1736"/>
    <n v="178557500"/>
    <x v="1"/>
    <x v="0"/>
    <x v="1"/>
    <x v="3"/>
    <x v="10"/>
    <n v="11"/>
    <x v="22"/>
    <n v="7142300"/>
    <n v="17.86"/>
  </r>
  <r>
    <d v="2024-11-16T00:00:00"/>
    <x v="0"/>
    <s v="Nizamabad"/>
    <x v="14"/>
    <x v="16"/>
    <x v="0"/>
    <n v="3"/>
    <x v="15"/>
    <n v="22"/>
    <x v="407"/>
    <n v="3121800"/>
    <x v="1"/>
    <x v="0"/>
    <x v="1"/>
    <x v="3"/>
    <x v="10"/>
    <n v="11"/>
    <x v="22"/>
    <n v="141900"/>
    <n v="0.31"/>
  </r>
  <r>
    <d v="2024-11-17T00:00:00"/>
    <x v="5"/>
    <s v="Mangaluru"/>
    <x v="15"/>
    <x v="17"/>
    <x v="0"/>
    <n v="5"/>
    <x v="15"/>
    <n v="13"/>
    <x v="1737"/>
    <n v="1826500"/>
    <x v="1"/>
    <x v="2"/>
    <x v="1"/>
    <x v="3"/>
    <x v="10"/>
    <n v="11"/>
    <x v="22"/>
    <n v="140500"/>
    <n v="0.18"/>
  </r>
  <r>
    <d v="2024-11-17T00:00:00"/>
    <x v="6"/>
    <s v="Rajkot"/>
    <x v="9"/>
    <x v="10"/>
    <x v="0"/>
    <n v="25"/>
    <x v="10"/>
    <n v="123"/>
    <x v="1738"/>
    <n v="139568100"/>
    <x v="1"/>
    <x v="2"/>
    <x v="1"/>
    <x v="3"/>
    <x v="10"/>
    <n v="11"/>
    <x v="22"/>
    <n v="1134700"/>
    <n v="13.96"/>
  </r>
  <r>
    <d v="2024-11-17T00:00:00"/>
    <x v="3"/>
    <s v="Mumbai"/>
    <x v="10"/>
    <x v="11"/>
    <x v="0"/>
    <n v="69"/>
    <x v="11"/>
    <n v="12"/>
    <x v="1739"/>
    <n v="57639600"/>
    <x v="1"/>
    <x v="0"/>
    <x v="1"/>
    <x v="3"/>
    <x v="10"/>
    <n v="11"/>
    <x v="22"/>
    <n v="4803300"/>
    <n v="5.76"/>
  </r>
  <r>
    <d v="2024-11-18T00:00:00"/>
    <x v="2"/>
    <s v="Noida"/>
    <x v="5"/>
    <x v="5"/>
    <x v="0"/>
    <n v="30"/>
    <x v="5"/>
    <n v="42"/>
    <x v="1740"/>
    <n v="56023800"/>
    <x v="1"/>
    <x v="2"/>
    <x v="1"/>
    <x v="3"/>
    <x v="10"/>
    <n v="11"/>
    <x v="22"/>
    <n v="1333900"/>
    <n v="5.6"/>
  </r>
  <r>
    <d v="2024-11-18T00:00:00"/>
    <x v="1"/>
    <s v="Saket"/>
    <x v="1"/>
    <x v="21"/>
    <x v="0"/>
    <n v="3"/>
    <x v="19"/>
    <n v="58"/>
    <x v="1741"/>
    <n v="5759400"/>
    <x v="1"/>
    <x v="0"/>
    <x v="1"/>
    <x v="3"/>
    <x v="10"/>
    <n v="11"/>
    <x v="22"/>
    <n v="99300"/>
    <n v="0.57999999999999996"/>
  </r>
  <r>
    <d v="2024-11-18T00:00:00"/>
    <x v="5"/>
    <s v="Hubballi"/>
    <x v="15"/>
    <x v="17"/>
    <x v="0"/>
    <n v="5"/>
    <x v="15"/>
    <n v="40"/>
    <x v="1742"/>
    <n v="6720000"/>
    <x v="1"/>
    <x v="0"/>
    <x v="1"/>
    <x v="3"/>
    <x v="10"/>
    <n v="11"/>
    <x v="22"/>
    <n v="168000"/>
    <n v="0.67"/>
  </r>
  <r>
    <d v="2024-11-18T00:00:00"/>
    <x v="2"/>
    <s v="Ghaziabad"/>
    <x v="2"/>
    <x v="2"/>
    <x v="0"/>
    <n v="66"/>
    <x v="2"/>
    <n v="61"/>
    <x v="1743"/>
    <n v="461495500"/>
    <x v="0"/>
    <x v="3"/>
    <x v="1"/>
    <x v="3"/>
    <x v="10"/>
    <n v="11"/>
    <x v="22"/>
    <n v="7565500"/>
    <n v="46.15"/>
  </r>
  <r>
    <d v="2024-11-18T00:00:00"/>
    <x v="2"/>
    <s v="Noida"/>
    <x v="10"/>
    <x v="11"/>
    <x v="0"/>
    <n v="69"/>
    <x v="11"/>
    <n v="8"/>
    <x v="1744"/>
    <n v="48988000"/>
    <x v="2"/>
    <x v="0"/>
    <x v="1"/>
    <x v="3"/>
    <x v="10"/>
    <n v="11"/>
    <x v="22"/>
    <n v="6123500"/>
    <n v="4.9000000000000004"/>
  </r>
  <r>
    <d v="2024-11-19T00:00:00"/>
    <x v="3"/>
    <s v="Mumbai"/>
    <x v="7"/>
    <x v="7"/>
    <x v="0"/>
    <n v="3"/>
    <x v="7"/>
    <n v="77"/>
    <x v="1745"/>
    <n v="11927300"/>
    <x v="1"/>
    <x v="2"/>
    <x v="1"/>
    <x v="3"/>
    <x v="10"/>
    <n v="11"/>
    <x v="22"/>
    <n v="154900"/>
    <n v="1.19"/>
  </r>
  <r>
    <d v="2024-11-19T00:00:00"/>
    <x v="7"/>
    <s v="Visakhapatnam"/>
    <x v="12"/>
    <x v="14"/>
    <x v="0"/>
    <n v="82"/>
    <x v="13"/>
    <n v="28"/>
    <x v="1511"/>
    <n v="164883600"/>
    <x v="1"/>
    <x v="0"/>
    <x v="1"/>
    <x v="3"/>
    <x v="10"/>
    <n v="11"/>
    <x v="22"/>
    <n v="5888700"/>
    <n v="16.489999999999998"/>
  </r>
  <r>
    <d v="2024-11-19T00:00:00"/>
    <x v="10"/>
    <s v="Kochi"/>
    <x v="9"/>
    <x v="9"/>
    <x v="2"/>
    <n v="50"/>
    <x v="9"/>
    <n v="138"/>
    <x v="1746"/>
    <n v="321802200"/>
    <x v="1"/>
    <x v="0"/>
    <x v="1"/>
    <x v="3"/>
    <x v="10"/>
    <n v="11"/>
    <x v="22"/>
    <n v="2331900"/>
    <n v="32.18"/>
  </r>
  <r>
    <d v="2024-11-20T00:00:00"/>
    <x v="7"/>
    <s v="Tirupati"/>
    <x v="14"/>
    <x v="16"/>
    <x v="0"/>
    <n v="3"/>
    <x v="15"/>
    <n v="132"/>
    <x v="1747"/>
    <n v="23337600"/>
    <x v="1"/>
    <x v="1"/>
    <x v="1"/>
    <x v="3"/>
    <x v="10"/>
    <n v="11"/>
    <x v="22"/>
    <n v="176800"/>
    <n v="2.33"/>
  </r>
  <r>
    <d v="2024-11-20T00:00:00"/>
    <x v="6"/>
    <s v="Ahmedabad"/>
    <x v="12"/>
    <x v="18"/>
    <x v="0"/>
    <n v="60"/>
    <x v="16"/>
    <n v="4"/>
    <x v="1748"/>
    <n v="13395600"/>
    <x v="1"/>
    <x v="1"/>
    <x v="1"/>
    <x v="3"/>
    <x v="10"/>
    <n v="11"/>
    <x v="22"/>
    <n v="3348900"/>
    <n v="1.34"/>
  </r>
  <r>
    <d v="2024-11-21T00:00:00"/>
    <x v="12"/>
    <s v="Hisar"/>
    <x v="5"/>
    <x v="5"/>
    <x v="0"/>
    <n v="30"/>
    <x v="5"/>
    <n v="38"/>
    <x v="1749"/>
    <n v="61605600"/>
    <x v="1"/>
    <x v="3"/>
    <x v="1"/>
    <x v="3"/>
    <x v="10"/>
    <n v="11"/>
    <x v="22"/>
    <n v="1621200"/>
    <n v="6.16"/>
  </r>
  <r>
    <d v="2024-11-21T00:00:00"/>
    <x v="1"/>
    <s v="Rohini"/>
    <x v="12"/>
    <x v="14"/>
    <x v="1"/>
    <n v="82"/>
    <x v="13"/>
    <n v="35"/>
    <x v="1750"/>
    <n v="216968500"/>
    <x v="1"/>
    <x v="2"/>
    <x v="1"/>
    <x v="3"/>
    <x v="10"/>
    <n v="11"/>
    <x v="22"/>
    <n v="6199100"/>
    <n v="21.7"/>
  </r>
  <r>
    <d v="2024-11-21T00:00:00"/>
    <x v="0"/>
    <s v="Hyderabad"/>
    <x v="13"/>
    <x v="19"/>
    <x v="0"/>
    <n v="24"/>
    <x v="17"/>
    <n v="162"/>
    <x v="1751"/>
    <n v="229942800"/>
    <x v="1"/>
    <x v="0"/>
    <x v="1"/>
    <x v="3"/>
    <x v="10"/>
    <n v="11"/>
    <x v="22"/>
    <n v="1419400"/>
    <n v="22.99"/>
  </r>
  <r>
    <d v="2024-11-21T00:00:00"/>
    <x v="10"/>
    <s v="Kozhikode"/>
    <x v="15"/>
    <x v="17"/>
    <x v="0"/>
    <n v="5"/>
    <x v="15"/>
    <n v="170"/>
    <x v="1752"/>
    <n v="27081000"/>
    <x v="1"/>
    <x v="0"/>
    <x v="1"/>
    <x v="3"/>
    <x v="10"/>
    <n v="11"/>
    <x v="22"/>
    <n v="159300"/>
    <n v="2.71"/>
  </r>
  <r>
    <d v="2024-11-21T00:00:00"/>
    <x v="10"/>
    <s v="Thiruvananthapuram"/>
    <x v="6"/>
    <x v="6"/>
    <x v="0"/>
    <n v="72"/>
    <x v="6"/>
    <n v="33"/>
    <x v="1753"/>
    <n v="165336600"/>
    <x v="1"/>
    <x v="1"/>
    <x v="1"/>
    <x v="3"/>
    <x v="10"/>
    <n v="11"/>
    <x v="22"/>
    <n v="5010200"/>
    <n v="16.53"/>
  </r>
  <r>
    <d v="2024-11-22T00:00:00"/>
    <x v="1"/>
    <s v="New Delhi"/>
    <x v="5"/>
    <x v="5"/>
    <x v="2"/>
    <n v="30"/>
    <x v="5"/>
    <n v="28"/>
    <x v="1754"/>
    <n v="41143200"/>
    <x v="0"/>
    <x v="1"/>
    <x v="1"/>
    <x v="3"/>
    <x v="10"/>
    <n v="11"/>
    <x v="22"/>
    <n v="1469400"/>
    <n v="4.1100000000000003"/>
  </r>
  <r>
    <d v="2024-11-22T00:00:00"/>
    <x v="13"/>
    <s v="Indore"/>
    <x v="11"/>
    <x v="12"/>
    <x v="0"/>
    <n v="40"/>
    <x v="12"/>
    <n v="84"/>
    <x v="1755"/>
    <n v="164052000"/>
    <x v="1"/>
    <x v="2"/>
    <x v="1"/>
    <x v="3"/>
    <x v="10"/>
    <n v="11"/>
    <x v="22"/>
    <n v="1953000"/>
    <n v="16.41"/>
  </r>
  <r>
    <d v="2024-11-23T00:00:00"/>
    <x v="2"/>
    <s v="Ghaziabad"/>
    <x v="6"/>
    <x v="13"/>
    <x v="0"/>
    <n v="48"/>
    <x v="12"/>
    <n v="67"/>
    <x v="1756"/>
    <n v="140184100"/>
    <x v="0"/>
    <x v="3"/>
    <x v="1"/>
    <x v="3"/>
    <x v="10"/>
    <n v="11"/>
    <x v="22"/>
    <n v="2092300"/>
    <n v="14.02"/>
  </r>
  <r>
    <d v="2024-11-23T00:00:00"/>
    <x v="11"/>
    <s v="Salem"/>
    <x v="6"/>
    <x v="13"/>
    <x v="0"/>
    <n v="48"/>
    <x v="12"/>
    <n v="74"/>
    <x v="1757"/>
    <n v="150301400"/>
    <x v="1"/>
    <x v="1"/>
    <x v="1"/>
    <x v="3"/>
    <x v="10"/>
    <n v="11"/>
    <x v="22"/>
    <n v="2031100"/>
    <n v="15.03"/>
  </r>
  <r>
    <d v="2024-11-23T00:00:00"/>
    <x v="7"/>
    <s v="Tirupati"/>
    <x v="11"/>
    <x v="23"/>
    <x v="2"/>
    <n v="59"/>
    <x v="20"/>
    <n v="116"/>
    <x v="1758"/>
    <n v="335170400"/>
    <x v="1"/>
    <x v="0"/>
    <x v="1"/>
    <x v="3"/>
    <x v="10"/>
    <n v="11"/>
    <x v="22"/>
    <n v="2889400"/>
    <n v="33.520000000000003"/>
  </r>
  <r>
    <d v="2024-11-23T00:00:00"/>
    <x v="0"/>
    <s v="Nizamabad"/>
    <x v="3"/>
    <x v="3"/>
    <x v="0"/>
    <n v="3"/>
    <x v="3"/>
    <n v="106"/>
    <x v="1759"/>
    <n v="14479600"/>
    <x v="1"/>
    <x v="0"/>
    <x v="1"/>
    <x v="3"/>
    <x v="10"/>
    <n v="11"/>
    <x v="22"/>
    <n v="136600"/>
    <n v="1.45"/>
  </r>
  <r>
    <d v="2024-11-24T00:00:00"/>
    <x v="10"/>
    <s v="Thiruvananthapuram"/>
    <x v="9"/>
    <x v="10"/>
    <x v="2"/>
    <n v="25"/>
    <x v="10"/>
    <n v="11"/>
    <x v="1760"/>
    <n v="13598200"/>
    <x v="1"/>
    <x v="0"/>
    <x v="1"/>
    <x v="3"/>
    <x v="10"/>
    <n v="11"/>
    <x v="22"/>
    <n v="1236200"/>
    <n v="1.36"/>
  </r>
  <r>
    <d v="2024-11-24T00:00:00"/>
    <x v="8"/>
    <s v="Siliguri"/>
    <x v="14"/>
    <x v="16"/>
    <x v="0"/>
    <n v="3"/>
    <x v="15"/>
    <n v="62"/>
    <x v="1761"/>
    <n v="11017400"/>
    <x v="1"/>
    <x v="2"/>
    <x v="1"/>
    <x v="3"/>
    <x v="10"/>
    <n v="11"/>
    <x v="22"/>
    <n v="177700"/>
    <n v="1.1000000000000001"/>
  </r>
  <r>
    <d v="2024-11-25T00:00:00"/>
    <x v="0"/>
    <s v="Warangal"/>
    <x v="5"/>
    <x v="5"/>
    <x v="1"/>
    <n v="30"/>
    <x v="5"/>
    <n v="53"/>
    <x v="1696"/>
    <n v="69207400"/>
    <x v="1"/>
    <x v="0"/>
    <x v="1"/>
    <x v="3"/>
    <x v="10"/>
    <n v="11"/>
    <x v="22"/>
    <n v="1305800"/>
    <n v="6.92"/>
  </r>
  <r>
    <d v="2024-11-25T00:00:00"/>
    <x v="0"/>
    <s v="Hyderabad"/>
    <x v="4"/>
    <x v="4"/>
    <x v="0"/>
    <n v="77"/>
    <x v="4"/>
    <n v="31"/>
    <x v="1762"/>
    <n v="151227300"/>
    <x v="0"/>
    <x v="2"/>
    <x v="1"/>
    <x v="3"/>
    <x v="10"/>
    <n v="11"/>
    <x v="22"/>
    <n v="4878300"/>
    <n v="15.12"/>
  </r>
  <r>
    <d v="2024-11-26T00:00:00"/>
    <x v="0"/>
    <s v="Hyderabad"/>
    <x v="0"/>
    <x v="0"/>
    <x v="2"/>
    <n v="82"/>
    <x v="0"/>
    <n v="46"/>
    <x v="1763"/>
    <n v="330275400"/>
    <x v="1"/>
    <x v="0"/>
    <x v="1"/>
    <x v="3"/>
    <x v="10"/>
    <n v="11"/>
    <x v="22"/>
    <n v="7179900"/>
    <n v="33.03"/>
  </r>
  <r>
    <d v="2024-11-27T00:00:00"/>
    <x v="8"/>
    <s v="Asansol"/>
    <x v="11"/>
    <x v="23"/>
    <x v="1"/>
    <n v="59"/>
    <x v="20"/>
    <n v="168"/>
    <x v="1764"/>
    <n v="517624800"/>
    <x v="1"/>
    <x v="2"/>
    <x v="1"/>
    <x v="3"/>
    <x v="10"/>
    <n v="11"/>
    <x v="22"/>
    <n v="3081100"/>
    <n v="51.76"/>
  </r>
  <r>
    <d v="2024-11-28T00:00:00"/>
    <x v="6"/>
    <s v="Vadodara"/>
    <x v="5"/>
    <x v="5"/>
    <x v="0"/>
    <n v="30"/>
    <x v="5"/>
    <n v="46"/>
    <x v="1765"/>
    <n v="67164600"/>
    <x v="1"/>
    <x v="2"/>
    <x v="1"/>
    <x v="3"/>
    <x v="10"/>
    <n v="11"/>
    <x v="22"/>
    <n v="1460100"/>
    <n v="6.72"/>
  </r>
  <r>
    <d v="2024-11-28T00:00:00"/>
    <x v="6"/>
    <s v="Rajkot"/>
    <x v="5"/>
    <x v="5"/>
    <x v="0"/>
    <n v="30"/>
    <x v="5"/>
    <n v="33"/>
    <x v="1766"/>
    <n v="41982600"/>
    <x v="1"/>
    <x v="2"/>
    <x v="1"/>
    <x v="3"/>
    <x v="10"/>
    <n v="11"/>
    <x v="22"/>
    <n v="1272200"/>
    <n v="4.2"/>
  </r>
  <r>
    <d v="2024-11-28T00:00:00"/>
    <x v="3"/>
    <s v="Mumbai"/>
    <x v="6"/>
    <x v="6"/>
    <x v="0"/>
    <n v="72"/>
    <x v="6"/>
    <n v="70"/>
    <x v="1767"/>
    <n v="350294000"/>
    <x v="1"/>
    <x v="0"/>
    <x v="1"/>
    <x v="3"/>
    <x v="10"/>
    <n v="11"/>
    <x v="22"/>
    <n v="5004200"/>
    <n v="35.03"/>
  </r>
  <r>
    <d v="2024-11-28T00:00:00"/>
    <x v="6"/>
    <s v="Vadodara"/>
    <x v="1"/>
    <x v="21"/>
    <x v="0"/>
    <n v="3"/>
    <x v="19"/>
    <n v="140"/>
    <x v="528"/>
    <n v="16422000"/>
    <x v="1"/>
    <x v="1"/>
    <x v="1"/>
    <x v="3"/>
    <x v="10"/>
    <n v="11"/>
    <x v="22"/>
    <n v="117300"/>
    <n v="1.64"/>
  </r>
  <r>
    <d v="2024-11-28T00:00:00"/>
    <x v="2"/>
    <s v="Ghaziabad"/>
    <x v="0"/>
    <x v="0"/>
    <x v="0"/>
    <n v="82"/>
    <x v="0"/>
    <n v="38"/>
    <x v="1768"/>
    <n v="278749000"/>
    <x v="1"/>
    <x v="0"/>
    <x v="1"/>
    <x v="3"/>
    <x v="10"/>
    <n v="11"/>
    <x v="22"/>
    <n v="7335500"/>
    <n v="27.87"/>
  </r>
  <r>
    <d v="2024-11-29T00:00:00"/>
    <x v="6"/>
    <s v="Vadodara"/>
    <x v="11"/>
    <x v="23"/>
    <x v="0"/>
    <n v="59"/>
    <x v="20"/>
    <n v="69"/>
    <x v="1769"/>
    <n v="173548800"/>
    <x v="2"/>
    <x v="1"/>
    <x v="1"/>
    <x v="3"/>
    <x v="10"/>
    <n v="11"/>
    <x v="22"/>
    <n v="2515200"/>
    <n v="17.350000000000001"/>
  </r>
  <r>
    <d v="2024-11-29T00:00:00"/>
    <x v="2"/>
    <s v="Noida"/>
    <x v="13"/>
    <x v="19"/>
    <x v="0"/>
    <n v="24"/>
    <x v="17"/>
    <n v="74"/>
    <x v="1770"/>
    <n v="94564600"/>
    <x v="1"/>
    <x v="0"/>
    <x v="1"/>
    <x v="3"/>
    <x v="10"/>
    <n v="11"/>
    <x v="22"/>
    <n v="1277900"/>
    <n v="9.4600000000000009"/>
  </r>
  <r>
    <d v="2024-11-29T00:00:00"/>
    <x v="2"/>
    <s v="Noida"/>
    <x v="14"/>
    <x v="16"/>
    <x v="0"/>
    <n v="3"/>
    <x v="15"/>
    <n v="78"/>
    <x v="1771"/>
    <n v="13439400"/>
    <x v="1"/>
    <x v="2"/>
    <x v="1"/>
    <x v="3"/>
    <x v="10"/>
    <n v="11"/>
    <x v="22"/>
    <n v="172300"/>
    <n v="1.34"/>
  </r>
  <r>
    <d v="2024-11-30T00:00:00"/>
    <x v="12"/>
    <s v="Faridabad"/>
    <x v="12"/>
    <x v="14"/>
    <x v="0"/>
    <n v="82"/>
    <x v="13"/>
    <n v="28"/>
    <x v="1772"/>
    <n v="138661600"/>
    <x v="1"/>
    <x v="1"/>
    <x v="1"/>
    <x v="3"/>
    <x v="10"/>
    <n v="11"/>
    <x v="22"/>
    <n v="4952200"/>
    <n v="13.87"/>
  </r>
  <r>
    <d v="2024-11-30T00:00:00"/>
    <x v="12"/>
    <s v="Gurugram"/>
    <x v="5"/>
    <x v="5"/>
    <x v="0"/>
    <n v="30"/>
    <x v="5"/>
    <n v="33"/>
    <x v="1773"/>
    <n v="52704300"/>
    <x v="1"/>
    <x v="0"/>
    <x v="1"/>
    <x v="3"/>
    <x v="10"/>
    <n v="11"/>
    <x v="22"/>
    <n v="1597100"/>
    <n v="5.27"/>
  </r>
  <r>
    <d v="2024-12-01T00:00:00"/>
    <x v="12"/>
    <s v="Panipat"/>
    <x v="4"/>
    <x v="4"/>
    <x v="2"/>
    <n v="77"/>
    <x v="4"/>
    <n v="8"/>
    <x v="1774"/>
    <n v="42380000"/>
    <x v="2"/>
    <x v="0"/>
    <x v="1"/>
    <x v="3"/>
    <x v="11"/>
    <n v="12"/>
    <x v="23"/>
    <n v="5297500"/>
    <n v="4.24"/>
  </r>
  <r>
    <d v="2024-12-01T00:00:00"/>
    <x v="5"/>
    <s v="Mysuru"/>
    <x v="9"/>
    <x v="10"/>
    <x v="0"/>
    <n v="25"/>
    <x v="10"/>
    <n v="18"/>
    <x v="1775"/>
    <n v="21938400"/>
    <x v="0"/>
    <x v="2"/>
    <x v="1"/>
    <x v="3"/>
    <x v="11"/>
    <n v="12"/>
    <x v="23"/>
    <n v="1218800"/>
    <n v="2.19"/>
  </r>
  <r>
    <d v="2024-12-01T00:00:00"/>
    <x v="9"/>
    <s v="Gaya"/>
    <x v="1"/>
    <x v="21"/>
    <x v="0"/>
    <n v="3"/>
    <x v="19"/>
    <n v="174"/>
    <x v="927"/>
    <n v="20079600"/>
    <x v="1"/>
    <x v="1"/>
    <x v="1"/>
    <x v="3"/>
    <x v="11"/>
    <n v="12"/>
    <x v="23"/>
    <n v="115400"/>
    <n v="2.0099999999999998"/>
  </r>
  <r>
    <d v="2024-12-01T00:00:00"/>
    <x v="6"/>
    <s v="Vadodara"/>
    <x v="15"/>
    <x v="17"/>
    <x v="0"/>
    <n v="5"/>
    <x v="15"/>
    <n v="131"/>
    <x v="1357"/>
    <n v="23920600"/>
    <x v="1"/>
    <x v="2"/>
    <x v="1"/>
    <x v="3"/>
    <x v="11"/>
    <n v="12"/>
    <x v="23"/>
    <n v="182600"/>
    <n v="2.39"/>
  </r>
  <r>
    <d v="2024-12-02T00:00:00"/>
    <x v="7"/>
    <s v="Tirupati"/>
    <x v="11"/>
    <x v="23"/>
    <x v="2"/>
    <n v="59"/>
    <x v="20"/>
    <n v="73"/>
    <x v="1776"/>
    <n v="212225600"/>
    <x v="1"/>
    <x v="0"/>
    <x v="1"/>
    <x v="3"/>
    <x v="11"/>
    <n v="12"/>
    <x v="23"/>
    <n v="2907200"/>
    <n v="21.22"/>
  </r>
  <r>
    <d v="2024-12-02T00:00:00"/>
    <x v="4"/>
    <s v="Ludhiana"/>
    <x v="10"/>
    <x v="11"/>
    <x v="0"/>
    <n v="69"/>
    <x v="11"/>
    <n v="63"/>
    <x v="1777"/>
    <n v="317400300"/>
    <x v="1"/>
    <x v="0"/>
    <x v="1"/>
    <x v="3"/>
    <x v="11"/>
    <n v="12"/>
    <x v="23"/>
    <n v="5038100"/>
    <n v="31.74"/>
  </r>
  <r>
    <d v="2024-12-04T00:00:00"/>
    <x v="11"/>
    <s v="Chennai"/>
    <x v="14"/>
    <x v="16"/>
    <x v="0"/>
    <n v="3"/>
    <x v="15"/>
    <n v="18"/>
    <x v="1778"/>
    <n v="2379600"/>
    <x v="0"/>
    <x v="0"/>
    <x v="1"/>
    <x v="3"/>
    <x v="11"/>
    <n v="12"/>
    <x v="23"/>
    <n v="132200"/>
    <n v="0.24"/>
  </r>
  <r>
    <d v="2024-12-04T00:00:00"/>
    <x v="5"/>
    <s v="Bengaluru"/>
    <x v="12"/>
    <x v="18"/>
    <x v="1"/>
    <n v="60"/>
    <x v="16"/>
    <n v="38"/>
    <x v="1779"/>
    <n v="135413000"/>
    <x v="0"/>
    <x v="2"/>
    <x v="1"/>
    <x v="3"/>
    <x v="11"/>
    <n v="12"/>
    <x v="23"/>
    <n v="3563500"/>
    <n v="13.54"/>
  </r>
  <r>
    <d v="2024-12-04T00:00:00"/>
    <x v="11"/>
    <s v="Coimbatore"/>
    <x v="4"/>
    <x v="4"/>
    <x v="1"/>
    <n v="77"/>
    <x v="4"/>
    <n v="56"/>
    <x v="1780"/>
    <n v="246456000"/>
    <x v="1"/>
    <x v="0"/>
    <x v="1"/>
    <x v="3"/>
    <x v="11"/>
    <n v="12"/>
    <x v="23"/>
    <n v="4401000"/>
    <n v="24.65"/>
  </r>
  <r>
    <d v="2024-12-04T00:00:00"/>
    <x v="3"/>
    <s v="Nagpur"/>
    <x v="10"/>
    <x v="11"/>
    <x v="0"/>
    <n v="69"/>
    <x v="11"/>
    <n v="50"/>
    <x v="1781"/>
    <n v="317980000"/>
    <x v="0"/>
    <x v="0"/>
    <x v="1"/>
    <x v="3"/>
    <x v="11"/>
    <n v="12"/>
    <x v="23"/>
    <n v="6359600"/>
    <n v="31.8"/>
  </r>
  <r>
    <d v="2024-12-05T00:00:00"/>
    <x v="14"/>
    <s v="Jodhpur"/>
    <x v="11"/>
    <x v="23"/>
    <x v="0"/>
    <n v="59"/>
    <x v="20"/>
    <n v="150"/>
    <x v="1782"/>
    <n v="390480000"/>
    <x v="2"/>
    <x v="0"/>
    <x v="1"/>
    <x v="3"/>
    <x v="11"/>
    <n v="12"/>
    <x v="23"/>
    <n v="2603200"/>
    <n v="39.049999999999997"/>
  </r>
  <r>
    <d v="2024-12-05T00:00:00"/>
    <x v="13"/>
    <s v="Indore"/>
    <x v="13"/>
    <x v="15"/>
    <x v="0"/>
    <n v="40"/>
    <x v="14"/>
    <n v="135"/>
    <x v="1783"/>
    <n v="348718500"/>
    <x v="1"/>
    <x v="2"/>
    <x v="1"/>
    <x v="3"/>
    <x v="11"/>
    <n v="12"/>
    <x v="23"/>
    <n v="2583100"/>
    <n v="34.869999999999997"/>
  </r>
  <r>
    <d v="2024-12-05T00:00:00"/>
    <x v="13"/>
    <s v="Gwalior"/>
    <x v="5"/>
    <x v="5"/>
    <x v="2"/>
    <n v="30"/>
    <x v="5"/>
    <n v="45"/>
    <x v="1784"/>
    <n v="74776500"/>
    <x v="1"/>
    <x v="1"/>
    <x v="1"/>
    <x v="3"/>
    <x v="11"/>
    <n v="12"/>
    <x v="23"/>
    <n v="1661700"/>
    <n v="7.48"/>
  </r>
  <r>
    <d v="2024-12-06T00:00:00"/>
    <x v="11"/>
    <s v="Salem"/>
    <x v="0"/>
    <x v="0"/>
    <x v="0"/>
    <n v="82"/>
    <x v="0"/>
    <n v="74"/>
    <x v="1785"/>
    <n v="529262800"/>
    <x v="0"/>
    <x v="0"/>
    <x v="1"/>
    <x v="3"/>
    <x v="11"/>
    <n v="12"/>
    <x v="23"/>
    <n v="7152200"/>
    <n v="52.93"/>
  </r>
  <r>
    <d v="2024-12-06T00:00:00"/>
    <x v="3"/>
    <s v="Mumbai"/>
    <x v="8"/>
    <x v="8"/>
    <x v="3"/>
    <n v="66"/>
    <x v="8"/>
    <n v="76"/>
    <x v="1786"/>
    <n v="514003200"/>
    <x v="1"/>
    <x v="2"/>
    <x v="1"/>
    <x v="3"/>
    <x v="11"/>
    <n v="12"/>
    <x v="23"/>
    <n v="6763200"/>
    <n v="51.4"/>
  </r>
  <r>
    <d v="2024-12-06T00:00:00"/>
    <x v="13"/>
    <s v="Gwalior"/>
    <x v="3"/>
    <x v="3"/>
    <x v="0"/>
    <n v="3"/>
    <x v="3"/>
    <n v="159"/>
    <x v="858"/>
    <n v="20065800"/>
    <x v="1"/>
    <x v="0"/>
    <x v="1"/>
    <x v="3"/>
    <x v="11"/>
    <n v="12"/>
    <x v="23"/>
    <n v="126200"/>
    <n v="2.0099999999999998"/>
  </r>
  <r>
    <d v="2024-12-06T00:00:00"/>
    <x v="5"/>
    <s v="Bengaluru"/>
    <x v="0"/>
    <x v="0"/>
    <x v="2"/>
    <n v="82"/>
    <x v="0"/>
    <n v="58"/>
    <x v="1743"/>
    <n v="438799000"/>
    <x v="2"/>
    <x v="0"/>
    <x v="1"/>
    <x v="3"/>
    <x v="11"/>
    <n v="12"/>
    <x v="23"/>
    <n v="7565500"/>
    <n v="43.88"/>
  </r>
  <r>
    <d v="2024-12-07T00:00:00"/>
    <x v="9"/>
    <s v="Muzaffarpur"/>
    <x v="4"/>
    <x v="4"/>
    <x v="0"/>
    <n v="77"/>
    <x v="4"/>
    <n v="71"/>
    <x v="1787"/>
    <n v="382278200"/>
    <x v="1"/>
    <x v="0"/>
    <x v="1"/>
    <x v="3"/>
    <x v="11"/>
    <n v="12"/>
    <x v="23"/>
    <n v="5384200"/>
    <n v="38.229999999999997"/>
  </r>
  <r>
    <d v="2024-12-08T00:00:00"/>
    <x v="5"/>
    <s v="Mangaluru"/>
    <x v="5"/>
    <x v="5"/>
    <x v="0"/>
    <n v="30"/>
    <x v="5"/>
    <n v="4"/>
    <x v="1788"/>
    <n v="5742800"/>
    <x v="1"/>
    <x v="0"/>
    <x v="1"/>
    <x v="3"/>
    <x v="11"/>
    <n v="12"/>
    <x v="23"/>
    <n v="1435700"/>
    <n v="0.56999999999999995"/>
  </r>
  <r>
    <d v="2024-12-08T00:00:00"/>
    <x v="4"/>
    <s v="Jalandhar"/>
    <x v="3"/>
    <x v="3"/>
    <x v="0"/>
    <n v="3"/>
    <x v="3"/>
    <n v="167"/>
    <x v="639"/>
    <n v="17050700"/>
    <x v="1"/>
    <x v="2"/>
    <x v="1"/>
    <x v="3"/>
    <x v="11"/>
    <n v="12"/>
    <x v="23"/>
    <n v="102100"/>
    <n v="1.71"/>
  </r>
  <r>
    <d v="2024-12-08T00:00:00"/>
    <x v="5"/>
    <s v="Mangaluru"/>
    <x v="0"/>
    <x v="0"/>
    <x v="0"/>
    <n v="82"/>
    <x v="0"/>
    <n v="21"/>
    <x v="1789"/>
    <n v="138016200"/>
    <x v="0"/>
    <x v="0"/>
    <x v="1"/>
    <x v="3"/>
    <x v="11"/>
    <n v="12"/>
    <x v="23"/>
    <n v="6572200"/>
    <n v="13.8"/>
  </r>
  <r>
    <d v="2024-12-09T00:00:00"/>
    <x v="1"/>
    <s v="Rohini"/>
    <x v="2"/>
    <x v="2"/>
    <x v="1"/>
    <n v="66"/>
    <x v="2"/>
    <n v="9"/>
    <x v="1790"/>
    <n v="77238000"/>
    <x v="1"/>
    <x v="1"/>
    <x v="1"/>
    <x v="3"/>
    <x v="11"/>
    <n v="12"/>
    <x v="23"/>
    <n v="8582000"/>
    <n v="7.72"/>
  </r>
  <r>
    <d v="2024-12-09T00:00:00"/>
    <x v="8"/>
    <s v="Asansol"/>
    <x v="4"/>
    <x v="4"/>
    <x v="0"/>
    <n v="77"/>
    <x v="4"/>
    <n v="70"/>
    <x v="1791"/>
    <n v="308119000"/>
    <x v="1"/>
    <x v="2"/>
    <x v="1"/>
    <x v="3"/>
    <x v="11"/>
    <n v="12"/>
    <x v="23"/>
    <n v="4401700"/>
    <n v="30.81"/>
  </r>
  <r>
    <d v="2024-12-10T00:00:00"/>
    <x v="3"/>
    <s v="Pune"/>
    <x v="10"/>
    <x v="11"/>
    <x v="0"/>
    <n v="69"/>
    <x v="11"/>
    <n v="49"/>
    <x v="1792"/>
    <n v="291510800"/>
    <x v="2"/>
    <x v="0"/>
    <x v="1"/>
    <x v="3"/>
    <x v="11"/>
    <n v="12"/>
    <x v="23"/>
    <n v="5949200"/>
    <n v="29.15"/>
  </r>
  <r>
    <d v="2024-12-10T00:00:00"/>
    <x v="3"/>
    <s v="Mumbai"/>
    <x v="13"/>
    <x v="19"/>
    <x v="1"/>
    <n v="24"/>
    <x v="17"/>
    <n v="139"/>
    <x v="1793"/>
    <n v="222094200"/>
    <x v="1"/>
    <x v="0"/>
    <x v="1"/>
    <x v="3"/>
    <x v="11"/>
    <n v="12"/>
    <x v="23"/>
    <n v="1597800"/>
    <n v="22.21"/>
  </r>
  <r>
    <d v="2024-12-10T00:00:00"/>
    <x v="8"/>
    <s v="Durgapur"/>
    <x v="12"/>
    <x v="18"/>
    <x v="2"/>
    <n v="60"/>
    <x v="16"/>
    <n v="17"/>
    <x v="1794"/>
    <n v="54216400"/>
    <x v="2"/>
    <x v="2"/>
    <x v="1"/>
    <x v="3"/>
    <x v="11"/>
    <n v="12"/>
    <x v="23"/>
    <n v="3189200"/>
    <n v="5.42"/>
  </r>
  <r>
    <d v="2024-12-10T00:00:00"/>
    <x v="7"/>
    <s v="Tirupati"/>
    <x v="5"/>
    <x v="5"/>
    <x v="2"/>
    <n v="30"/>
    <x v="5"/>
    <n v="13"/>
    <x v="1795"/>
    <n v="21741200"/>
    <x v="0"/>
    <x v="3"/>
    <x v="1"/>
    <x v="3"/>
    <x v="11"/>
    <n v="12"/>
    <x v="23"/>
    <n v="1672400"/>
    <n v="2.17"/>
  </r>
  <r>
    <d v="2024-12-11T00:00:00"/>
    <x v="11"/>
    <s v="Coimbatore"/>
    <x v="6"/>
    <x v="13"/>
    <x v="0"/>
    <n v="48"/>
    <x v="12"/>
    <n v="76"/>
    <x v="1796"/>
    <n v="199880000"/>
    <x v="1"/>
    <x v="0"/>
    <x v="1"/>
    <x v="3"/>
    <x v="11"/>
    <n v="12"/>
    <x v="23"/>
    <n v="2630000"/>
    <n v="19.989999999999998"/>
  </r>
  <r>
    <d v="2024-12-12T00:00:00"/>
    <x v="12"/>
    <s v="Faridabad"/>
    <x v="4"/>
    <x v="4"/>
    <x v="3"/>
    <n v="77"/>
    <x v="4"/>
    <n v="60"/>
    <x v="1797"/>
    <n v="280158000"/>
    <x v="1"/>
    <x v="2"/>
    <x v="1"/>
    <x v="3"/>
    <x v="11"/>
    <n v="12"/>
    <x v="23"/>
    <n v="4669300"/>
    <n v="28.02"/>
  </r>
  <r>
    <d v="2024-12-12T00:00:00"/>
    <x v="6"/>
    <s v="Ahmedabad"/>
    <x v="13"/>
    <x v="22"/>
    <x v="0"/>
    <n v="35"/>
    <x v="10"/>
    <n v="90"/>
    <x v="1798"/>
    <n v="192051000"/>
    <x v="1"/>
    <x v="1"/>
    <x v="1"/>
    <x v="3"/>
    <x v="11"/>
    <n v="12"/>
    <x v="23"/>
    <n v="2133900"/>
    <n v="19.21"/>
  </r>
  <r>
    <d v="2024-12-13T00:00:00"/>
    <x v="1"/>
    <s v="Rohini"/>
    <x v="0"/>
    <x v="0"/>
    <x v="1"/>
    <n v="82"/>
    <x v="0"/>
    <n v="9"/>
    <x v="1799"/>
    <n v="60080400"/>
    <x v="1"/>
    <x v="2"/>
    <x v="1"/>
    <x v="3"/>
    <x v="11"/>
    <n v="12"/>
    <x v="23"/>
    <n v="6675600"/>
    <n v="6.01"/>
  </r>
  <r>
    <d v="2024-12-13T00:00:00"/>
    <x v="5"/>
    <s v="Hubballi"/>
    <x v="5"/>
    <x v="5"/>
    <x v="1"/>
    <n v="30"/>
    <x v="5"/>
    <n v="7"/>
    <x v="1800"/>
    <n v="10498600"/>
    <x v="1"/>
    <x v="2"/>
    <x v="1"/>
    <x v="3"/>
    <x v="11"/>
    <n v="12"/>
    <x v="23"/>
    <n v="1499800"/>
    <n v="1.05"/>
  </r>
  <r>
    <d v="2024-12-13T00:00:00"/>
    <x v="12"/>
    <s v="Panipat"/>
    <x v="3"/>
    <x v="3"/>
    <x v="0"/>
    <n v="3"/>
    <x v="3"/>
    <n v="110"/>
    <x v="1801"/>
    <n v="13420000"/>
    <x v="1"/>
    <x v="2"/>
    <x v="1"/>
    <x v="3"/>
    <x v="11"/>
    <n v="12"/>
    <x v="23"/>
    <n v="122000"/>
    <n v="1.34"/>
  </r>
  <r>
    <d v="2024-12-14T00:00:00"/>
    <x v="5"/>
    <s v="Mangaluru"/>
    <x v="14"/>
    <x v="16"/>
    <x v="0"/>
    <n v="3"/>
    <x v="15"/>
    <n v="169"/>
    <x v="1566"/>
    <n v="25282400"/>
    <x v="1"/>
    <x v="3"/>
    <x v="1"/>
    <x v="3"/>
    <x v="11"/>
    <n v="12"/>
    <x v="23"/>
    <n v="149600"/>
    <n v="2.5299999999999998"/>
  </r>
  <r>
    <d v="2024-12-14T00:00:00"/>
    <x v="11"/>
    <s v="Salem"/>
    <x v="4"/>
    <x v="4"/>
    <x v="2"/>
    <n v="77"/>
    <x v="4"/>
    <n v="35"/>
    <x v="1802"/>
    <n v="154696500"/>
    <x v="1"/>
    <x v="3"/>
    <x v="1"/>
    <x v="3"/>
    <x v="11"/>
    <n v="12"/>
    <x v="23"/>
    <n v="4419900"/>
    <n v="15.47"/>
  </r>
  <r>
    <d v="2024-12-15T00:00:00"/>
    <x v="1"/>
    <s v="Dwarka"/>
    <x v="13"/>
    <x v="15"/>
    <x v="2"/>
    <n v="40"/>
    <x v="14"/>
    <n v="18"/>
    <x v="1521"/>
    <n v="40996800"/>
    <x v="0"/>
    <x v="0"/>
    <x v="1"/>
    <x v="3"/>
    <x v="11"/>
    <n v="12"/>
    <x v="23"/>
    <n v="2277600"/>
    <n v="4.0999999999999996"/>
  </r>
  <r>
    <d v="2024-12-15T00:00:00"/>
    <x v="14"/>
    <s v="Jaipur"/>
    <x v="1"/>
    <x v="21"/>
    <x v="0"/>
    <n v="3"/>
    <x v="19"/>
    <n v="93"/>
    <x v="1803"/>
    <n v="9188400"/>
    <x v="0"/>
    <x v="1"/>
    <x v="1"/>
    <x v="3"/>
    <x v="11"/>
    <n v="12"/>
    <x v="23"/>
    <n v="98800"/>
    <n v="0.92"/>
  </r>
  <r>
    <d v="2024-12-15T00:00:00"/>
    <x v="14"/>
    <s v="Jaipur"/>
    <x v="12"/>
    <x v="14"/>
    <x v="1"/>
    <n v="82"/>
    <x v="13"/>
    <n v="24"/>
    <x v="1804"/>
    <n v="147016800"/>
    <x v="0"/>
    <x v="0"/>
    <x v="1"/>
    <x v="3"/>
    <x v="11"/>
    <n v="12"/>
    <x v="23"/>
    <n v="6125700"/>
    <n v="14.7"/>
  </r>
  <r>
    <d v="2024-12-15T00:00:00"/>
    <x v="10"/>
    <s v="Kozhikode"/>
    <x v="8"/>
    <x v="8"/>
    <x v="0"/>
    <n v="66"/>
    <x v="8"/>
    <n v="16"/>
    <x v="1805"/>
    <n v="102993600"/>
    <x v="0"/>
    <x v="0"/>
    <x v="1"/>
    <x v="3"/>
    <x v="11"/>
    <n v="12"/>
    <x v="23"/>
    <n v="6437100"/>
    <n v="10.3"/>
  </r>
  <r>
    <d v="2024-12-15T00:00:00"/>
    <x v="14"/>
    <s v="Jaipur"/>
    <x v="6"/>
    <x v="13"/>
    <x v="0"/>
    <n v="48"/>
    <x v="12"/>
    <n v="111"/>
    <x v="1806"/>
    <n v="258075000"/>
    <x v="1"/>
    <x v="1"/>
    <x v="1"/>
    <x v="3"/>
    <x v="11"/>
    <n v="12"/>
    <x v="23"/>
    <n v="2325000"/>
    <n v="25.81"/>
  </r>
  <r>
    <d v="2024-12-15T00:00:00"/>
    <x v="3"/>
    <s v="Mumbai"/>
    <x v="12"/>
    <x v="14"/>
    <x v="0"/>
    <n v="82"/>
    <x v="13"/>
    <n v="40"/>
    <x v="1807"/>
    <n v="196376000"/>
    <x v="1"/>
    <x v="2"/>
    <x v="1"/>
    <x v="3"/>
    <x v="11"/>
    <n v="12"/>
    <x v="23"/>
    <n v="4909400"/>
    <n v="19.64"/>
  </r>
  <r>
    <d v="2024-12-16T00:00:00"/>
    <x v="14"/>
    <s v="Kota"/>
    <x v="11"/>
    <x v="23"/>
    <x v="0"/>
    <n v="59"/>
    <x v="20"/>
    <n v="16"/>
    <x v="1808"/>
    <n v="46118400"/>
    <x v="1"/>
    <x v="1"/>
    <x v="1"/>
    <x v="3"/>
    <x v="11"/>
    <n v="12"/>
    <x v="23"/>
    <n v="2882400"/>
    <n v="4.6100000000000003"/>
  </r>
  <r>
    <d v="2024-12-16T00:00:00"/>
    <x v="6"/>
    <s v="Ahmedabad"/>
    <x v="2"/>
    <x v="2"/>
    <x v="0"/>
    <n v="66"/>
    <x v="2"/>
    <n v="31"/>
    <x v="1809"/>
    <n v="228674600"/>
    <x v="1"/>
    <x v="2"/>
    <x v="1"/>
    <x v="3"/>
    <x v="11"/>
    <n v="12"/>
    <x v="23"/>
    <n v="7376600"/>
    <n v="22.87"/>
  </r>
  <r>
    <d v="2024-12-16T00:00:00"/>
    <x v="5"/>
    <s v="Mysuru"/>
    <x v="14"/>
    <x v="16"/>
    <x v="0"/>
    <n v="3"/>
    <x v="15"/>
    <n v="157"/>
    <x v="1810"/>
    <n v="27208100"/>
    <x v="1"/>
    <x v="2"/>
    <x v="1"/>
    <x v="3"/>
    <x v="11"/>
    <n v="12"/>
    <x v="23"/>
    <n v="173300"/>
    <n v="2.72"/>
  </r>
  <r>
    <d v="2024-12-17T00:00:00"/>
    <x v="0"/>
    <s v="Nizamabad"/>
    <x v="12"/>
    <x v="18"/>
    <x v="0"/>
    <n v="60"/>
    <x v="16"/>
    <n v="63"/>
    <x v="1811"/>
    <n v="224065800"/>
    <x v="0"/>
    <x v="2"/>
    <x v="1"/>
    <x v="3"/>
    <x v="11"/>
    <n v="12"/>
    <x v="23"/>
    <n v="3556600"/>
    <n v="22.41"/>
  </r>
  <r>
    <d v="2024-12-17T00:00:00"/>
    <x v="8"/>
    <s v="Siliguri"/>
    <x v="13"/>
    <x v="22"/>
    <x v="1"/>
    <n v="35"/>
    <x v="10"/>
    <n v="93"/>
    <x v="1812"/>
    <n v="186353400"/>
    <x v="1"/>
    <x v="0"/>
    <x v="1"/>
    <x v="3"/>
    <x v="11"/>
    <n v="12"/>
    <x v="23"/>
    <n v="2003800"/>
    <n v="18.64"/>
  </r>
  <r>
    <d v="2024-12-18T00:00:00"/>
    <x v="5"/>
    <s v="Mysuru"/>
    <x v="14"/>
    <x v="16"/>
    <x v="0"/>
    <n v="3"/>
    <x v="15"/>
    <n v="90"/>
    <x v="1813"/>
    <n v="15354000"/>
    <x v="0"/>
    <x v="2"/>
    <x v="1"/>
    <x v="3"/>
    <x v="11"/>
    <n v="12"/>
    <x v="23"/>
    <n v="170600"/>
    <n v="1.54"/>
  </r>
  <r>
    <d v="2024-12-18T00:00:00"/>
    <x v="6"/>
    <s v="Surat"/>
    <x v="7"/>
    <x v="7"/>
    <x v="0"/>
    <n v="3"/>
    <x v="7"/>
    <n v="121"/>
    <x v="773"/>
    <n v="19650400"/>
    <x v="1"/>
    <x v="0"/>
    <x v="1"/>
    <x v="3"/>
    <x v="11"/>
    <n v="12"/>
    <x v="23"/>
    <n v="162400"/>
    <n v="1.97"/>
  </r>
  <r>
    <d v="2024-12-18T00:00:00"/>
    <x v="6"/>
    <s v="Vadodara"/>
    <x v="11"/>
    <x v="12"/>
    <x v="0"/>
    <n v="40"/>
    <x v="12"/>
    <n v="164"/>
    <x v="1814"/>
    <n v="415182400"/>
    <x v="0"/>
    <x v="2"/>
    <x v="1"/>
    <x v="3"/>
    <x v="11"/>
    <n v="12"/>
    <x v="23"/>
    <n v="2531600"/>
    <n v="41.52"/>
  </r>
  <r>
    <d v="2024-12-18T00:00:00"/>
    <x v="14"/>
    <s v="Jaipur"/>
    <x v="0"/>
    <x v="0"/>
    <x v="1"/>
    <n v="82"/>
    <x v="0"/>
    <n v="16"/>
    <x v="1815"/>
    <n v="121686400"/>
    <x v="1"/>
    <x v="0"/>
    <x v="1"/>
    <x v="3"/>
    <x v="11"/>
    <n v="12"/>
    <x v="23"/>
    <n v="7605400"/>
    <n v="12.17"/>
  </r>
  <r>
    <d v="2024-12-19T00:00:00"/>
    <x v="11"/>
    <s v="Salem"/>
    <x v="5"/>
    <x v="5"/>
    <x v="0"/>
    <n v="30"/>
    <x v="5"/>
    <n v="12"/>
    <x v="1816"/>
    <n v="16749600"/>
    <x v="1"/>
    <x v="2"/>
    <x v="1"/>
    <x v="3"/>
    <x v="11"/>
    <n v="12"/>
    <x v="23"/>
    <n v="1395800"/>
    <n v="1.67"/>
  </r>
  <r>
    <d v="2024-12-19T00:00:00"/>
    <x v="1"/>
    <s v="Rohini"/>
    <x v="3"/>
    <x v="3"/>
    <x v="0"/>
    <n v="3"/>
    <x v="3"/>
    <n v="85"/>
    <x v="1817"/>
    <n v="9571000"/>
    <x v="1"/>
    <x v="0"/>
    <x v="1"/>
    <x v="3"/>
    <x v="11"/>
    <n v="12"/>
    <x v="23"/>
    <n v="112600"/>
    <n v="0.96"/>
  </r>
  <r>
    <d v="2024-12-20T00:00:00"/>
    <x v="6"/>
    <s v="Rajkot"/>
    <x v="11"/>
    <x v="12"/>
    <x v="1"/>
    <n v="40"/>
    <x v="12"/>
    <n v="91"/>
    <x v="1818"/>
    <n v="198507400"/>
    <x v="1"/>
    <x v="1"/>
    <x v="1"/>
    <x v="3"/>
    <x v="11"/>
    <n v="12"/>
    <x v="23"/>
    <n v="2181400"/>
    <n v="19.850000000000001"/>
  </r>
  <r>
    <d v="2024-12-21T00:00:00"/>
    <x v="6"/>
    <s v="Vadodara"/>
    <x v="10"/>
    <x v="11"/>
    <x v="0"/>
    <n v="69"/>
    <x v="11"/>
    <n v="41"/>
    <x v="1819"/>
    <n v="205237800"/>
    <x v="0"/>
    <x v="2"/>
    <x v="1"/>
    <x v="3"/>
    <x v="11"/>
    <n v="12"/>
    <x v="23"/>
    <n v="5005800"/>
    <n v="20.52"/>
  </r>
  <r>
    <d v="2024-12-21T00:00:00"/>
    <x v="6"/>
    <s v="Vadodara"/>
    <x v="13"/>
    <x v="22"/>
    <x v="0"/>
    <n v="35"/>
    <x v="10"/>
    <n v="131"/>
    <x v="1820"/>
    <n v="271628500"/>
    <x v="1"/>
    <x v="0"/>
    <x v="1"/>
    <x v="3"/>
    <x v="11"/>
    <n v="12"/>
    <x v="23"/>
    <n v="2073500"/>
    <n v="27.16"/>
  </r>
  <r>
    <d v="2024-12-22T00:00:00"/>
    <x v="11"/>
    <s v="Madurai"/>
    <x v="3"/>
    <x v="3"/>
    <x v="0"/>
    <n v="3"/>
    <x v="3"/>
    <n v="135"/>
    <x v="313"/>
    <n v="16821000"/>
    <x v="1"/>
    <x v="0"/>
    <x v="1"/>
    <x v="3"/>
    <x v="11"/>
    <n v="12"/>
    <x v="23"/>
    <n v="124600"/>
    <n v="1.68"/>
  </r>
  <r>
    <d v="2024-12-23T00:00:00"/>
    <x v="0"/>
    <s v="Nizamabad"/>
    <x v="4"/>
    <x v="4"/>
    <x v="1"/>
    <n v="77"/>
    <x v="4"/>
    <n v="3"/>
    <x v="1821"/>
    <n v="17627700"/>
    <x v="1"/>
    <x v="0"/>
    <x v="1"/>
    <x v="3"/>
    <x v="11"/>
    <n v="12"/>
    <x v="23"/>
    <n v="5875900"/>
    <n v="1.76"/>
  </r>
  <r>
    <d v="2024-12-23T00:00:00"/>
    <x v="5"/>
    <s v="Bengaluru"/>
    <x v="15"/>
    <x v="17"/>
    <x v="0"/>
    <n v="5"/>
    <x v="15"/>
    <n v="115"/>
    <x v="591"/>
    <n v="18940500"/>
    <x v="1"/>
    <x v="0"/>
    <x v="1"/>
    <x v="3"/>
    <x v="11"/>
    <n v="12"/>
    <x v="23"/>
    <n v="164700"/>
    <n v="1.89"/>
  </r>
  <r>
    <d v="2024-12-23T00:00:00"/>
    <x v="0"/>
    <s v="Warangal"/>
    <x v="13"/>
    <x v="19"/>
    <x v="2"/>
    <n v="24"/>
    <x v="17"/>
    <n v="75"/>
    <x v="1822"/>
    <n v="108157500"/>
    <x v="1"/>
    <x v="0"/>
    <x v="1"/>
    <x v="3"/>
    <x v="11"/>
    <n v="12"/>
    <x v="23"/>
    <n v="1442100"/>
    <n v="10.82"/>
  </r>
  <r>
    <d v="2024-12-23T00:00:00"/>
    <x v="6"/>
    <s v="Rajkot"/>
    <x v="15"/>
    <x v="17"/>
    <x v="0"/>
    <n v="5"/>
    <x v="15"/>
    <n v="86"/>
    <x v="1823"/>
    <n v="12409800"/>
    <x v="2"/>
    <x v="2"/>
    <x v="1"/>
    <x v="3"/>
    <x v="11"/>
    <n v="12"/>
    <x v="23"/>
    <n v="144300"/>
    <n v="1.24"/>
  </r>
  <r>
    <d v="2024-12-24T00:00:00"/>
    <x v="7"/>
    <s v="Vijayawada"/>
    <x v="0"/>
    <x v="0"/>
    <x v="0"/>
    <n v="82"/>
    <x v="0"/>
    <n v="14"/>
    <x v="1824"/>
    <n v="81643800"/>
    <x v="1"/>
    <x v="0"/>
    <x v="1"/>
    <x v="3"/>
    <x v="11"/>
    <n v="12"/>
    <x v="23"/>
    <n v="5831700"/>
    <n v="8.16"/>
  </r>
  <r>
    <d v="2024-12-24T00:00:00"/>
    <x v="12"/>
    <s v="Hisar"/>
    <x v="9"/>
    <x v="10"/>
    <x v="0"/>
    <n v="25"/>
    <x v="10"/>
    <n v="29"/>
    <x v="1825"/>
    <n v="34402700"/>
    <x v="2"/>
    <x v="2"/>
    <x v="1"/>
    <x v="3"/>
    <x v="11"/>
    <n v="12"/>
    <x v="23"/>
    <n v="1186300"/>
    <n v="3.44"/>
  </r>
  <r>
    <d v="2024-12-25T00:00:00"/>
    <x v="13"/>
    <s v="Indore"/>
    <x v="8"/>
    <x v="8"/>
    <x v="0"/>
    <n v="66"/>
    <x v="8"/>
    <n v="15"/>
    <x v="1826"/>
    <n v="85107000"/>
    <x v="1"/>
    <x v="2"/>
    <x v="1"/>
    <x v="3"/>
    <x v="11"/>
    <n v="12"/>
    <x v="23"/>
    <n v="5673800"/>
    <n v="8.51"/>
  </r>
  <r>
    <d v="2024-12-25T00:00:00"/>
    <x v="6"/>
    <s v="Rajkot"/>
    <x v="12"/>
    <x v="18"/>
    <x v="0"/>
    <n v="60"/>
    <x v="16"/>
    <n v="31"/>
    <x v="1827"/>
    <n v="108766600"/>
    <x v="0"/>
    <x v="1"/>
    <x v="1"/>
    <x v="3"/>
    <x v="11"/>
    <n v="12"/>
    <x v="23"/>
    <n v="3508600"/>
    <n v="10.88"/>
  </r>
  <r>
    <d v="2024-12-25T00:00:00"/>
    <x v="14"/>
    <s v="Kota"/>
    <x v="3"/>
    <x v="3"/>
    <x v="0"/>
    <n v="3"/>
    <x v="3"/>
    <n v="46"/>
    <x v="1828"/>
    <n v="6154800"/>
    <x v="1"/>
    <x v="0"/>
    <x v="1"/>
    <x v="3"/>
    <x v="11"/>
    <n v="12"/>
    <x v="23"/>
    <n v="133800"/>
    <n v="0.62"/>
  </r>
  <r>
    <d v="2024-12-26T00:00:00"/>
    <x v="1"/>
    <s v="Rohini"/>
    <x v="4"/>
    <x v="4"/>
    <x v="0"/>
    <n v="77"/>
    <x v="4"/>
    <n v="78"/>
    <x v="1829"/>
    <n v="359704800"/>
    <x v="0"/>
    <x v="0"/>
    <x v="1"/>
    <x v="3"/>
    <x v="11"/>
    <n v="12"/>
    <x v="23"/>
    <n v="4611600"/>
    <n v="35.97"/>
  </r>
  <r>
    <d v="2024-12-26T00:00:00"/>
    <x v="2"/>
    <s v="Noida"/>
    <x v="9"/>
    <x v="10"/>
    <x v="0"/>
    <n v="25"/>
    <x v="10"/>
    <n v="42"/>
    <x v="1830"/>
    <n v="46712400"/>
    <x v="1"/>
    <x v="2"/>
    <x v="1"/>
    <x v="3"/>
    <x v="11"/>
    <n v="12"/>
    <x v="23"/>
    <n v="1112200"/>
    <n v="4.67"/>
  </r>
  <r>
    <d v="2024-12-27T00:00:00"/>
    <x v="14"/>
    <s v="Jaipur"/>
    <x v="0"/>
    <x v="0"/>
    <x v="2"/>
    <n v="82"/>
    <x v="0"/>
    <n v="27"/>
    <x v="1831"/>
    <n v="202456800"/>
    <x v="0"/>
    <x v="2"/>
    <x v="1"/>
    <x v="3"/>
    <x v="11"/>
    <n v="12"/>
    <x v="23"/>
    <n v="7498400"/>
    <n v="20.25"/>
  </r>
  <r>
    <d v="2024-12-27T00:00:00"/>
    <x v="12"/>
    <s v="Gurugram"/>
    <x v="1"/>
    <x v="1"/>
    <x v="0"/>
    <n v="4"/>
    <x v="1"/>
    <n v="114"/>
    <x v="1832"/>
    <n v="16826400"/>
    <x v="1"/>
    <x v="0"/>
    <x v="1"/>
    <x v="3"/>
    <x v="11"/>
    <n v="12"/>
    <x v="23"/>
    <n v="147600"/>
    <n v="1.68"/>
  </r>
  <r>
    <d v="2024-12-27T00:00:00"/>
    <x v="3"/>
    <s v="Nagpur"/>
    <x v="6"/>
    <x v="6"/>
    <x v="0"/>
    <n v="72"/>
    <x v="6"/>
    <n v="77"/>
    <x v="1833"/>
    <n v="355023900"/>
    <x v="1"/>
    <x v="0"/>
    <x v="1"/>
    <x v="3"/>
    <x v="11"/>
    <n v="12"/>
    <x v="23"/>
    <n v="4610700"/>
    <n v="35.5"/>
  </r>
  <r>
    <d v="2024-12-28T00:00:00"/>
    <x v="3"/>
    <s v="Nagpur"/>
    <x v="15"/>
    <x v="17"/>
    <x v="0"/>
    <n v="5"/>
    <x v="15"/>
    <n v="137"/>
    <x v="1290"/>
    <n v="20056800"/>
    <x v="1"/>
    <x v="3"/>
    <x v="1"/>
    <x v="3"/>
    <x v="11"/>
    <n v="12"/>
    <x v="23"/>
    <n v="146400"/>
    <n v="2.0099999999999998"/>
  </r>
  <r>
    <d v="2024-12-28T00:00:00"/>
    <x v="7"/>
    <s v="Visakhapatnam"/>
    <x v="8"/>
    <x v="20"/>
    <x v="0"/>
    <n v="84"/>
    <x v="18"/>
    <n v="62"/>
    <x v="1834"/>
    <n v="471156600"/>
    <x v="1"/>
    <x v="0"/>
    <x v="1"/>
    <x v="3"/>
    <x v="11"/>
    <n v="12"/>
    <x v="23"/>
    <n v="7599300"/>
    <n v="47.12"/>
  </r>
  <r>
    <d v="2024-12-29T00:00:00"/>
    <x v="14"/>
    <s v="Udaipur"/>
    <x v="1"/>
    <x v="1"/>
    <x v="0"/>
    <n v="4"/>
    <x v="1"/>
    <n v="158"/>
    <x v="1835"/>
    <n v="20018600"/>
    <x v="0"/>
    <x v="0"/>
    <x v="1"/>
    <x v="3"/>
    <x v="11"/>
    <n v="12"/>
    <x v="23"/>
    <n v="126700"/>
    <n v="2"/>
  </r>
  <r>
    <d v="2024-12-30T00:00:00"/>
    <x v="3"/>
    <s v="Pune"/>
    <x v="14"/>
    <x v="16"/>
    <x v="0"/>
    <n v="3"/>
    <x v="15"/>
    <n v="172"/>
    <x v="1836"/>
    <n v="22858800"/>
    <x v="1"/>
    <x v="2"/>
    <x v="1"/>
    <x v="3"/>
    <x v="11"/>
    <n v="12"/>
    <x v="23"/>
    <n v="132900"/>
    <n v="2.29"/>
  </r>
  <r>
    <d v="2024-12-30T00:00:00"/>
    <x v="8"/>
    <s v="Asansol"/>
    <x v="10"/>
    <x v="11"/>
    <x v="0"/>
    <n v="69"/>
    <x v="11"/>
    <n v="22"/>
    <x v="1837"/>
    <n v="115579200"/>
    <x v="1"/>
    <x v="2"/>
    <x v="1"/>
    <x v="3"/>
    <x v="11"/>
    <n v="12"/>
    <x v="23"/>
    <n v="5253600"/>
    <n v="11.56"/>
  </r>
  <r>
    <d v="2024-12-30T00:00:00"/>
    <x v="6"/>
    <s v="Rajkot"/>
    <x v="3"/>
    <x v="3"/>
    <x v="0"/>
    <n v="3"/>
    <x v="3"/>
    <n v="54"/>
    <x v="1838"/>
    <n v="5578200"/>
    <x v="1"/>
    <x v="0"/>
    <x v="1"/>
    <x v="3"/>
    <x v="11"/>
    <n v="12"/>
    <x v="23"/>
    <n v="103300"/>
    <n v="0.56000000000000005"/>
  </r>
  <r>
    <d v="2024-12-31T00:00:00"/>
    <x v="11"/>
    <s v="Salem"/>
    <x v="12"/>
    <x v="14"/>
    <x v="0"/>
    <n v="82"/>
    <x v="13"/>
    <n v="26"/>
    <x v="1839"/>
    <n v="155287600"/>
    <x v="2"/>
    <x v="1"/>
    <x v="1"/>
    <x v="3"/>
    <x v="11"/>
    <n v="12"/>
    <x v="23"/>
    <n v="5972600"/>
    <n v="15.53"/>
  </r>
  <r>
    <d v="2024-12-31T00:00:00"/>
    <x v="6"/>
    <s v="Rajkot"/>
    <x v="11"/>
    <x v="12"/>
    <x v="3"/>
    <n v="40"/>
    <x v="12"/>
    <n v="13"/>
    <x v="1840"/>
    <n v="31350800"/>
    <x v="0"/>
    <x v="0"/>
    <x v="1"/>
    <x v="3"/>
    <x v="11"/>
    <n v="12"/>
    <x v="23"/>
    <n v="2411600"/>
    <n v="3.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92657-0692-4EA4-BB40-AEB4FE1754E0}" name="PivotTable3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V Type">
  <location ref="G8:H11"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pivotField showAll="0">
      <items count="5">
        <item x="0"/>
        <item x="3"/>
        <item x="1"/>
        <item x="2"/>
        <item t="default"/>
      </items>
    </pivotField>
    <pivotField showAll="0"/>
    <pivotField showAll="0"/>
    <pivotField showAll="0"/>
    <pivotField numFmtId="165" showAll="0"/>
    <pivotField numFmtId="165" showAll="0"/>
    <pivotField showAll="0">
      <items count="4">
        <item x="0"/>
        <item x="2"/>
        <item x="1"/>
        <item t="default"/>
      </items>
    </pivotField>
    <pivotField showAll="0"/>
    <pivotField axis="axisRow"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3">
    <i>
      <x/>
    </i>
    <i>
      <x v="1"/>
    </i>
    <i t="grand">
      <x/>
    </i>
  </rowItems>
  <colItems count="1">
    <i/>
  </colItems>
  <dataFields count="1">
    <dataField name="Sum of Revenue (Cr)" fld="1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A176D5-2A39-4D36-AE8C-E00F66592941}" name="PivotTable3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AH1:AI4"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items count="25">
        <item x="16"/>
        <item x="18"/>
        <item x="23"/>
        <item x="7"/>
        <item x="10"/>
        <item x="5"/>
        <item x="2"/>
        <item x="4"/>
        <item x="20"/>
        <item x="6"/>
        <item x="17"/>
        <item x="8"/>
        <item x="13"/>
        <item x="15"/>
        <item x="3"/>
        <item x="22"/>
        <item x="0"/>
        <item x="21"/>
        <item x="1"/>
        <item x="14"/>
        <item x="19"/>
        <item x="11"/>
        <item x="12"/>
        <item x="9"/>
        <item t="default"/>
      </items>
    </pivotField>
    <pivotField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showAll="0">
      <items count="5">
        <item x="2"/>
        <item x="1"/>
        <item x="0"/>
        <item x="3"/>
        <item t="default"/>
      </items>
    </pivotField>
    <pivotField axis="axisRow"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3">
    <i>
      <x/>
    </i>
    <i>
      <x v="1"/>
    </i>
    <i t="grand">
      <x/>
    </i>
  </rowItems>
  <colItems count="1">
    <i/>
  </colItems>
  <dataFields count="1">
    <dataField name="Toal Units Sold" fld="8" baseField="1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9B571-F067-42BC-8767-0EFFC53EAFE6}" name="PivotTable2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Quarter">
  <location ref="AE1:AF6"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items count="25">
        <item x="16"/>
        <item x="18"/>
        <item x="23"/>
        <item x="7"/>
        <item x="10"/>
        <item x="5"/>
        <item x="2"/>
        <item x="4"/>
        <item x="20"/>
        <item x="6"/>
        <item x="17"/>
        <item x="8"/>
        <item x="13"/>
        <item x="15"/>
        <item x="3"/>
        <item x="22"/>
        <item x="0"/>
        <item x="21"/>
        <item x="1"/>
        <item x="14"/>
        <item x="19"/>
        <item x="11"/>
        <item x="12"/>
        <item x="9"/>
        <item t="default"/>
      </items>
    </pivotField>
    <pivotField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showAll="0">
      <items count="5">
        <item x="2"/>
        <item x="1"/>
        <item x="0"/>
        <item x="3"/>
        <item t="default"/>
      </items>
    </pivotField>
    <pivotField showAll="0">
      <items count="3">
        <item x="0"/>
        <item x="1"/>
        <item t="default"/>
      </items>
    </pivotField>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4"/>
  </rowFields>
  <rowItems count="5">
    <i>
      <x/>
    </i>
    <i>
      <x v="1"/>
    </i>
    <i>
      <x v="2"/>
    </i>
    <i>
      <x v="3"/>
    </i>
    <i t="grand">
      <x/>
    </i>
  </rowItems>
  <colItems count="1">
    <i/>
  </colItems>
  <dataFields count="1">
    <dataField name="Toal Units Sold" fld="8" baseField="1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2786B7-FD31-4FAB-A0F0-B156DAA8933C}" name="PivotTable2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nufacturer">
  <location ref="AB1:AC18"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axis="axisRow" showAll="0">
      <items count="17">
        <item x="14"/>
        <item x="0"/>
        <item x="7"/>
        <item x="8"/>
        <item x="12"/>
        <item x="5"/>
        <item x="3"/>
        <item x="6"/>
        <item x="4"/>
        <item x="11"/>
        <item x="2"/>
        <item x="9"/>
        <item x="1"/>
        <item x="13"/>
        <item x="15"/>
        <item x="10"/>
        <item t="default"/>
      </items>
    </pivotField>
    <pivotField showAll="0">
      <items count="25">
        <item x="16"/>
        <item x="18"/>
        <item x="23"/>
        <item x="7"/>
        <item x="10"/>
        <item x="5"/>
        <item x="2"/>
        <item x="4"/>
        <item x="20"/>
        <item x="6"/>
        <item x="17"/>
        <item x="8"/>
        <item x="13"/>
        <item x="15"/>
        <item x="3"/>
        <item x="22"/>
        <item x="0"/>
        <item x="21"/>
        <item x="1"/>
        <item x="14"/>
        <item x="19"/>
        <item x="11"/>
        <item x="12"/>
        <item x="9"/>
        <item t="default"/>
      </items>
    </pivotField>
    <pivotField showAll="0">
      <items count="5">
        <item x="0"/>
        <item x="3"/>
        <item x="1"/>
        <item x="2"/>
        <item t="default"/>
      </items>
    </pivotField>
    <pivotField showAll="0"/>
    <pivotField showAll="0"/>
    <pivotField showAll="0"/>
    <pivotField numFmtId="165" showAll="0"/>
    <pivotField numFmtId="165" showAll="0"/>
    <pivotField showAll="0">
      <items count="4">
        <item x="0"/>
        <item x="2"/>
        <item x="1"/>
        <item t="default"/>
      </items>
    </pivotField>
    <pivotField showAll="0">
      <items count="5">
        <item x="2"/>
        <item x="1"/>
        <item x="0"/>
        <item x="3"/>
        <item t="default"/>
      </items>
    </pivotField>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Total Revenue (Cr)" fld="19" baseField="5"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60EA57-3995-411F-8B88-8B13BBE0CB57}" name="PivotTable2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V Type">
  <location ref="Y1:Z6"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items count="25">
        <item x="16"/>
        <item x="18"/>
        <item x="23"/>
        <item x="7"/>
        <item x="10"/>
        <item x="5"/>
        <item x="2"/>
        <item x="4"/>
        <item x="20"/>
        <item x="6"/>
        <item x="17"/>
        <item x="8"/>
        <item x="13"/>
        <item x="15"/>
        <item x="3"/>
        <item x="22"/>
        <item x="0"/>
        <item x="21"/>
        <item x="1"/>
        <item x="14"/>
        <item x="19"/>
        <item x="11"/>
        <item x="12"/>
        <item x="9"/>
        <item t="default"/>
      </items>
    </pivotField>
    <pivotField axis="axisRow" showAll="0">
      <items count="5">
        <item x="0"/>
        <item x="3"/>
        <item x="1"/>
        <item x="2"/>
        <item t="default"/>
      </items>
    </pivotField>
    <pivotField showAll="0"/>
    <pivotField showAll="0"/>
    <pivotField showAll="0"/>
    <pivotField numFmtId="165" showAll="0"/>
    <pivotField numFmtId="165" showAll="0"/>
    <pivotField showAll="0">
      <items count="4">
        <item x="0"/>
        <item x="2"/>
        <item x="1"/>
        <item t="default"/>
      </items>
    </pivotField>
    <pivotField showAll="0">
      <items count="5">
        <item x="2"/>
        <item x="1"/>
        <item x="0"/>
        <item x="3"/>
        <item t="default"/>
      </items>
    </pivotField>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5"/>
  </rowFields>
  <rowItems count="5">
    <i>
      <x/>
    </i>
    <i>
      <x v="1"/>
    </i>
    <i>
      <x v="2"/>
    </i>
    <i>
      <x v="3"/>
    </i>
    <i t="grand">
      <x/>
    </i>
  </rowItems>
  <colItems count="1">
    <i/>
  </colItems>
  <dataFields count="1">
    <dataField name="Total Revenue (Cr)" fld="19" baseField="5"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AB0E6A-0014-40C2-AC4A-070031F3456D}" name="PivotTable2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V1:W6"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items count="25">
        <item x="16"/>
        <item x="18"/>
        <item x="23"/>
        <item x="7"/>
        <item x="10"/>
        <item x="5"/>
        <item x="2"/>
        <item x="4"/>
        <item x="20"/>
        <item x="6"/>
        <item x="17"/>
        <item x="8"/>
        <item x="13"/>
        <item x="15"/>
        <item x="3"/>
        <item x="22"/>
        <item x="0"/>
        <item x="21"/>
        <item x="1"/>
        <item x="14"/>
        <item x="19"/>
        <item x="11"/>
        <item x="12"/>
        <item x="9"/>
        <item t="default"/>
      </items>
    </pivotField>
    <pivotField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axis="axisRow" showAll="0">
      <items count="5">
        <item x="2"/>
        <item x="1"/>
        <item x="0"/>
        <item x="3"/>
        <item t="default"/>
      </items>
    </pivotField>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2"/>
  </rowFields>
  <rowItems count="5">
    <i>
      <x/>
    </i>
    <i>
      <x v="1"/>
    </i>
    <i>
      <x v="2"/>
    </i>
    <i>
      <x v="3"/>
    </i>
    <i t="grand">
      <x/>
    </i>
  </rowItems>
  <colItems count="1">
    <i/>
  </colItems>
  <dataFields count="1">
    <dataField name="Total Units Sold" fld="8" baseField="12"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6F0E94-EDCD-4523-8E44-C81B7698D70F}" name="PivotTable2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Type">
  <location ref="S1:T5"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items count="25">
        <item x="16"/>
        <item x="18"/>
        <item x="23"/>
        <item x="7"/>
        <item x="10"/>
        <item x="5"/>
        <item x="2"/>
        <item x="4"/>
        <item x="20"/>
        <item x="6"/>
        <item x="17"/>
        <item x="8"/>
        <item x="13"/>
        <item x="15"/>
        <item x="3"/>
        <item x="22"/>
        <item x="0"/>
        <item x="21"/>
        <item x="1"/>
        <item x="14"/>
        <item x="19"/>
        <item x="11"/>
        <item x="12"/>
        <item x="9"/>
        <item t="default"/>
      </items>
    </pivotField>
    <pivotField showAll="0">
      <items count="5">
        <item x="0"/>
        <item x="3"/>
        <item x="1"/>
        <item x="2"/>
        <item t="default"/>
      </items>
    </pivotField>
    <pivotField showAll="0"/>
    <pivotField showAll="0"/>
    <pivotField dataField="1" showAll="0"/>
    <pivotField numFmtId="165" showAll="0"/>
    <pivotField numFmtId="165" showAll="0"/>
    <pivotField axis="axisRow" showAll="0">
      <items count="4">
        <item x="0"/>
        <item x="2"/>
        <item x="1"/>
        <item t="default"/>
      </items>
    </pivotField>
    <pivotField showAll="0"/>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1"/>
  </rowFields>
  <rowItems count="4">
    <i>
      <x/>
    </i>
    <i>
      <x v="1"/>
    </i>
    <i>
      <x v="2"/>
    </i>
    <i t="grand">
      <x/>
    </i>
  </rowItems>
  <colItems count="1">
    <i/>
  </colItems>
  <dataFields count="1">
    <dataField name="Sum of Units Sold"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611EA9-43E3-467B-B4F3-225D00227C9A}" name="PivotTable2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Quarter">
  <location ref="P1:Q6"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items count="25">
        <item x="16"/>
        <item x="18"/>
        <item x="23"/>
        <item x="7"/>
        <item x="10"/>
        <item x="5"/>
        <item x="2"/>
        <item x="4"/>
        <item x="20"/>
        <item x="6"/>
        <item x="17"/>
        <item x="8"/>
        <item x="13"/>
        <item x="15"/>
        <item x="3"/>
        <item x="22"/>
        <item x="0"/>
        <item x="21"/>
        <item x="1"/>
        <item x="14"/>
        <item x="19"/>
        <item x="11"/>
        <item x="12"/>
        <item x="9"/>
        <item t="default"/>
      </items>
    </pivotField>
    <pivotField showAll="0">
      <items count="5">
        <item x="0"/>
        <item x="3"/>
        <item x="1"/>
        <item x="2"/>
        <item t="default"/>
      </items>
    </pivotField>
    <pivotField showAll="0"/>
    <pivotField showAll="0"/>
    <pivotField showAll="0"/>
    <pivotField numFmtId="165" showAll="0"/>
    <pivotField numFmtId="165" showAll="0"/>
    <pivotField showAll="0">
      <items count="4">
        <item x="0"/>
        <item x="2"/>
        <item x="1"/>
        <item t="default"/>
      </items>
    </pivotField>
    <pivotField showAll="0"/>
    <pivotField showAll="0">
      <items count="3">
        <item x="0"/>
        <item x="1"/>
        <item t="default"/>
      </items>
    </pivotField>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4"/>
  </rowFields>
  <rowItems count="5">
    <i>
      <x/>
    </i>
    <i>
      <x v="1"/>
    </i>
    <i>
      <x v="2"/>
    </i>
    <i>
      <x v="3"/>
    </i>
    <i t="grand">
      <x/>
    </i>
  </rowItems>
  <colItems count="1">
    <i/>
  </colItems>
  <dataFields count="1">
    <dataField name="Total Revenue (Cr)" fld="19" baseField="14"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412E99-0D39-4509-AFC4-66DEFE85AF10}" name="PivotTable2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del">
  <location ref="M1:N26" firstHeaderRow="1" firstDataRow="1" firstDataCol="1"/>
  <pivotFields count="23">
    <pivotField numFmtId="14" showAll="0"/>
    <pivotField showAll="0" sortType="descending">
      <items count="16">
        <item x="7"/>
        <item x="9"/>
        <item x="1"/>
        <item x="6"/>
        <item x="12"/>
        <item x="5"/>
        <item x="10"/>
        <item x="13"/>
        <item x="3"/>
        <item x="4"/>
        <item x="14"/>
        <item x="11"/>
        <item x="0"/>
        <item x="2"/>
        <item x="8"/>
        <item t="default"/>
      </items>
      <autoSortScope>
        <pivotArea dataOnly="0" outline="0" fieldPosition="0">
          <references count="1">
            <reference field="4294967294" count="1" selected="0">
              <x v="0"/>
            </reference>
          </references>
        </pivotArea>
      </autoSortScope>
    </pivotField>
    <pivotField showAll="0"/>
    <pivotField showAll="0" sortType="descending">
      <items count="17">
        <item x="14"/>
        <item x="0"/>
        <item x="7"/>
        <item x="8"/>
        <item x="12"/>
        <item x="5"/>
        <item x="3"/>
        <item x="6"/>
        <item x="4"/>
        <item x="11"/>
        <item x="2"/>
        <item x="9"/>
        <item x="1"/>
        <item x="13"/>
        <item x="15"/>
        <item x="10"/>
        <item t="default"/>
      </items>
      <autoSortScope>
        <pivotArea dataOnly="0" outline="0" fieldPosition="0">
          <references count="1">
            <reference field="4294967294" count="1" selected="0">
              <x v="0"/>
            </reference>
          </references>
        </pivotArea>
      </autoSortScope>
    </pivotField>
    <pivotField axis="axisRow" showAll="0" sortType="descending">
      <items count="25">
        <item x="16"/>
        <item x="18"/>
        <item x="23"/>
        <item x="7"/>
        <item x="10"/>
        <item x="5"/>
        <item x="2"/>
        <item x="4"/>
        <item x="20"/>
        <item x="6"/>
        <item x="17"/>
        <item x="8"/>
        <item x="13"/>
        <item x="15"/>
        <item x="3"/>
        <item x="22"/>
        <item x="0"/>
        <item x="21"/>
        <item x="1"/>
        <item x="14"/>
        <item x="19"/>
        <item x="11"/>
        <item x="12"/>
        <item x="9"/>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showAll="0"/>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25">
    <i>
      <x v="14"/>
    </i>
    <i>
      <x v="3"/>
    </i>
    <i>
      <x v="10"/>
    </i>
    <i>
      <x/>
    </i>
    <i>
      <x v="16"/>
    </i>
    <i>
      <x v="4"/>
    </i>
    <i>
      <x v="2"/>
    </i>
    <i>
      <x v="12"/>
    </i>
    <i>
      <x v="9"/>
    </i>
    <i>
      <x v="17"/>
    </i>
    <i>
      <x v="23"/>
    </i>
    <i>
      <x v="5"/>
    </i>
    <i>
      <x v="22"/>
    </i>
    <i>
      <x v="7"/>
    </i>
    <i>
      <x v="18"/>
    </i>
    <i>
      <x v="13"/>
    </i>
    <i>
      <x v="6"/>
    </i>
    <i>
      <x v="21"/>
    </i>
    <i>
      <x v="15"/>
    </i>
    <i>
      <x v="20"/>
    </i>
    <i>
      <x v="11"/>
    </i>
    <i>
      <x v="1"/>
    </i>
    <i>
      <x v="8"/>
    </i>
    <i>
      <x v="19"/>
    </i>
    <i t="grand">
      <x/>
    </i>
  </rowItems>
  <colItems count="1">
    <i/>
  </colItems>
  <dataFields count="1">
    <dataField name="Total Units Sold" fld="8" baseField="1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6548A9-A466-4A54-84A8-73EFD8CC55F1}" name="PivotTable2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J1:K17" firstHeaderRow="1" firstDataRow="1" firstDataCol="1"/>
  <pivotFields count="23">
    <pivotField numFmtId="14" showAll="0"/>
    <pivotField axis="axisRow" showAll="0" sortType="descending">
      <items count="16">
        <item x="7"/>
        <item x="9"/>
        <item x="1"/>
        <item x="6"/>
        <item x="12"/>
        <item x="5"/>
        <item x="10"/>
        <item x="13"/>
        <item x="3"/>
        <item x="4"/>
        <item x="14"/>
        <item x="11"/>
        <item x="0"/>
        <item x="2"/>
        <item x="8"/>
        <item t="default"/>
      </items>
      <autoSortScope>
        <pivotArea dataOnly="0" outline="0" fieldPosition="0">
          <references count="1">
            <reference field="4294967294" count="1" selected="0">
              <x v="0"/>
            </reference>
          </references>
        </pivotArea>
      </autoSortScope>
    </pivotField>
    <pivotField showAll="0"/>
    <pivotField showAll="0" sortType="descending">
      <items count="17">
        <item x="14"/>
        <item x="0"/>
        <item x="7"/>
        <item x="8"/>
        <item x="12"/>
        <item x="5"/>
        <item x="3"/>
        <item x="6"/>
        <item x="4"/>
        <item x="11"/>
        <item x="2"/>
        <item x="9"/>
        <item x="1"/>
        <item x="13"/>
        <item x="15"/>
        <item x="10"/>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showAll="0"/>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6">
    <i>
      <x v="8"/>
    </i>
    <i>
      <x v="5"/>
    </i>
    <i>
      <x v="11"/>
    </i>
    <i>
      <x v="13"/>
    </i>
    <i>
      <x v="3"/>
    </i>
    <i>
      <x v="2"/>
    </i>
    <i>
      <x v="12"/>
    </i>
    <i>
      <x v="4"/>
    </i>
    <i>
      <x v="10"/>
    </i>
    <i>
      <x v="6"/>
    </i>
    <i>
      <x v="7"/>
    </i>
    <i>
      <x v="14"/>
    </i>
    <i>
      <x v="9"/>
    </i>
    <i>
      <x/>
    </i>
    <i>
      <x v="1"/>
    </i>
    <i t="grand">
      <x/>
    </i>
  </rowItems>
  <colItems count="1">
    <i/>
  </colItems>
  <dataFields count="1">
    <dataField name="Total Units Sold" fld="8" baseField="1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EEDF49-2534-4F48-AAF8-4504F24C32DC}" name="PivotTable2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V Type">
  <location ref="G1:H6"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sortType="descending">
      <items count="17">
        <item x="14"/>
        <item x="0"/>
        <item x="7"/>
        <item x="8"/>
        <item x="12"/>
        <item x="5"/>
        <item x="3"/>
        <item x="6"/>
        <item x="4"/>
        <item x="11"/>
        <item x="2"/>
        <item x="9"/>
        <item x="1"/>
        <item x="13"/>
        <item x="15"/>
        <item x="10"/>
        <item t="default"/>
      </items>
      <autoSortScope>
        <pivotArea dataOnly="0" outline="0" fieldPosition="0">
          <references count="1">
            <reference field="4294967294" count="1" selected="0">
              <x v="0"/>
            </reference>
          </references>
        </pivotArea>
      </autoSortScope>
    </pivotField>
    <pivotField showAll="0"/>
    <pivotField axis="axisRow"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showAll="0"/>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5"/>
  </rowFields>
  <rowItems count="5">
    <i>
      <x/>
    </i>
    <i>
      <x v="1"/>
    </i>
    <i>
      <x v="2"/>
    </i>
    <i>
      <x v="3"/>
    </i>
    <i t="grand">
      <x/>
    </i>
  </rowItems>
  <colItems count="1">
    <i/>
  </colItems>
  <dataFields count="1">
    <dataField name="Total Units Sold" fld="8" baseField="17"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94E6D1-6F75-4B19-A64B-15A39D9C94D1}" name="PivotTable2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nufacturer">
  <location ref="D1:E18"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axis="axisRow" showAll="0" sortType="descending">
      <items count="17">
        <item x="14"/>
        <item x="0"/>
        <item x="7"/>
        <item x="8"/>
        <item x="12"/>
        <item x="5"/>
        <item x="3"/>
        <item x="6"/>
        <item x="4"/>
        <item x="11"/>
        <item x="2"/>
        <item x="9"/>
        <item x="1"/>
        <item x="13"/>
        <item x="15"/>
        <item x="10"/>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showAll="0"/>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17">
    <i>
      <x v="6"/>
    </i>
    <i>
      <x v="13"/>
    </i>
    <i>
      <x v="7"/>
    </i>
    <i>
      <x v="11"/>
    </i>
    <i>
      <x v="2"/>
    </i>
    <i>
      <x v="9"/>
    </i>
    <i>
      <x v="12"/>
    </i>
    <i>
      <x v="14"/>
    </i>
    <i>
      <x/>
    </i>
    <i>
      <x v="1"/>
    </i>
    <i>
      <x v="3"/>
    </i>
    <i>
      <x v="5"/>
    </i>
    <i>
      <x v="8"/>
    </i>
    <i>
      <x v="4"/>
    </i>
    <i>
      <x v="10"/>
    </i>
    <i>
      <x v="15"/>
    </i>
    <i t="grand">
      <x/>
    </i>
  </rowItems>
  <colItems count="1">
    <i/>
  </colItems>
  <dataFields count="1">
    <dataField name="Total Units Sold" fld="8" baseField="1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D4F8CF-69B9-402C-88E5-DF15B7961E81}" name="PivotTable1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Month">
  <location ref="A1:B26" firstHeaderRow="1" firstDataRow="1" firstDataCol="1"/>
  <pivotFields count="23">
    <pivotField numFmtId="14" showAll="0"/>
    <pivotField showAll="0">
      <items count="16">
        <item x="7"/>
        <item x="9"/>
        <item x="1"/>
        <item x="6"/>
        <item x="12"/>
        <item x="5"/>
        <item x="10"/>
        <item x="13"/>
        <item x="3"/>
        <item x="4"/>
        <item x="14"/>
        <item x="11"/>
        <item x="0"/>
        <item x="2"/>
        <item x="8"/>
        <item t="default"/>
      </items>
    </pivotField>
    <pivotField showAll="0"/>
    <pivotField showAll="0">
      <items count="17">
        <item x="14"/>
        <item x="0"/>
        <item x="7"/>
        <item x="8"/>
        <item x="12"/>
        <item x="5"/>
        <item x="3"/>
        <item x="6"/>
        <item x="4"/>
        <item x="11"/>
        <item x="2"/>
        <item x="9"/>
        <item x="1"/>
        <item x="13"/>
        <item x="15"/>
        <item x="10"/>
        <item t="default"/>
      </items>
    </pivotField>
    <pivotField showAll="0"/>
    <pivotField showAll="0">
      <items count="5">
        <item x="0"/>
        <item x="3"/>
        <item x="1"/>
        <item x="2"/>
        <item t="default"/>
      </items>
    </pivotField>
    <pivotField showAll="0"/>
    <pivotField showAll="0"/>
    <pivotField dataField="1" showAll="0"/>
    <pivotField numFmtId="165" showAll="0"/>
    <pivotField numFmtId="165" showAll="0"/>
    <pivotField showAll="0">
      <items count="4">
        <item x="0"/>
        <item x="2"/>
        <item x="1"/>
        <item t="default"/>
      </items>
    </pivotField>
    <pivotField showAll="0"/>
    <pivotField showAll="0">
      <items count="3">
        <item x="0"/>
        <item x="1"/>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axis="axisRow" numFmtId="167"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Units Sold" fld="8" baseField="1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75E3A91-60EF-42B0-A1EE-60C76000237C}" autoFormatId="16" applyNumberFormats="0" applyBorderFormats="0" applyFontFormats="0" applyPatternFormats="0" applyAlignmentFormats="0" applyWidthHeightFormats="0">
  <queryTableRefresh nextId="7">
    <queryTableFields count="6">
      <queryTableField id="1" name="Manufacturer" tableColumnId="1"/>
      <queryTableField id="2" name="Model" tableColumnId="2"/>
      <queryTableField id="3" name="Battery Capacity (kWh)" tableColumnId="3"/>
      <queryTableField id="4" name="Range (km)" tableColumnId="4"/>
      <queryTableField id="5" name="Typical Min Price" tableColumnId="5"/>
      <queryTableField id="6" name="Typical Max Pric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285E73F-DE84-4F78-BE92-67DA8FADBC56}" autoFormatId="16" applyNumberFormats="0" applyBorderFormats="0" applyFontFormats="0" applyPatternFormats="0" applyAlignmentFormats="0" applyWidthHeightFormats="0">
  <queryTableRefresh nextId="21">
    <queryTableFields count="20">
      <queryTableField id="1" name="Date" tableColumnId="1"/>
      <queryTableField id="2" name="State" tableColumnId="2"/>
      <queryTableField id="3" name="City" tableColumnId="3"/>
      <queryTableField id="4" name="Manufacturer" tableColumnId="4"/>
      <queryTableField id="5" name="Model" tableColumnId="5"/>
      <queryTableField id="6" name="EV Type" tableColumnId="6"/>
      <queryTableField id="7" name="Battery Capacity (kWh)" tableColumnId="7"/>
      <queryTableField id="8" name="Range (km)" tableColumnId="8"/>
      <queryTableField id="9" name="Units Sold" tableColumnId="9"/>
      <queryTableField id="10" name="Unit Price (INR)" tableColumnId="10"/>
      <queryTableField id="11" name="Revenue (INR)" tableColumnId="11"/>
      <queryTableField id="12" name="Customer Type" tableColumnId="12"/>
      <queryTableField id="13" name="Payment Method" tableColumnId="13"/>
      <queryTableField id="14" name="Year" tableColumnId="14"/>
      <queryTableField id="15" name="Quarter" tableColumnId="15"/>
      <queryTableField id="16" name="Month" tableColumnId="16"/>
      <queryTableField id="17" name="Month Number" tableColumnId="17"/>
      <queryTableField id="18" name="Year-Month" tableColumnId="18"/>
      <queryTableField id="19" name="Average Revenue per EV" tableColumnId="19"/>
      <queryTableField id="20" name="Revenue (Cr)"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E622A27E-7DFA-4942-8E19-E92ED4CB3EB9}" sourceName="Year">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1"/>
  </pivotTables>
  <data>
    <tabular pivotCacheId="10949691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C0D73FE-35C2-4357-B1CD-8A70A73D219A}" sourceName="Month">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1"/>
  </pivotTables>
  <data>
    <tabular pivotCacheId="109496912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C047F7F-33E7-43D2-A335-B7B9C06156BA}" sourceName="State">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1"/>
  </pivotTables>
  <data>
    <tabular pivotCacheId="1094969124">
      <items count="15">
        <i x="7" s="1"/>
        <i x="9" s="1"/>
        <i x="1" s="1"/>
        <i x="6" s="1"/>
        <i x="12" s="1"/>
        <i x="5" s="1"/>
        <i x="10" s="1"/>
        <i x="13" s="1"/>
        <i x="3" s="1"/>
        <i x="4" s="1"/>
        <i x="14" s="1"/>
        <i x="11" s="1"/>
        <i x="0" s="1"/>
        <i x="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094AC44-CBF9-441B-BB9A-EDEE6EA680AE}" sourceName="Manufacturer">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1"/>
  </pivotTables>
  <data>
    <tabular pivotCacheId="1094969124">
      <items count="16">
        <i x="14" s="1"/>
        <i x="0" s="1"/>
        <i x="7" s="1"/>
        <i x="8" s="1"/>
        <i x="12" s="1"/>
        <i x="5" s="1"/>
        <i x="3" s="1"/>
        <i x="6" s="1"/>
        <i x="4" s="1"/>
        <i x="11" s="1"/>
        <i x="2" s="1"/>
        <i x="9" s="1"/>
        <i x="1" s="1"/>
        <i x="13" s="1"/>
        <i x="15"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453BB21-573C-4CE6-B2E4-787DA88E4285}" sourceName="Quarter">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1"/>
  </pivotTables>
  <data>
    <tabular pivotCacheId="1094969124">
      <items count="4">
        <i x="0"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3DBE1DC-8901-4AC9-9BE4-65BFB17BDDB3}" sourceName="Customer Type">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1"/>
  </pivotTables>
  <data>
    <tabular pivotCacheId="1094969124">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_Type" xr10:uid="{B1FFD436-7CCA-40BA-9735-F28FE789926F}" sourceName="EV Type">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1"/>
  </pivotTables>
  <data>
    <tabular pivotCacheId="1094969124">
      <items count="4">
        <i x="0" s="1"/>
        <i x="3"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4962E1D-0A21-421B-9409-14EAB105CEBA}" sourceName="Year">
  <extLst>
    <x:ext xmlns:x15="http://schemas.microsoft.com/office/spreadsheetml/2010/11/main" uri="{2F2917AC-EB37-4324-AD4E-5DD8C200BD13}">
      <x15:tableSlicerCache tableId="1" column="1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8B6223A-B591-476B-ADB6-84815969A727}"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BB4886C-60FA-4537-BCF5-24869065714D}" cache="Slicer_Year2" caption="Year" rowHeight="234950"/>
  <slicer name="Month" xr10:uid="{42B1147D-5CA7-42F5-A688-984408CE7FDC}" cache="Slicer_Month" caption="Month" rowHeight="234950"/>
  <slicer name="State" xr10:uid="{7B30B24B-4E0A-4385-8A34-FB882687556D}" cache="Slicer_State" caption="State" rowHeight="234950"/>
  <slicer name="Manufacturer" xr10:uid="{CD2B367E-7B55-4FF6-8439-596935A22072}" cache="Slicer_Manufacturer" caption="Manufacturer" rowHeight="234950"/>
  <slicer name="Quarter" xr10:uid="{68E328B1-7EAB-4553-ADE0-47AE5B1190B9}" cache="Slicer_Quarter" caption="Quarter" rowHeight="234950"/>
  <slicer name="Customer Type" xr10:uid="{1BC6D113-CA95-4604-B3E2-8496C6825E12}" cache="Slicer_Customer_Type" caption="Customer Type" rowHeight="234950"/>
  <slicer name="EV Type" xr10:uid="{875EB58D-DBB3-4246-A48A-C95324947F49}" cache="Slicer_EV_Type" caption="EV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C72152-835F-446D-A915-8048BEF71018}" name="Model_Lookup" displayName="Model_Lookup" ref="A1:F25" tableType="queryTable" totalsRowShown="0">
  <autoFilter ref="A1:F25" xr:uid="{1FC72152-835F-446D-A915-8048BEF71018}"/>
  <tableColumns count="6">
    <tableColumn id="1" xr3:uid="{8DA13476-41D4-48A3-BB55-2CA4C95C717C}" uniqueName="1" name="Manufacturer" queryTableFieldId="1" dataDxfId="6"/>
    <tableColumn id="2" xr3:uid="{BFF4B9C9-F0AC-4AEB-8C2A-8974D5B7E5E9}" uniqueName="2" name="Model" queryTableFieldId="2" dataDxfId="5"/>
    <tableColumn id="3" xr3:uid="{988B7A0B-17DA-4FF6-8F08-5AE2391FB983}" uniqueName="3" name="Battery Capacity (kWh)" queryTableFieldId="3"/>
    <tableColumn id="4" xr3:uid="{4C8E431C-D192-4F3B-BF5B-D35AA59D507D}" uniqueName="4" name="Range (km)" queryTableFieldId="4"/>
    <tableColumn id="5" xr3:uid="{2C27D4A8-8BBC-4AB6-B1AA-5BBF944F2B32}" uniqueName="5" name="Typical Min Price" queryTableFieldId="5"/>
    <tableColumn id="6" xr3:uid="{92CF1A31-F0EE-48DA-949E-F86095EBC6AE}" uniqueName="6" name="Typical Max Pric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C489C6-E32C-4F6C-BC04-659B60C8835A}" name="EV_Sales_Data" displayName="EV_Sales_Data" ref="A1:T2001" tableType="queryTable" totalsRowShown="0">
  <autoFilter ref="A1:T2001" xr:uid="{5CC489C6-E32C-4F6C-BC04-659B60C8835A}">
    <filterColumn colId="13">
      <filters>
        <filter val="2024"/>
      </filters>
    </filterColumn>
  </autoFilter>
  <tableColumns count="20">
    <tableColumn id="1" xr3:uid="{7F6D82FD-9C8C-46D5-B04D-B54364D0D41B}" uniqueName="1" name="Date" queryTableFieldId="1" dataDxfId="16"/>
    <tableColumn id="2" xr3:uid="{876B7958-1B3C-4C37-9FBD-087A385AFBA6}" uniqueName="2" name="State" queryTableFieldId="2" dataDxfId="15"/>
    <tableColumn id="3" xr3:uid="{0C1377C5-14DF-4544-8521-C5E7CF8CC318}" uniqueName="3" name="City" queryTableFieldId="3" dataDxfId="14"/>
    <tableColumn id="4" xr3:uid="{EBAA8FAC-F581-4C5F-81B8-491C49446A3E}" uniqueName="4" name="Manufacturer" queryTableFieldId="4" dataDxfId="13"/>
    <tableColumn id="5" xr3:uid="{88322EE9-0DBC-49E2-8BEF-A23BBA45C29A}" uniqueName="5" name="Model" queryTableFieldId="5" dataDxfId="12"/>
    <tableColumn id="6" xr3:uid="{BF00644B-F531-44C3-9A52-C359E31989F3}" uniqueName="6" name="EV Type" queryTableFieldId="6" dataDxfId="11"/>
    <tableColumn id="7" xr3:uid="{0051FB7B-9F99-4DF8-B3D0-D2BEDE2C4BF2}" uniqueName="7" name="Battery Capacity (kWh)" queryTableFieldId="7"/>
    <tableColumn id="8" xr3:uid="{1BC6B089-FC65-4D98-A15C-079288AD6F5B}" uniqueName="8" name="Range (km)" queryTableFieldId="8"/>
    <tableColumn id="9" xr3:uid="{5F64AF9D-170A-43E9-BA02-E5548F3037A8}" uniqueName="9" name="Units Sold" queryTableFieldId="9"/>
    <tableColumn id="10" xr3:uid="{5B23F3CA-12F6-4C91-A374-CA6FFF0D3682}" uniqueName="10" name="Unit Price (INR)" queryTableFieldId="10" dataDxfId="4"/>
    <tableColumn id="11" xr3:uid="{CF0C1A94-C96C-45A5-801C-7ABC45792008}" uniqueName="11" name="Revenue (INR)" queryTableFieldId="11" dataDxfId="3"/>
    <tableColumn id="12" xr3:uid="{120AB63F-02CE-43A0-A25B-4C4BA7A809A4}" uniqueName="12" name="Customer Type" queryTableFieldId="12" dataDxfId="10"/>
    <tableColumn id="13" xr3:uid="{DC9A73D3-D6B1-4E30-B219-23B0FA8FBB7B}" uniqueName="13" name="Payment Method" queryTableFieldId="13" dataDxfId="9"/>
    <tableColumn id="14" xr3:uid="{0024C5E6-A5C2-487A-83F6-6267037B6DD2}" uniqueName="14" name="Year" queryTableFieldId="14"/>
    <tableColumn id="15" xr3:uid="{3555A164-E1AF-4B1A-A5D4-3A5BE877A6EE}" uniqueName="15" name="Quarter" queryTableFieldId="15" dataDxfId="8"/>
    <tableColumn id="16" xr3:uid="{4AECCE61-D0D9-4D5B-BE34-401453399932}" uniqueName="16" name="Month" queryTableFieldId="16" dataDxfId="7"/>
    <tableColumn id="17" xr3:uid="{FDDEF0BD-8AB7-4159-8469-2E90DE5B4DEC}" uniqueName="17" name="Month Number" queryTableFieldId="17"/>
    <tableColumn id="18" xr3:uid="{E58AE7B9-B110-42AB-B44E-8BE756C9BDE8}" uniqueName="18" name="Year-Month" queryTableFieldId="18" dataDxfId="0"/>
    <tableColumn id="19" xr3:uid="{6F461490-CF10-4852-888A-EA06900C7C33}" uniqueName="19" name="Average Revenue per EV" queryTableFieldId="19" dataDxfId="1"/>
    <tableColumn id="20" xr3:uid="{A68F2318-FF20-4C81-8812-C426A9E2237C}" uniqueName="20" name="Revenue (Cr)" queryTableFieldId="2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39942-FF4E-4C54-A4D5-2A43F3D6722D}">
  <dimension ref="A1:F25"/>
  <sheetViews>
    <sheetView workbookViewId="0"/>
  </sheetViews>
  <sheetFormatPr defaultRowHeight="14.4" x14ac:dyDescent="0.3"/>
  <cols>
    <col min="1" max="1" width="14.88671875" bestFit="1" customWidth="1"/>
    <col min="2" max="2" width="13.21875" bestFit="1" customWidth="1"/>
    <col min="3" max="3" width="22.88671875" bestFit="1" customWidth="1"/>
    <col min="4" max="4" width="12.88671875" bestFit="1" customWidth="1"/>
    <col min="5" max="5" width="17.5546875" bestFit="1" customWidth="1"/>
    <col min="6" max="6" width="17.88671875" bestFit="1" customWidth="1"/>
  </cols>
  <sheetData>
    <row r="1" spans="1:6" x14ac:dyDescent="0.3">
      <c r="A1" t="s">
        <v>3</v>
      </c>
      <c r="B1" t="s">
        <v>4</v>
      </c>
      <c r="C1" t="s">
        <v>6</v>
      </c>
      <c r="D1" t="s">
        <v>7</v>
      </c>
      <c r="E1" t="s">
        <v>156</v>
      </c>
      <c r="F1" t="s">
        <v>157</v>
      </c>
    </row>
    <row r="2" spans="1:6" x14ac:dyDescent="0.3">
      <c r="A2" s="2" t="s">
        <v>94</v>
      </c>
      <c r="B2" s="2" t="s">
        <v>95</v>
      </c>
      <c r="C2">
        <v>40</v>
      </c>
      <c r="D2">
        <v>30</v>
      </c>
      <c r="E2">
        <v>2000000</v>
      </c>
      <c r="F2">
        <v>2800000</v>
      </c>
    </row>
    <row r="3" spans="1:6" x14ac:dyDescent="0.3">
      <c r="A3" s="2" t="s">
        <v>94</v>
      </c>
      <c r="B3" s="2" t="s">
        <v>140</v>
      </c>
      <c r="C3">
        <v>35</v>
      </c>
      <c r="D3">
        <v>32</v>
      </c>
      <c r="E3">
        <v>1600000</v>
      </c>
      <c r="F3">
        <v>2200000</v>
      </c>
    </row>
    <row r="4" spans="1:6" x14ac:dyDescent="0.3">
      <c r="A4" s="2" t="s">
        <v>94</v>
      </c>
      <c r="B4" s="2" t="s">
        <v>115</v>
      </c>
      <c r="C4">
        <v>24</v>
      </c>
      <c r="D4">
        <v>24</v>
      </c>
      <c r="E4">
        <v>1200000</v>
      </c>
      <c r="F4">
        <v>1700000</v>
      </c>
    </row>
    <row r="5" spans="1:6" x14ac:dyDescent="0.3">
      <c r="A5" s="2" t="s">
        <v>70</v>
      </c>
      <c r="B5" s="2" t="s">
        <v>71</v>
      </c>
      <c r="C5">
        <v>50</v>
      </c>
      <c r="D5">
        <v>46</v>
      </c>
      <c r="E5">
        <v>2000000</v>
      </c>
      <c r="F5">
        <v>2800000</v>
      </c>
    </row>
    <row r="6" spans="1:6" x14ac:dyDescent="0.3">
      <c r="A6" s="2" t="s">
        <v>70</v>
      </c>
      <c r="B6" s="2" t="s">
        <v>74</v>
      </c>
      <c r="C6">
        <v>25</v>
      </c>
      <c r="D6">
        <v>32</v>
      </c>
      <c r="E6">
        <v>1000000</v>
      </c>
      <c r="F6">
        <v>1300000</v>
      </c>
    </row>
    <row r="7" spans="1:6" x14ac:dyDescent="0.3">
      <c r="A7" s="2" t="s">
        <v>82</v>
      </c>
      <c r="B7" s="2" t="s">
        <v>83</v>
      </c>
      <c r="C7">
        <v>40</v>
      </c>
      <c r="D7">
        <v>39</v>
      </c>
      <c r="E7">
        <v>1800000</v>
      </c>
      <c r="F7">
        <v>2600000</v>
      </c>
    </row>
    <row r="8" spans="1:6" x14ac:dyDescent="0.3">
      <c r="A8" s="2" t="s">
        <v>82</v>
      </c>
      <c r="B8" s="2" t="s">
        <v>141</v>
      </c>
      <c r="C8">
        <v>59</v>
      </c>
      <c r="D8">
        <v>55</v>
      </c>
      <c r="E8">
        <v>2200000</v>
      </c>
      <c r="F8">
        <v>3100000</v>
      </c>
    </row>
    <row r="9" spans="1:6" x14ac:dyDescent="0.3">
      <c r="A9" s="2" t="s">
        <v>57</v>
      </c>
      <c r="B9" s="2" t="s">
        <v>86</v>
      </c>
      <c r="C9">
        <v>48</v>
      </c>
      <c r="D9">
        <v>39</v>
      </c>
      <c r="E9">
        <v>1900000</v>
      </c>
      <c r="F9">
        <v>2700000</v>
      </c>
    </row>
    <row r="10" spans="1:6" x14ac:dyDescent="0.3">
      <c r="A10" s="2" t="s">
        <v>57</v>
      </c>
      <c r="B10" s="2" t="s">
        <v>58</v>
      </c>
      <c r="C10">
        <v>72</v>
      </c>
      <c r="D10">
        <v>488</v>
      </c>
      <c r="E10">
        <v>4200000</v>
      </c>
      <c r="F10">
        <v>5800000</v>
      </c>
    </row>
    <row r="11" spans="1:6" x14ac:dyDescent="0.3">
      <c r="A11" s="2" t="s">
        <v>88</v>
      </c>
      <c r="B11" s="2" t="s">
        <v>111</v>
      </c>
      <c r="C11">
        <v>60</v>
      </c>
      <c r="D11">
        <v>480</v>
      </c>
      <c r="E11">
        <v>2800000</v>
      </c>
      <c r="F11">
        <v>3800000</v>
      </c>
    </row>
    <row r="12" spans="1:6" x14ac:dyDescent="0.3">
      <c r="A12" s="2" t="s">
        <v>88</v>
      </c>
      <c r="B12" s="2" t="s">
        <v>89</v>
      </c>
      <c r="C12">
        <v>82</v>
      </c>
      <c r="D12">
        <v>580</v>
      </c>
      <c r="E12">
        <v>4500000</v>
      </c>
      <c r="F12">
        <v>6200000</v>
      </c>
    </row>
    <row r="13" spans="1:6" x14ac:dyDescent="0.3">
      <c r="A13" s="2" t="s">
        <v>50</v>
      </c>
      <c r="B13" s="2" t="s">
        <v>51</v>
      </c>
      <c r="C13">
        <v>77</v>
      </c>
      <c r="D13">
        <v>528</v>
      </c>
      <c r="E13">
        <v>4300000</v>
      </c>
      <c r="F13">
        <v>5900000</v>
      </c>
    </row>
    <row r="14" spans="1:6" x14ac:dyDescent="0.3">
      <c r="A14" s="2" t="s">
        <v>67</v>
      </c>
      <c r="B14" s="2" t="s">
        <v>68</v>
      </c>
      <c r="C14">
        <v>66</v>
      </c>
      <c r="D14">
        <v>440</v>
      </c>
      <c r="E14">
        <v>5200000</v>
      </c>
      <c r="F14">
        <v>7000000</v>
      </c>
    </row>
    <row r="15" spans="1:6" x14ac:dyDescent="0.3">
      <c r="A15" s="2" t="s">
        <v>67</v>
      </c>
      <c r="B15" s="2" t="s">
        <v>118</v>
      </c>
      <c r="C15">
        <v>84</v>
      </c>
      <c r="D15">
        <v>590</v>
      </c>
      <c r="E15">
        <v>6800000</v>
      </c>
      <c r="F15">
        <v>8800000</v>
      </c>
    </row>
    <row r="16" spans="1:6" x14ac:dyDescent="0.3">
      <c r="A16" s="2" t="s">
        <v>37</v>
      </c>
      <c r="B16" s="2" t="s">
        <v>38</v>
      </c>
      <c r="C16">
        <v>66</v>
      </c>
      <c r="D16">
        <v>423</v>
      </c>
      <c r="E16">
        <v>7000000</v>
      </c>
      <c r="F16">
        <v>9400000</v>
      </c>
    </row>
    <row r="17" spans="1:6" x14ac:dyDescent="0.3">
      <c r="A17" s="2" t="s">
        <v>79</v>
      </c>
      <c r="B17" s="2" t="s">
        <v>80</v>
      </c>
      <c r="C17">
        <v>69</v>
      </c>
      <c r="D17">
        <v>418</v>
      </c>
      <c r="E17">
        <v>4800000</v>
      </c>
      <c r="F17">
        <v>6600000</v>
      </c>
    </row>
    <row r="18" spans="1:6" x14ac:dyDescent="0.3">
      <c r="A18" s="2" t="s">
        <v>31</v>
      </c>
      <c r="B18" s="2" t="s">
        <v>32</v>
      </c>
      <c r="C18">
        <v>4</v>
      </c>
      <c r="D18">
        <v>195</v>
      </c>
      <c r="E18">
        <v>120000</v>
      </c>
      <c r="F18">
        <v>160000</v>
      </c>
    </row>
    <row r="19" spans="1:6" x14ac:dyDescent="0.3">
      <c r="A19" s="2" t="s">
        <v>31</v>
      </c>
      <c r="B19" s="2" t="s">
        <v>124</v>
      </c>
      <c r="C19">
        <v>3</v>
      </c>
      <c r="D19">
        <v>151</v>
      </c>
      <c r="E19">
        <v>90000</v>
      </c>
      <c r="F19">
        <v>130000</v>
      </c>
    </row>
    <row r="20" spans="1:6" x14ac:dyDescent="0.3">
      <c r="A20" s="2" t="s">
        <v>100</v>
      </c>
      <c r="B20" s="2" t="s">
        <v>101</v>
      </c>
      <c r="C20">
        <v>3</v>
      </c>
      <c r="D20">
        <v>150</v>
      </c>
      <c r="E20">
        <v>130000</v>
      </c>
      <c r="F20">
        <v>180000</v>
      </c>
    </row>
    <row r="21" spans="1:6" x14ac:dyDescent="0.3">
      <c r="A21" s="2" t="s">
        <v>102</v>
      </c>
      <c r="B21" s="2" t="s">
        <v>103</v>
      </c>
      <c r="C21">
        <v>5</v>
      </c>
      <c r="D21">
        <v>150</v>
      </c>
      <c r="E21">
        <v>140000</v>
      </c>
      <c r="F21">
        <v>190000</v>
      </c>
    </row>
    <row r="22" spans="1:6" x14ac:dyDescent="0.3">
      <c r="A22" s="2" t="s">
        <v>42</v>
      </c>
      <c r="B22" s="2" t="s">
        <v>43</v>
      </c>
      <c r="C22">
        <v>3</v>
      </c>
      <c r="D22">
        <v>135</v>
      </c>
      <c r="E22">
        <v>100000</v>
      </c>
      <c r="F22">
        <v>140000</v>
      </c>
    </row>
    <row r="23" spans="1:6" x14ac:dyDescent="0.3">
      <c r="A23" s="2" t="s">
        <v>63</v>
      </c>
      <c r="B23" s="2" t="s">
        <v>64</v>
      </c>
      <c r="C23">
        <v>3</v>
      </c>
      <c r="D23">
        <v>127</v>
      </c>
      <c r="E23">
        <v>140000</v>
      </c>
      <c r="F23">
        <v>190000</v>
      </c>
    </row>
    <row r="24" spans="1:6" x14ac:dyDescent="0.3">
      <c r="A24" s="2" t="s">
        <v>54</v>
      </c>
      <c r="B24" s="2" t="s">
        <v>55</v>
      </c>
      <c r="C24">
        <v>30</v>
      </c>
      <c r="D24">
        <v>320</v>
      </c>
      <c r="E24">
        <v>1200000</v>
      </c>
      <c r="F24">
        <v>1700000</v>
      </c>
    </row>
    <row r="25" spans="1:6" x14ac:dyDescent="0.3">
      <c r="A25" s="2" t="s">
        <v>22</v>
      </c>
      <c r="B25" s="2" t="s">
        <v>23</v>
      </c>
      <c r="C25">
        <v>82</v>
      </c>
      <c r="D25">
        <v>520</v>
      </c>
      <c r="E25">
        <v>5800000</v>
      </c>
      <c r="F25">
        <v>7800000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FCA1-731A-41D8-9FA0-1413105E06FF}">
  <dimension ref="A1:T2001"/>
  <sheetViews>
    <sheetView topLeftCell="G1" workbookViewId="0">
      <selection activeCell="E1976" sqref="E1976"/>
    </sheetView>
  </sheetViews>
  <sheetFormatPr defaultRowHeight="14.4" x14ac:dyDescent="0.3"/>
  <cols>
    <col min="1" max="1" width="10.33203125" bestFit="1" customWidth="1"/>
    <col min="2" max="2" width="14.5546875" bestFit="1" customWidth="1"/>
    <col min="3" max="3" width="18.109375" bestFit="1" customWidth="1"/>
    <col min="4" max="4" width="14.88671875" bestFit="1" customWidth="1"/>
    <col min="5" max="5" width="13.21875" bestFit="1" customWidth="1"/>
    <col min="6" max="6" width="20.109375" bestFit="1" customWidth="1"/>
    <col min="7" max="7" width="22.88671875" bestFit="1" customWidth="1"/>
    <col min="8" max="8" width="12.88671875" bestFit="1" customWidth="1"/>
    <col min="9" max="9" width="11.6640625" bestFit="1" customWidth="1"/>
    <col min="10" max="11" width="16.21875" style="3" bestFit="1" customWidth="1"/>
    <col min="12" max="12" width="16" bestFit="1" customWidth="1"/>
    <col min="13" max="13" width="18.109375" bestFit="1" customWidth="1"/>
    <col min="14" max="14" width="6.88671875" bestFit="1" customWidth="1"/>
    <col min="15" max="15" width="9.6640625" bestFit="1" customWidth="1"/>
    <col min="16" max="16" width="9" bestFit="1" customWidth="1"/>
    <col min="17" max="17" width="16.44140625" bestFit="1" customWidth="1"/>
    <col min="18" max="18" width="13.33203125" style="4" bestFit="1" customWidth="1"/>
    <col min="19" max="20" width="16.21875" style="3" bestFit="1" customWidth="1"/>
  </cols>
  <sheetData>
    <row r="1" spans="1:20" x14ac:dyDescent="0.3">
      <c r="A1" t="s">
        <v>0</v>
      </c>
      <c r="B1" t="s">
        <v>1</v>
      </c>
      <c r="C1" t="s">
        <v>2</v>
      </c>
      <c r="D1" t="s">
        <v>3</v>
      </c>
      <c r="E1" t="s">
        <v>4</v>
      </c>
      <c r="F1" t="s">
        <v>5</v>
      </c>
      <c r="G1" t="s">
        <v>6</v>
      </c>
      <c r="H1" t="s">
        <v>7</v>
      </c>
      <c r="I1" t="s">
        <v>8</v>
      </c>
      <c r="J1" s="3" t="s">
        <v>9</v>
      </c>
      <c r="K1" s="3" t="s">
        <v>10</v>
      </c>
      <c r="L1" t="s">
        <v>11</v>
      </c>
      <c r="M1" t="s">
        <v>12</v>
      </c>
      <c r="N1" t="s">
        <v>13</v>
      </c>
      <c r="O1" t="s">
        <v>14</v>
      </c>
      <c r="P1" t="s">
        <v>15</v>
      </c>
      <c r="Q1" t="s">
        <v>16</v>
      </c>
      <c r="R1" s="4" t="s">
        <v>17</v>
      </c>
      <c r="S1" s="3" t="s">
        <v>18</v>
      </c>
      <c r="T1" s="3" t="s">
        <v>19</v>
      </c>
    </row>
    <row r="2" spans="1:20" hidden="1" x14ac:dyDescent="0.3">
      <c r="A2" s="1">
        <v>44927</v>
      </c>
      <c r="B2" s="2" t="s">
        <v>20</v>
      </c>
      <c r="C2" s="2" t="s">
        <v>21</v>
      </c>
      <c r="D2" s="2" t="s">
        <v>22</v>
      </c>
      <c r="E2" s="2" t="s">
        <v>23</v>
      </c>
      <c r="F2" s="2" t="s">
        <v>24</v>
      </c>
      <c r="G2">
        <v>82</v>
      </c>
      <c r="H2">
        <v>520</v>
      </c>
      <c r="I2">
        <v>13</v>
      </c>
      <c r="J2" s="3">
        <v>5974600</v>
      </c>
      <c r="K2" s="3">
        <v>77669800</v>
      </c>
      <c r="L2" s="2" t="s">
        <v>25</v>
      </c>
      <c r="M2" s="2" t="s">
        <v>26</v>
      </c>
      <c r="N2">
        <v>2023</v>
      </c>
      <c r="O2" s="2" t="s">
        <v>27</v>
      </c>
      <c r="P2" s="2" t="s">
        <v>28</v>
      </c>
      <c r="Q2">
        <v>1</v>
      </c>
      <c r="R2" s="4">
        <v>44927</v>
      </c>
      <c r="S2" s="3">
        <v>5974600</v>
      </c>
      <c r="T2" s="3">
        <v>7.77</v>
      </c>
    </row>
    <row r="3" spans="1:20" hidden="1" x14ac:dyDescent="0.3">
      <c r="A3" s="1">
        <v>44927</v>
      </c>
      <c r="B3" s="2" t="s">
        <v>29</v>
      </c>
      <c r="C3" s="2" t="s">
        <v>30</v>
      </c>
      <c r="D3" s="2" t="s">
        <v>31</v>
      </c>
      <c r="E3" s="2" t="s">
        <v>32</v>
      </c>
      <c r="F3" s="2" t="s">
        <v>24</v>
      </c>
      <c r="G3">
        <v>4</v>
      </c>
      <c r="H3">
        <v>195</v>
      </c>
      <c r="I3">
        <v>66</v>
      </c>
      <c r="J3" s="3">
        <v>154000</v>
      </c>
      <c r="K3" s="3">
        <v>10164000</v>
      </c>
      <c r="L3" s="2" t="s">
        <v>33</v>
      </c>
      <c r="M3" s="2" t="s">
        <v>34</v>
      </c>
      <c r="N3">
        <v>2023</v>
      </c>
      <c r="O3" s="2" t="s">
        <v>27</v>
      </c>
      <c r="P3" s="2" t="s">
        <v>28</v>
      </c>
      <c r="Q3">
        <v>1</v>
      </c>
      <c r="R3" s="4">
        <v>44927</v>
      </c>
      <c r="S3" s="3">
        <v>154000</v>
      </c>
      <c r="T3" s="3">
        <v>1.02</v>
      </c>
    </row>
    <row r="4" spans="1:20" hidden="1" x14ac:dyDescent="0.3">
      <c r="A4" s="1">
        <v>44927</v>
      </c>
      <c r="B4" s="2" t="s">
        <v>35</v>
      </c>
      <c r="C4" s="2" t="s">
        <v>36</v>
      </c>
      <c r="D4" s="2" t="s">
        <v>37</v>
      </c>
      <c r="E4" s="2" t="s">
        <v>38</v>
      </c>
      <c r="F4" s="2" t="s">
        <v>39</v>
      </c>
      <c r="G4">
        <v>66</v>
      </c>
      <c r="H4">
        <v>423</v>
      </c>
      <c r="I4">
        <v>41</v>
      </c>
      <c r="J4" s="3">
        <v>7562800</v>
      </c>
      <c r="K4" s="3">
        <v>310074800</v>
      </c>
      <c r="L4" s="2" t="s">
        <v>33</v>
      </c>
      <c r="M4" s="2" t="s">
        <v>26</v>
      </c>
      <c r="N4">
        <v>2023</v>
      </c>
      <c r="O4" s="2" t="s">
        <v>27</v>
      </c>
      <c r="P4" s="2" t="s">
        <v>28</v>
      </c>
      <c r="Q4">
        <v>1</v>
      </c>
      <c r="R4" s="4">
        <v>44927</v>
      </c>
      <c r="S4" s="3">
        <v>7562800</v>
      </c>
      <c r="T4" s="3">
        <v>31.01</v>
      </c>
    </row>
    <row r="5" spans="1:20" hidden="1" x14ac:dyDescent="0.3">
      <c r="A5" s="1">
        <v>44927</v>
      </c>
      <c r="B5" s="2" t="s">
        <v>40</v>
      </c>
      <c r="C5" s="2" t="s">
        <v>41</v>
      </c>
      <c r="D5" s="2" t="s">
        <v>42</v>
      </c>
      <c r="E5" s="2" t="s">
        <v>43</v>
      </c>
      <c r="F5" s="2" t="s">
        <v>24</v>
      </c>
      <c r="G5">
        <v>3</v>
      </c>
      <c r="H5">
        <v>135</v>
      </c>
      <c r="I5">
        <v>142</v>
      </c>
      <c r="J5" s="3">
        <v>130100</v>
      </c>
      <c r="K5" s="3">
        <v>18474200</v>
      </c>
      <c r="L5" s="2" t="s">
        <v>25</v>
      </c>
      <c r="M5" s="2" t="s">
        <v>34</v>
      </c>
      <c r="N5">
        <v>2023</v>
      </c>
      <c r="O5" s="2" t="s">
        <v>27</v>
      </c>
      <c r="P5" s="2" t="s">
        <v>28</v>
      </c>
      <c r="Q5">
        <v>1</v>
      </c>
      <c r="R5" s="4">
        <v>44927</v>
      </c>
      <c r="S5" s="3">
        <v>130100</v>
      </c>
      <c r="T5" s="3">
        <v>1.85</v>
      </c>
    </row>
    <row r="6" spans="1:20" hidden="1" x14ac:dyDescent="0.3">
      <c r="A6" s="1">
        <v>44927</v>
      </c>
      <c r="B6" s="2" t="s">
        <v>44</v>
      </c>
      <c r="C6" s="2" t="s">
        <v>45</v>
      </c>
      <c r="D6" s="2" t="s">
        <v>42</v>
      </c>
      <c r="E6" s="2" t="s">
        <v>43</v>
      </c>
      <c r="F6" s="2" t="s">
        <v>24</v>
      </c>
      <c r="G6">
        <v>3</v>
      </c>
      <c r="H6">
        <v>135</v>
      </c>
      <c r="I6">
        <v>122</v>
      </c>
      <c r="J6" s="3">
        <v>108300</v>
      </c>
      <c r="K6" s="3">
        <v>13212600</v>
      </c>
      <c r="L6" s="2" t="s">
        <v>25</v>
      </c>
      <c r="M6" s="2" t="s">
        <v>26</v>
      </c>
      <c r="N6">
        <v>2023</v>
      </c>
      <c r="O6" s="2" t="s">
        <v>27</v>
      </c>
      <c r="P6" s="2" t="s">
        <v>28</v>
      </c>
      <c r="Q6">
        <v>1</v>
      </c>
      <c r="R6" s="4">
        <v>44927</v>
      </c>
      <c r="S6" s="3">
        <v>108300</v>
      </c>
      <c r="T6" s="3">
        <v>1.32</v>
      </c>
    </row>
    <row r="7" spans="1:20" hidden="1" x14ac:dyDescent="0.3">
      <c r="A7" s="1">
        <v>44927</v>
      </c>
      <c r="B7" s="2" t="s">
        <v>46</v>
      </c>
      <c r="C7" s="2" t="s">
        <v>47</v>
      </c>
      <c r="D7" s="2" t="s">
        <v>22</v>
      </c>
      <c r="E7" s="2" t="s">
        <v>23</v>
      </c>
      <c r="F7" s="2" t="s">
        <v>24</v>
      </c>
      <c r="G7">
        <v>82</v>
      </c>
      <c r="H7">
        <v>520</v>
      </c>
      <c r="I7">
        <v>50</v>
      </c>
      <c r="J7" s="3">
        <v>7453700</v>
      </c>
      <c r="K7" s="3">
        <v>372685000</v>
      </c>
      <c r="L7" s="2" t="s">
        <v>33</v>
      </c>
      <c r="M7" s="2" t="s">
        <v>26</v>
      </c>
      <c r="N7">
        <v>2023</v>
      </c>
      <c r="O7" s="2" t="s">
        <v>27</v>
      </c>
      <c r="P7" s="2" t="s">
        <v>28</v>
      </c>
      <c r="Q7">
        <v>1</v>
      </c>
      <c r="R7" s="4">
        <v>44927</v>
      </c>
      <c r="S7" s="3">
        <v>7453700</v>
      </c>
      <c r="T7" s="3">
        <v>37.270000000000003</v>
      </c>
    </row>
    <row r="8" spans="1:20" hidden="1" x14ac:dyDescent="0.3">
      <c r="A8" s="1">
        <v>44928</v>
      </c>
      <c r="B8" s="2" t="s">
        <v>48</v>
      </c>
      <c r="C8" s="2" t="s">
        <v>49</v>
      </c>
      <c r="D8" s="2" t="s">
        <v>50</v>
      </c>
      <c r="E8" s="2" t="s">
        <v>51</v>
      </c>
      <c r="F8" s="2" t="s">
        <v>24</v>
      </c>
      <c r="G8">
        <v>77</v>
      </c>
      <c r="H8">
        <v>528</v>
      </c>
      <c r="I8">
        <v>56</v>
      </c>
      <c r="J8" s="3">
        <v>5174700</v>
      </c>
      <c r="K8" s="3">
        <v>289783200</v>
      </c>
      <c r="L8" s="2" t="s">
        <v>33</v>
      </c>
      <c r="M8" s="2" t="s">
        <v>34</v>
      </c>
      <c r="N8">
        <v>2023</v>
      </c>
      <c r="O8" s="2" t="s">
        <v>27</v>
      </c>
      <c r="P8" s="2" t="s">
        <v>28</v>
      </c>
      <c r="Q8">
        <v>1</v>
      </c>
      <c r="R8" s="4">
        <v>44927</v>
      </c>
      <c r="S8" s="3">
        <v>5174700</v>
      </c>
      <c r="T8" s="3">
        <v>28.98</v>
      </c>
    </row>
    <row r="9" spans="1:20" hidden="1" x14ac:dyDescent="0.3">
      <c r="A9" s="1">
        <v>44928</v>
      </c>
      <c r="B9" s="2" t="s">
        <v>52</v>
      </c>
      <c r="C9" s="2" t="s">
        <v>53</v>
      </c>
      <c r="D9" s="2" t="s">
        <v>54</v>
      </c>
      <c r="E9" s="2" t="s">
        <v>55</v>
      </c>
      <c r="F9" s="2" t="s">
        <v>24</v>
      </c>
      <c r="G9">
        <v>30</v>
      </c>
      <c r="H9">
        <v>320</v>
      </c>
      <c r="I9">
        <v>66</v>
      </c>
      <c r="J9" s="3">
        <v>1409300</v>
      </c>
      <c r="K9" s="3">
        <v>93013800</v>
      </c>
      <c r="L9" s="2" t="s">
        <v>33</v>
      </c>
      <c r="M9" s="2" t="s">
        <v>26</v>
      </c>
      <c r="N9">
        <v>2023</v>
      </c>
      <c r="O9" s="2" t="s">
        <v>27</v>
      </c>
      <c r="P9" s="2" t="s">
        <v>28</v>
      </c>
      <c r="Q9">
        <v>1</v>
      </c>
      <c r="R9" s="4">
        <v>44927</v>
      </c>
      <c r="S9" s="3">
        <v>1409300</v>
      </c>
      <c r="T9" s="3">
        <v>9.3000000000000007</v>
      </c>
    </row>
    <row r="10" spans="1:20" hidden="1" x14ac:dyDescent="0.3">
      <c r="A10" s="1">
        <v>44928</v>
      </c>
      <c r="B10" s="2" t="s">
        <v>46</v>
      </c>
      <c r="C10" s="2" t="s">
        <v>56</v>
      </c>
      <c r="D10" s="2" t="s">
        <v>57</v>
      </c>
      <c r="E10" s="2" t="s">
        <v>58</v>
      </c>
      <c r="F10" s="2" t="s">
        <v>24</v>
      </c>
      <c r="G10">
        <v>72</v>
      </c>
      <c r="H10">
        <v>488</v>
      </c>
      <c r="I10">
        <v>16</v>
      </c>
      <c r="J10" s="3">
        <v>4395000</v>
      </c>
      <c r="K10" s="3">
        <v>70320000</v>
      </c>
      <c r="L10" s="2" t="s">
        <v>33</v>
      </c>
      <c r="M10" s="2" t="s">
        <v>26</v>
      </c>
      <c r="N10">
        <v>2023</v>
      </c>
      <c r="O10" s="2" t="s">
        <v>27</v>
      </c>
      <c r="P10" s="2" t="s">
        <v>28</v>
      </c>
      <c r="Q10">
        <v>1</v>
      </c>
      <c r="R10" s="4">
        <v>44927</v>
      </c>
      <c r="S10" s="3">
        <v>4395000</v>
      </c>
      <c r="T10" s="3">
        <v>7.03</v>
      </c>
    </row>
    <row r="11" spans="1:20" hidden="1" x14ac:dyDescent="0.3">
      <c r="A11" s="1">
        <v>44928</v>
      </c>
      <c r="B11" s="2" t="s">
        <v>59</v>
      </c>
      <c r="C11" s="2" t="s">
        <v>60</v>
      </c>
      <c r="D11" s="2" t="s">
        <v>54</v>
      </c>
      <c r="E11" s="2" t="s">
        <v>55</v>
      </c>
      <c r="F11" s="2" t="s">
        <v>39</v>
      </c>
      <c r="G11">
        <v>30</v>
      </c>
      <c r="H11">
        <v>320</v>
      </c>
      <c r="I11">
        <v>15</v>
      </c>
      <c r="J11" s="3">
        <v>1498500</v>
      </c>
      <c r="K11" s="3">
        <v>22477500</v>
      </c>
      <c r="L11" s="2" t="s">
        <v>25</v>
      </c>
      <c r="M11" s="2" t="s">
        <v>26</v>
      </c>
      <c r="N11">
        <v>2023</v>
      </c>
      <c r="O11" s="2" t="s">
        <v>27</v>
      </c>
      <c r="P11" s="2" t="s">
        <v>28</v>
      </c>
      <c r="Q11">
        <v>1</v>
      </c>
      <c r="R11" s="4">
        <v>44927</v>
      </c>
      <c r="S11" s="3">
        <v>1498500</v>
      </c>
      <c r="T11" s="3">
        <v>2.25</v>
      </c>
    </row>
    <row r="12" spans="1:20" hidden="1" x14ac:dyDescent="0.3">
      <c r="A12" s="1">
        <v>44928</v>
      </c>
      <c r="B12" s="2" t="s">
        <v>61</v>
      </c>
      <c r="C12" s="2" t="s">
        <v>62</v>
      </c>
      <c r="D12" s="2" t="s">
        <v>63</v>
      </c>
      <c r="E12" s="2" t="s">
        <v>64</v>
      </c>
      <c r="F12" s="2" t="s">
        <v>24</v>
      </c>
      <c r="G12">
        <v>3</v>
      </c>
      <c r="H12">
        <v>127</v>
      </c>
      <c r="I12">
        <v>46</v>
      </c>
      <c r="J12" s="3">
        <v>184900</v>
      </c>
      <c r="K12" s="3">
        <v>8505400</v>
      </c>
      <c r="L12" s="2" t="s">
        <v>25</v>
      </c>
      <c r="M12" s="2" t="s">
        <v>26</v>
      </c>
      <c r="N12">
        <v>2023</v>
      </c>
      <c r="O12" s="2" t="s">
        <v>27</v>
      </c>
      <c r="P12" s="2" t="s">
        <v>28</v>
      </c>
      <c r="Q12">
        <v>1</v>
      </c>
      <c r="R12" s="4">
        <v>44927</v>
      </c>
      <c r="S12" s="3">
        <v>184900</v>
      </c>
      <c r="T12" s="3">
        <v>0.85</v>
      </c>
    </row>
    <row r="13" spans="1:20" hidden="1" x14ac:dyDescent="0.3">
      <c r="A13" s="1">
        <v>44928</v>
      </c>
      <c r="B13" s="2" t="s">
        <v>29</v>
      </c>
      <c r="C13" s="2" t="s">
        <v>65</v>
      </c>
      <c r="D13" s="2" t="s">
        <v>37</v>
      </c>
      <c r="E13" s="2" t="s">
        <v>38</v>
      </c>
      <c r="F13" s="2" t="s">
        <v>24</v>
      </c>
      <c r="G13">
        <v>66</v>
      </c>
      <c r="H13">
        <v>423</v>
      </c>
      <c r="I13">
        <v>31</v>
      </c>
      <c r="J13" s="3">
        <v>9345700</v>
      </c>
      <c r="K13" s="3">
        <v>289716700</v>
      </c>
      <c r="L13" s="2" t="s">
        <v>33</v>
      </c>
      <c r="M13" s="2" t="s">
        <v>26</v>
      </c>
      <c r="N13">
        <v>2023</v>
      </c>
      <c r="O13" s="2" t="s">
        <v>27</v>
      </c>
      <c r="P13" s="2" t="s">
        <v>28</v>
      </c>
      <c r="Q13">
        <v>1</v>
      </c>
      <c r="R13" s="4">
        <v>44927</v>
      </c>
      <c r="S13" s="3">
        <v>9345700</v>
      </c>
      <c r="T13" s="3">
        <v>28.97</v>
      </c>
    </row>
    <row r="14" spans="1:20" hidden="1" x14ac:dyDescent="0.3">
      <c r="A14" s="1">
        <v>44929</v>
      </c>
      <c r="B14" s="2" t="s">
        <v>52</v>
      </c>
      <c r="C14" s="2" t="s">
        <v>66</v>
      </c>
      <c r="D14" s="2" t="s">
        <v>67</v>
      </c>
      <c r="E14" s="2" t="s">
        <v>68</v>
      </c>
      <c r="F14" s="2" t="s">
        <v>24</v>
      </c>
      <c r="G14">
        <v>66</v>
      </c>
      <c r="H14">
        <v>440</v>
      </c>
      <c r="I14">
        <v>24</v>
      </c>
      <c r="J14" s="3">
        <v>6902000</v>
      </c>
      <c r="K14" s="3">
        <v>165648000</v>
      </c>
      <c r="L14" s="2" t="s">
        <v>25</v>
      </c>
      <c r="M14" s="2" t="s">
        <v>26</v>
      </c>
      <c r="N14">
        <v>2023</v>
      </c>
      <c r="O14" s="2" t="s">
        <v>27</v>
      </c>
      <c r="P14" s="2" t="s">
        <v>28</v>
      </c>
      <c r="Q14">
        <v>1</v>
      </c>
      <c r="R14" s="4">
        <v>44927</v>
      </c>
      <c r="S14" s="3">
        <v>6902000</v>
      </c>
      <c r="T14" s="3">
        <v>16.559999999999999</v>
      </c>
    </row>
    <row r="15" spans="1:20" hidden="1" x14ac:dyDescent="0.3">
      <c r="A15" s="1">
        <v>44929</v>
      </c>
      <c r="B15" s="2" t="s">
        <v>48</v>
      </c>
      <c r="C15" s="2" t="s">
        <v>69</v>
      </c>
      <c r="D15" s="2" t="s">
        <v>70</v>
      </c>
      <c r="E15" s="2" t="s">
        <v>71</v>
      </c>
      <c r="F15" s="2" t="s">
        <v>72</v>
      </c>
      <c r="G15">
        <v>50</v>
      </c>
      <c r="H15">
        <v>46</v>
      </c>
      <c r="I15">
        <v>47</v>
      </c>
      <c r="J15" s="3">
        <v>2208200</v>
      </c>
      <c r="K15" s="3">
        <v>103785400</v>
      </c>
      <c r="L15" s="2" t="s">
        <v>33</v>
      </c>
      <c r="M15" s="2" t="s">
        <v>26</v>
      </c>
      <c r="N15">
        <v>2023</v>
      </c>
      <c r="O15" s="2" t="s">
        <v>27</v>
      </c>
      <c r="P15" s="2" t="s">
        <v>28</v>
      </c>
      <c r="Q15">
        <v>1</v>
      </c>
      <c r="R15" s="4">
        <v>44927</v>
      </c>
      <c r="S15" s="3">
        <v>2208200</v>
      </c>
      <c r="T15" s="3">
        <v>10.38</v>
      </c>
    </row>
    <row r="16" spans="1:20" hidden="1" x14ac:dyDescent="0.3">
      <c r="A16" s="1">
        <v>44929</v>
      </c>
      <c r="B16" s="2" t="s">
        <v>48</v>
      </c>
      <c r="C16" s="2" t="s">
        <v>73</v>
      </c>
      <c r="D16" s="2" t="s">
        <v>70</v>
      </c>
      <c r="E16" s="2" t="s">
        <v>74</v>
      </c>
      <c r="F16" s="2" t="s">
        <v>24</v>
      </c>
      <c r="G16">
        <v>25</v>
      </c>
      <c r="H16">
        <v>32</v>
      </c>
      <c r="I16">
        <v>140</v>
      </c>
      <c r="J16" s="3">
        <v>1089400</v>
      </c>
      <c r="K16" s="3">
        <v>152516000</v>
      </c>
      <c r="L16" s="2" t="s">
        <v>33</v>
      </c>
      <c r="M16" s="2" t="s">
        <v>26</v>
      </c>
      <c r="N16">
        <v>2023</v>
      </c>
      <c r="O16" s="2" t="s">
        <v>27</v>
      </c>
      <c r="P16" s="2" t="s">
        <v>28</v>
      </c>
      <c r="Q16">
        <v>1</v>
      </c>
      <c r="R16" s="4">
        <v>44927</v>
      </c>
      <c r="S16" s="3">
        <v>1089400</v>
      </c>
      <c r="T16" s="3">
        <v>15.25</v>
      </c>
    </row>
    <row r="17" spans="1:20" hidden="1" x14ac:dyDescent="0.3">
      <c r="A17" s="1">
        <v>44929</v>
      </c>
      <c r="B17" s="2" t="s">
        <v>75</v>
      </c>
      <c r="C17" s="2" t="s">
        <v>76</v>
      </c>
      <c r="D17" s="2" t="s">
        <v>22</v>
      </c>
      <c r="E17" s="2" t="s">
        <v>23</v>
      </c>
      <c r="F17" s="2" t="s">
        <v>24</v>
      </c>
      <c r="G17">
        <v>82</v>
      </c>
      <c r="H17">
        <v>520</v>
      </c>
      <c r="I17">
        <v>8</v>
      </c>
      <c r="J17" s="3">
        <v>7365900</v>
      </c>
      <c r="K17" s="3">
        <v>58927200</v>
      </c>
      <c r="L17" s="2" t="s">
        <v>33</v>
      </c>
      <c r="M17" s="2" t="s">
        <v>77</v>
      </c>
      <c r="N17">
        <v>2023</v>
      </c>
      <c r="O17" s="2" t="s">
        <v>27</v>
      </c>
      <c r="P17" s="2" t="s">
        <v>28</v>
      </c>
      <c r="Q17">
        <v>1</v>
      </c>
      <c r="R17" s="4">
        <v>44927</v>
      </c>
      <c r="S17" s="3">
        <v>7365900</v>
      </c>
      <c r="T17" s="3">
        <v>5.89</v>
      </c>
    </row>
    <row r="18" spans="1:20" hidden="1" x14ac:dyDescent="0.3">
      <c r="A18" s="1">
        <v>44930</v>
      </c>
      <c r="B18" s="2" t="s">
        <v>40</v>
      </c>
      <c r="C18" s="2" t="s">
        <v>78</v>
      </c>
      <c r="D18" s="2" t="s">
        <v>50</v>
      </c>
      <c r="E18" s="2" t="s">
        <v>51</v>
      </c>
      <c r="F18" s="2" t="s">
        <v>24</v>
      </c>
      <c r="G18">
        <v>77</v>
      </c>
      <c r="H18">
        <v>528</v>
      </c>
      <c r="I18">
        <v>53</v>
      </c>
      <c r="J18" s="3">
        <v>4712600</v>
      </c>
      <c r="K18" s="3">
        <v>249767800</v>
      </c>
      <c r="L18" s="2" t="s">
        <v>25</v>
      </c>
      <c r="M18" s="2" t="s">
        <v>77</v>
      </c>
      <c r="N18">
        <v>2023</v>
      </c>
      <c r="O18" s="2" t="s">
        <v>27</v>
      </c>
      <c r="P18" s="2" t="s">
        <v>28</v>
      </c>
      <c r="Q18">
        <v>1</v>
      </c>
      <c r="R18" s="4">
        <v>44927</v>
      </c>
      <c r="S18" s="3">
        <v>4712600</v>
      </c>
      <c r="T18" s="3">
        <v>24.98</v>
      </c>
    </row>
    <row r="19" spans="1:20" hidden="1" x14ac:dyDescent="0.3">
      <c r="A19" s="1">
        <v>44930</v>
      </c>
      <c r="B19" s="2" t="s">
        <v>29</v>
      </c>
      <c r="C19" s="2" t="s">
        <v>65</v>
      </c>
      <c r="D19" s="2" t="s">
        <v>79</v>
      </c>
      <c r="E19" s="2" t="s">
        <v>80</v>
      </c>
      <c r="F19" s="2" t="s">
        <v>24</v>
      </c>
      <c r="G19">
        <v>69</v>
      </c>
      <c r="H19">
        <v>418</v>
      </c>
      <c r="I19">
        <v>55</v>
      </c>
      <c r="J19" s="3">
        <v>5633900</v>
      </c>
      <c r="K19" s="3">
        <v>309864500</v>
      </c>
      <c r="L19" s="2" t="s">
        <v>33</v>
      </c>
      <c r="M19" s="2" t="s">
        <v>26</v>
      </c>
      <c r="N19">
        <v>2023</v>
      </c>
      <c r="O19" s="2" t="s">
        <v>27</v>
      </c>
      <c r="P19" s="2" t="s">
        <v>28</v>
      </c>
      <c r="Q19">
        <v>1</v>
      </c>
      <c r="R19" s="4">
        <v>44927</v>
      </c>
      <c r="S19" s="3">
        <v>5633900</v>
      </c>
      <c r="T19" s="3">
        <v>30.99</v>
      </c>
    </row>
    <row r="20" spans="1:20" hidden="1" x14ac:dyDescent="0.3">
      <c r="A20" s="1">
        <v>44931</v>
      </c>
      <c r="B20" s="2" t="s">
        <v>59</v>
      </c>
      <c r="C20" s="2" t="s">
        <v>81</v>
      </c>
      <c r="D20" s="2" t="s">
        <v>82</v>
      </c>
      <c r="E20" s="2" t="s">
        <v>83</v>
      </c>
      <c r="F20" s="2" t="s">
        <v>72</v>
      </c>
      <c r="G20">
        <v>40</v>
      </c>
      <c r="H20">
        <v>39</v>
      </c>
      <c r="I20">
        <v>133</v>
      </c>
      <c r="J20" s="3">
        <v>2103100</v>
      </c>
      <c r="K20" s="3">
        <v>279712300</v>
      </c>
      <c r="L20" s="2" t="s">
        <v>33</v>
      </c>
      <c r="M20" s="2" t="s">
        <v>26</v>
      </c>
      <c r="N20">
        <v>2023</v>
      </c>
      <c r="O20" s="2" t="s">
        <v>27</v>
      </c>
      <c r="P20" s="2" t="s">
        <v>28</v>
      </c>
      <c r="Q20">
        <v>1</v>
      </c>
      <c r="R20" s="4">
        <v>44927</v>
      </c>
      <c r="S20" s="3">
        <v>2103100</v>
      </c>
      <c r="T20" s="3">
        <v>27.97</v>
      </c>
    </row>
    <row r="21" spans="1:20" hidden="1" x14ac:dyDescent="0.3">
      <c r="A21" s="1">
        <v>44932</v>
      </c>
      <c r="B21" s="2" t="s">
        <v>84</v>
      </c>
      <c r="C21" s="2" t="s">
        <v>85</v>
      </c>
      <c r="D21" s="2" t="s">
        <v>57</v>
      </c>
      <c r="E21" s="2" t="s">
        <v>86</v>
      </c>
      <c r="F21" s="2" t="s">
        <v>24</v>
      </c>
      <c r="G21">
        <v>48</v>
      </c>
      <c r="H21">
        <v>39</v>
      </c>
      <c r="I21">
        <v>60</v>
      </c>
      <c r="J21" s="3">
        <v>1941700</v>
      </c>
      <c r="K21" s="3">
        <v>116502000</v>
      </c>
      <c r="L21" s="2" t="s">
        <v>33</v>
      </c>
      <c r="M21" s="2" t="s">
        <v>77</v>
      </c>
      <c r="N21">
        <v>2023</v>
      </c>
      <c r="O21" s="2" t="s">
        <v>27</v>
      </c>
      <c r="P21" s="2" t="s">
        <v>28</v>
      </c>
      <c r="Q21">
        <v>1</v>
      </c>
      <c r="R21" s="4">
        <v>44927</v>
      </c>
      <c r="S21" s="3">
        <v>1941700</v>
      </c>
      <c r="T21" s="3">
        <v>11.65</v>
      </c>
    </row>
    <row r="22" spans="1:20" hidden="1" x14ac:dyDescent="0.3">
      <c r="A22" s="1">
        <v>44932</v>
      </c>
      <c r="B22" s="2" t="s">
        <v>35</v>
      </c>
      <c r="C22" s="2" t="s">
        <v>87</v>
      </c>
      <c r="D22" s="2" t="s">
        <v>88</v>
      </c>
      <c r="E22" s="2" t="s">
        <v>89</v>
      </c>
      <c r="F22" s="2" t="s">
        <v>24</v>
      </c>
      <c r="G22">
        <v>82</v>
      </c>
      <c r="H22">
        <v>580</v>
      </c>
      <c r="I22">
        <v>58</v>
      </c>
      <c r="J22" s="3">
        <v>4935200</v>
      </c>
      <c r="K22" s="3">
        <v>286241600</v>
      </c>
      <c r="L22" s="2" t="s">
        <v>33</v>
      </c>
      <c r="M22" s="2" t="s">
        <v>77</v>
      </c>
      <c r="N22">
        <v>2023</v>
      </c>
      <c r="O22" s="2" t="s">
        <v>27</v>
      </c>
      <c r="P22" s="2" t="s">
        <v>28</v>
      </c>
      <c r="Q22">
        <v>1</v>
      </c>
      <c r="R22" s="4">
        <v>44927</v>
      </c>
      <c r="S22" s="3">
        <v>4935200</v>
      </c>
      <c r="T22" s="3">
        <v>28.62</v>
      </c>
    </row>
    <row r="23" spans="1:20" hidden="1" x14ac:dyDescent="0.3">
      <c r="A23" s="1">
        <v>44932</v>
      </c>
      <c r="B23" s="2" t="s">
        <v>90</v>
      </c>
      <c r="C23" s="2" t="s">
        <v>91</v>
      </c>
      <c r="D23" s="2" t="s">
        <v>50</v>
      </c>
      <c r="E23" s="2" t="s">
        <v>51</v>
      </c>
      <c r="F23" s="2" t="s">
        <v>72</v>
      </c>
      <c r="G23">
        <v>77</v>
      </c>
      <c r="H23">
        <v>528</v>
      </c>
      <c r="I23">
        <v>40</v>
      </c>
      <c r="J23" s="3">
        <v>4773000</v>
      </c>
      <c r="K23" s="3">
        <v>190920000</v>
      </c>
      <c r="L23" s="2" t="s">
        <v>92</v>
      </c>
      <c r="M23" s="2" t="s">
        <v>34</v>
      </c>
      <c r="N23">
        <v>2023</v>
      </c>
      <c r="O23" s="2" t="s">
        <v>27</v>
      </c>
      <c r="P23" s="2" t="s">
        <v>28</v>
      </c>
      <c r="Q23">
        <v>1</v>
      </c>
      <c r="R23" s="4">
        <v>44927</v>
      </c>
      <c r="S23" s="3">
        <v>4773000</v>
      </c>
      <c r="T23" s="3">
        <v>19.09</v>
      </c>
    </row>
    <row r="24" spans="1:20" hidden="1" x14ac:dyDescent="0.3">
      <c r="A24" s="1">
        <v>44932</v>
      </c>
      <c r="B24" s="2" t="s">
        <v>84</v>
      </c>
      <c r="C24" s="2" t="s">
        <v>93</v>
      </c>
      <c r="D24" s="2" t="s">
        <v>70</v>
      </c>
      <c r="E24" s="2" t="s">
        <v>74</v>
      </c>
      <c r="F24" s="2" t="s">
        <v>24</v>
      </c>
      <c r="G24">
        <v>25</v>
      </c>
      <c r="H24">
        <v>32</v>
      </c>
      <c r="I24">
        <v>59</v>
      </c>
      <c r="J24" s="3">
        <v>1096600</v>
      </c>
      <c r="K24" s="3">
        <v>64699400</v>
      </c>
      <c r="L24" s="2" t="s">
        <v>33</v>
      </c>
      <c r="M24" s="2" t="s">
        <v>26</v>
      </c>
      <c r="N24">
        <v>2023</v>
      </c>
      <c r="O24" s="2" t="s">
        <v>27</v>
      </c>
      <c r="P24" s="2" t="s">
        <v>28</v>
      </c>
      <c r="Q24">
        <v>1</v>
      </c>
      <c r="R24" s="4">
        <v>44927</v>
      </c>
      <c r="S24" s="3">
        <v>1096600</v>
      </c>
      <c r="T24" s="3">
        <v>6.47</v>
      </c>
    </row>
    <row r="25" spans="1:20" hidden="1" x14ac:dyDescent="0.3">
      <c r="A25" s="1">
        <v>44933</v>
      </c>
      <c r="B25" s="2" t="s">
        <v>29</v>
      </c>
      <c r="C25" s="2" t="s">
        <v>30</v>
      </c>
      <c r="D25" s="2" t="s">
        <v>94</v>
      </c>
      <c r="E25" s="2" t="s">
        <v>95</v>
      </c>
      <c r="F25" s="2" t="s">
        <v>24</v>
      </c>
      <c r="G25">
        <v>40</v>
      </c>
      <c r="H25">
        <v>30</v>
      </c>
      <c r="I25">
        <v>120</v>
      </c>
      <c r="J25" s="3">
        <v>2643400</v>
      </c>
      <c r="K25" s="3">
        <v>317208000</v>
      </c>
      <c r="L25" s="2" t="s">
        <v>33</v>
      </c>
      <c r="M25" s="2" t="s">
        <v>26</v>
      </c>
      <c r="N25">
        <v>2023</v>
      </c>
      <c r="O25" s="2" t="s">
        <v>27</v>
      </c>
      <c r="P25" s="2" t="s">
        <v>28</v>
      </c>
      <c r="Q25">
        <v>1</v>
      </c>
      <c r="R25" s="4">
        <v>44927</v>
      </c>
      <c r="S25" s="3">
        <v>2643400</v>
      </c>
      <c r="T25" s="3">
        <v>31.72</v>
      </c>
    </row>
    <row r="26" spans="1:20" hidden="1" x14ac:dyDescent="0.3">
      <c r="A26" s="1">
        <v>44933</v>
      </c>
      <c r="B26" s="2" t="s">
        <v>29</v>
      </c>
      <c r="C26" s="2" t="s">
        <v>96</v>
      </c>
      <c r="D26" s="2" t="s">
        <v>37</v>
      </c>
      <c r="E26" s="2" t="s">
        <v>38</v>
      </c>
      <c r="F26" s="2" t="s">
        <v>24</v>
      </c>
      <c r="G26">
        <v>66</v>
      </c>
      <c r="H26">
        <v>423</v>
      </c>
      <c r="I26">
        <v>49</v>
      </c>
      <c r="J26" s="3">
        <v>8828600</v>
      </c>
      <c r="K26" s="3">
        <v>432601400</v>
      </c>
      <c r="L26" s="2" t="s">
        <v>33</v>
      </c>
      <c r="M26" s="2" t="s">
        <v>26</v>
      </c>
      <c r="N26">
        <v>2023</v>
      </c>
      <c r="O26" s="2" t="s">
        <v>27</v>
      </c>
      <c r="P26" s="2" t="s">
        <v>28</v>
      </c>
      <c r="Q26">
        <v>1</v>
      </c>
      <c r="R26" s="4">
        <v>44927</v>
      </c>
      <c r="S26" s="3">
        <v>8828600</v>
      </c>
      <c r="T26" s="3">
        <v>43.26</v>
      </c>
    </row>
    <row r="27" spans="1:20" hidden="1" x14ac:dyDescent="0.3">
      <c r="A27" s="1">
        <v>44933</v>
      </c>
      <c r="B27" s="2" t="s">
        <v>20</v>
      </c>
      <c r="C27" s="2" t="s">
        <v>21</v>
      </c>
      <c r="D27" s="2" t="s">
        <v>82</v>
      </c>
      <c r="E27" s="2" t="s">
        <v>83</v>
      </c>
      <c r="F27" s="2" t="s">
        <v>39</v>
      </c>
      <c r="G27">
        <v>40</v>
      </c>
      <c r="H27">
        <v>39</v>
      </c>
      <c r="I27">
        <v>79</v>
      </c>
      <c r="J27" s="3">
        <v>1867100</v>
      </c>
      <c r="K27" s="3">
        <v>147500900</v>
      </c>
      <c r="L27" s="2" t="s">
        <v>33</v>
      </c>
      <c r="M27" s="2" t="s">
        <v>26</v>
      </c>
      <c r="N27">
        <v>2023</v>
      </c>
      <c r="O27" s="2" t="s">
        <v>27</v>
      </c>
      <c r="P27" s="2" t="s">
        <v>28</v>
      </c>
      <c r="Q27">
        <v>1</v>
      </c>
      <c r="R27" s="4">
        <v>44927</v>
      </c>
      <c r="S27" s="3">
        <v>1867100</v>
      </c>
      <c r="T27" s="3">
        <v>14.75</v>
      </c>
    </row>
    <row r="28" spans="1:20" hidden="1" x14ac:dyDescent="0.3">
      <c r="A28" s="1">
        <v>44934</v>
      </c>
      <c r="B28" s="2" t="s">
        <v>48</v>
      </c>
      <c r="C28" s="2" t="s">
        <v>69</v>
      </c>
      <c r="D28" s="2" t="s">
        <v>63</v>
      </c>
      <c r="E28" s="2" t="s">
        <v>64</v>
      </c>
      <c r="F28" s="2" t="s">
        <v>24</v>
      </c>
      <c r="G28">
        <v>3</v>
      </c>
      <c r="H28">
        <v>127</v>
      </c>
      <c r="I28">
        <v>64</v>
      </c>
      <c r="J28" s="3">
        <v>149500</v>
      </c>
      <c r="K28" s="3">
        <v>9568000</v>
      </c>
      <c r="L28" s="2" t="s">
        <v>33</v>
      </c>
      <c r="M28" s="2" t="s">
        <v>97</v>
      </c>
      <c r="N28">
        <v>2023</v>
      </c>
      <c r="O28" s="2" t="s">
        <v>27</v>
      </c>
      <c r="P28" s="2" t="s">
        <v>28</v>
      </c>
      <c r="Q28">
        <v>1</v>
      </c>
      <c r="R28" s="4">
        <v>44927</v>
      </c>
      <c r="S28" s="3">
        <v>149500</v>
      </c>
      <c r="T28" s="3">
        <v>0.96</v>
      </c>
    </row>
    <row r="29" spans="1:20" hidden="1" x14ac:dyDescent="0.3">
      <c r="A29" s="1">
        <v>44934</v>
      </c>
      <c r="B29" s="2" t="s">
        <v>48</v>
      </c>
      <c r="C29" s="2" t="s">
        <v>98</v>
      </c>
      <c r="D29" s="2" t="s">
        <v>57</v>
      </c>
      <c r="E29" s="2" t="s">
        <v>86</v>
      </c>
      <c r="F29" s="2" t="s">
        <v>24</v>
      </c>
      <c r="G29">
        <v>48</v>
      </c>
      <c r="H29">
        <v>39</v>
      </c>
      <c r="I29">
        <v>34</v>
      </c>
      <c r="J29" s="3">
        <v>2444000</v>
      </c>
      <c r="K29" s="3">
        <v>83096000</v>
      </c>
      <c r="L29" s="2" t="s">
        <v>25</v>
      </c>
      <c r="M29" s="2" t="s">
        <v>26</v>
      </c>
      <c r="N29">
        <v>2023</v>
      </c>
      <c r="O29" s="2" t="s">
        <v>27</v>
      </c>
      <c r="P29" s="2" t="s">
        <v>28</v>
      </c>
      <c r="Q29">
        <v>1</v>
      </c>
      <c r="R29" s="4">
        <v>44927</v>
      </c>
      <c r="S29" s="3">
        <v>2444000</v>
      </c>
      <c r="T29" s="3">
        <v>8.31</v>
      </c>
    </row>
    <row r="30" spans="1:20" hidden="1" x14ac:dyDescent="0.3">
      <c r="A30" s="1">
        <v>44934</v>
      </c>
      <c r="B30" s="2" t="s">
        <v>90</v>
      </c>
      <c r="C30" s="2" t="s">
        <v>99</v>
      </c>
      <c r="D30" s="2" t="s">
        <v>100</v>
      </c>
      <c r="E30" s="2" t="s">
        <v>101</v>
      </c>
      <c r="F30" s="2" t="s">
        <v>24</v>
      </c>
      <c r="G30">
        <v>3</v>
      </c>
      <c r="H30">
        <v>150</v>
      </c>
      <c r="I30">
        <v>100</v>
      </c>
      <c r="J30" s="3">
        <v>142500</v>
      </c>
      <c r="K30" s="3">
        <v>14250000</v>
      </c>
      <c r="L30" s="2" t="s">
        <v>25</v>
      </c>
      <c r="M30" s="2" t="s">
        <v>77</v>
      </c>
      <c r="N30">
        <v>2023</v>
      </c>
      <c r="O30" s="2" t="s">
        <v>27</v>
      </c>
      <c r="P30" s="2" t="s">
        <v>28</v>
      </c>
      <c r="Q30">
        <v>1</v>
      </c>
      <c r="R30" s="4">
        <v>44927</v>
      </c>
      <c r="S30" s="3">
        <v>142500</v>
      </c>
      <c r="T30" s="3">
        <v>1.42</v>
      </c>
    </row>
    <row r="31" spans="1:20" hidden="1" x14ac:dyDescent="0.3">
      <c r="A31" s="1">
        <v>44934</v>
      </c>
      <c r="B31" s="2" t="s">
        <v>46</v>
      </c>
      <c r="C31" s="2" t="s">
        <v>56</v>
      </c>
      <c r="D31" s="2" t="s">
        <v>22</v>
      </c>
      <c r="E31" s="2" t="s">
        <v>23</v>
      </c>
      <c r="F31" s="2" t="s">
        <v>24</v>
      </c>
      <c r="G31">
        <v>82</v>
      </c>
      <c r="H31">
        <v>520</v>
      </c>
      <c r="I31">
        <v>5</v>
      </c>
      <c r="J31" s="3">
        <v>7723000</v>
      </c>
      <c r="K31" s="3">
        <v>38615000</v>
      </c>
      <c r="L31" s="2" t="s">
        <v>33</v>
      </c>
      <c r="M31" s="2" t="s">
        <v>77</v>
      </c>
      <c r="N31">
        <v>2023</v>
      </c>
      <c r="O31" s="2" t="s">
        <v>27</v>
      </c>
      <c r="P31" s="2" t="s">
        <v>28</v>
      </c>
      <c r="Q31">
        <v>1</v>
      </c>
      <c r="R31" s="4">
        <v>44927</v>
      </c>
      <c r="S31" s="3">
        <v>7723000</v>
      </c>
      <c r="T31" s="3">
        <v>3.86</v>
      </c>
    </row>
    <row r="32" spans="1:20" hidden="1" x14ac:dyDescent="0.3">
      <c r="A32" s="1">
        <v>44934</v>
      </c>
      <c r="B32" s="2" t="s">
        <v>84</v>
      </c>
      <c r="C32" s="2" t="s">
        <v>85</v>
      </c>
      <c r="D32" s="2" t="s">
        <v>54</v>
      </c>
      <c r="E32" s="2" t="s">
        <v>55</v>
      </c>
      <c r="F32" s="2" t="s">
        <v>24</v>
      </c>
      <c r="G32">
        <v>30</v>
      </c>
      <c r="H32">
        <v>320</v>
      </c>
      <c r="I32">
        <v>56</v>
      </c>
      <c r="J32" s="3">
        <v>1241100</v>
      </c>
      <c r="K32" s="3">
        <v>69501600</v>
      </c>
      <c r="L32" s="2" t="s">
        <v>33</v>
      </c>
      <c r="M32" s="2" t="s">
        <v>77</v>
      </c>
      <c r="N32">
        <v>2023</v>
      </c>
      <c r="O32" s="2" t="s">
        <v>27</v>
      </c>
      <c r="P32" s="2" t="s">
        <v>28</v>
      </c>
      <c r="Q32">
        <v>1</v>
      </c>
      <c r="R32" s="4">
        <v>44927</v>
      </c>
      <c r="S32" s="3">
        <v>1241100</v>
      </c>
      <c r="T32" s="3">
        <v>6.95</v>
      </c>
    </row>
    <row r="33" spans="1:20" hidden="1" x14ac:dyDescent="0.3">
      <c r="A33" s="1">
        <v>44935</v>
      </c>
      <c r="B33" s="2" t="s">
        <v>59</v>
      </c>
      <c r="C33" s="2" t="s">
        <v>81</v>
      </c>
      <c r="D33" s="2" t="s">
        <v>102</v>
      </c>
      <c r="E33" s="2" t="s">
        <v>103</v>
      </c>
      <c r="F33" s="2" t="s">
        <v>24</v>
      </c>
      <c r="G33">
        <v>5</v>
      </c>
      <c r="H33">
        <v>150</v>
      </c>
      <c r="I33">
        <v>16</v>
      </c>
      <c r="J33" s="3">
        <v>183300</v>
      </c>
      <c r="K33" s="3">
        <v>2932800</v>
      </c>
      <c r="L33" s="2" t="s">
        <v>33</v>
      </c>
      <c r="M33" s="2" t="s">
        <v>26</v>
      </c>
      <c r="N33">
        <v>2023</v>
      </c>
      <c r="O33" s="2" t="s">
        <v>27</v>
      </c>
      <c r="P33" s="2" t="s">
        <v>28</v>
      </c>
      <c r="Q33">
        <v>1</v>
      </c>
      <c r="R33" s="4">
        <v>44927</v>
      </c>
      <c r="S33" s="3">
        <v>183300</v>
      </c>
      <c r="T33" s="3">
        <v>0.28999999999999998</v>
      </c>
    </row>
    <row r="34" spans="1:20" hidden="1" x14ac:dyDescent="0.3">
      <c r="A34" s="1">
        <v>44936</v>
      </c>
      <c r="B34" s="2" t="s">
        <v>29</v>
      </c>
      <c r="C34" s="2" t="s">
        <v>104</v>
      </c>
      <c r="D34" s="2" t="s">
        <v>70</v>
      </c>
      <c r="E34" s="2" t="s">
        <v>74</v>
      </c>
      <c r="F34" s="2" t="s">
        <v>24</v>
      </c>
      <c r="G34">
        <v>25</v>
      </c>
      <c r="H34">
        <v>32</v>
      </c>
      <c r="I34">
        <v>153</v>
      </c>
      <c r="J34" s="3">
        <v>1055900</v>
      </c>
      <c r="K34" s="3">
        <v>161552700</v>
      </c>
      <c r="L34" s="2" t="s">
        <v>33</v>
      </c>
      <c r="M34" s="2" t="s">
        <v>26</v>
      </c>
      <c r="N34">
        <v>2023</v>
      </c>
      <c r="O34" s="2" t="s">
        <v>27</v>
      </c>
      <c r="P34" s="2" t="s">
        <v>28</v>
      </c>
      <c r="Q34">
        <v>1</v>
      </c>
      <c r="R34" s="4">
        <v>44927</v>
      </c>
      <c r="S34" s="3">
        <v>1055900</v>
      </c>
      <c r="T34" s="3">
        <v>16.16</v>
      </c>
    </row>
    <row r="35" spans="1:20" hidden="1" x14ac:dyDescent="0.3">
      <c r="A35" s="1">
        <v>44936</v>
      </c>
      <c r="B35" s="2" t="s">
        <v>40</v>
      </c>
      <c r="C35" s="2" t="s">
        <v>105</v>
      </c>
      <c r="D35" s="2" t="s">
        <v>63</v>
      </c>
      <c r="E35" s="2" t="s">
        <v>64</v>
      </c>
      <c r="F35" s="2" t="s">
        <v>24</v>
      </c>
      <c r="G35">
        <v>3</v>
      </c>
      <c r="H35">
        <v>127</v>
      </c>
      <c r="I35">
        <v>102</v>
      </c>
      <c r="J35" s="3">
        <v>156500</v>
      </c>
      <c r="K35" s="3">
        <v>15963000</v>
      </c>
      <c r="L35" s="2" t="s">
        <v>33</v>
      </c>
      <c r="M35" s="2" t="s">
        <v>34</v>
      </c>
      <c r="N35">
        <v>2023</v>
      </c>
      <c r="O35" s="2" t="s">
        <v>27</v>
      </c>
      <c r="P35" s="2" t="s">
        <v>28</v>
      </c>
      <c r="Q35">
        <v>1</v>
      </c>
      <c r="R35" s="4">
        <v>44927</v>
      </c>
      <c r="S35" s="3">
        <v>156500</v>
      </c>
      <c r="T35" s="3">
        <v>1.6</v>
      </c>
    </row>
    <row r="36" spans="1:20" hidden="1" x14ac:dyDescent="0.3">
      <c r="A36" s="1">
        <v>44936</v>
      </c>
      <c r="B36" s="2" t="s">
        <v>29</v>
      </c>
      <c r="C36" s="2" t="s">
        <v>96</v>
      </c>
      <c r="D36" s="2" t="s">
        <v>79</v>
      </c>
      <c r="E36" s="2" t="s">
        <v>80</v>
      </c>
      <c r="F36" s="2" t="s">
        <v>24</v>
      </c>
      <c r="G36">
        <v>69</v>
      </c>
      <c r="H36">
        <v>418</v>
      </c>
      <c r="I36">
        <v>74</v>
      </c>
      <c r="J36" s="3">
        <v>6311800</v>
      </c>
      <c r="K36" s="3">
        <v>467073200</v>
      </c>
      <c r="L36" s="2" t="s">
        <v>25</v>
      </c>
      <c r="M36" s="2" t="s">
        <v>77</v>
      </c>
      <c r="N36">
        <v>2023</v>
      </c>
      <c r="O36" s="2" t="s">
        <v>27</v>
      </c>
      <c r="P36" s="2" t="s">
        <v>28</v>
      </c>
      <c r="Q36">
        <v>1</v>
      </c>
      <c r="R36" s="4">
        <v>44927</v>
      </c>
      <c r="S36" s="3">
        <v>6311800</v>
      </c>
      <c r="T36" s="3">
        <v>46.71</v>
      </c>
    </row>
    <row r="37" spans="1:20" hidden="1" x14ac:dyDescent="0.3">
      <c r="A37" s="1">
        <v>44937</v>
      </c>
      <c r="B37" s="2" t="s">
        <v>106</v>
      </c>
      <c r="C37" s="2" t="s">
        <v>107</v>
      </c>
      <c r="D37" s="2" t="s">
        <v>22</v>
      </c>
      <c r="E37" s="2" t="s">
        <v>23</v>
      </c>
      <c r="F37" s="2" t="s">
        <v>24</v>
      </c>
      <c r="G37">
        <v>82</v>
      </c>
      <c r="H37">
        <v>520</v>
      </c>
      <c r="I37">
        <v>62</v>
      </c>
      <c r="J37" s="3">
        <v>6349600</v>
      </c>
      <c r="K37" s="3">
        <v>393675200</v>
      </c>
      <c r="L37" s="2" t="s">
        <v>33</v>
      </c>
      <c r="M37" s="2" t="s">
        <v>26</v>
      </c>
      <c r="N37">
        <v>2023</v>
      </c>
      <c r="O37" s="2" t="s">
        <v>27</v>
      </c>
      <c r="P37" s="2" t="s">
        <v>28</v>
      </c>
      <c r="Q37">
        <v>1</v>
      </c>
      <c r="R37" s="4">
        <v>44927</v>
      </c>
      <c r="S37" s="3">
        <v>6349600</v>
      </c>
      <c r="T37" s="3">
        <v>39.369999999999997</v>
      </c>
    </row>
    <row r="38" spans="1:20" hidden="1" x14ac:dyDescent="0.3">
      <c r="A38" s="1">
        <v>44938</v>
      </c>
      <c r="B38" s="2" t="s">
        <v>108</v>
      </c>
      <c r="C38" s="2" t="s">
        <v>109</v>
      </c>
      <c r="D38" s="2" t="s">
        <v>63</v>
      </c>
      <c r="E38" s="2" t="s">
        <v>64</v>
      </c>
      <c r="F38" s="2" t="s">
        <v>24</v>
      </c>
      <c r="G38">
        <v>3</v>
      </c>
      <c r="H38">
        <v>127</v>
      </c>
      <c r="I38">
        <v>130</v>
      </c>
      <c r="J38" s="3">
        <v>177500</v>
      </c>
      <c r="K38" s="3">
        <v>23075000</v>
      </c>
      <c r="L38" s="2" t="s">
        <v>33</v>
      </c>
      <c r="M38" s="2" t="s">
        <v>77</v>
      </c>
      <c r="N38">
        <v>2023</v>
      </c>
      <c r="O38" s="2" t="s">
        <v>27</v>
      </c>
      <c r="P38" s="2" t="s">
        <v>28</v>
      </c>
      <c r="Q38">
        <v>1</v>
      </c>
      <c r="R38" s="4">
        <v>44927</v>
      </c>
      <c r="S38" s="3">
        <v>177500</v>
      </c>
      <c r="T38" s="3">
        <v>2.31</v>
      </c>
    </row>
    <row r="39" spans="1:20" hidden="1" x14ac:dyDescent="0.3">
      <c r="A39" s="1">
        <v>44938</v>
      </c>
      <c r="B39" s="2" t="s">
        <v>46</v>
      </c>
      <c r="C39" s="2" t="s">
        <v>110</v>
      </c>
      <c r="D39" s="2" t="s">
        <v>42</v>
      </c>
      <c r="E39" s="2" t="s">
        <v>43</v>
      </c>
      <c r="F39" s="2" t="s">
        <v>24</v>
      </c>
      <c r="G39">
        <v>3</v>
      </c>
      <c r="H39">
        <v>135</v>
      </c>
      <c r="I39">
        <v>131</v>
      </c>
      <c r="J39" s="3">
        <v>119200</v>
      </c>
      <c r="K39" s="3">
        <v>15615200</v>
      </c>
      <c r="L39" s="2" t="s">
        <v>33</v>
      </c>
      <c r="M39" s="2" t="s">
        <v>26</v>
      </c>
      <c r="N39">
        <v>2023</v>
      </c>
      <c r="O39" s="2" t="s">
        <v>27</v>
      </c>
      <c r="P39" s="2" t="s">
        <v>28</v>
      </c>
      <c r="Q39">
        <v>1</v>
      </c>
      <c r="R39" s="4">
        <v>44927</v>
      </c>
      <c r="S39" s="3">
        <v>119200</v>
      </c>
      <c r="T39" s="3">
        <v>1.56</v>
      </c>
    </row>
    <row r="40" spans="1:20" hidden="1" x14ac:dyDescent="0.3">
      <c r="A40" s="1">
        <v>44939</v>
      </c>
      <c r="B40" s="2" t="s">
        <v>46</v>
      </c>
      <c r="C40" s="2" t="s">
        <v>110</v>
      </c>
      <c r="D40" s="2" t="s">
        <v>22</v>
      </c>
      <c r="E40" s="2" t="s">
        <v>23</v>
      </c>
      <c r="F40" s="2" t="s">
        <v>24</v>
      </c>
      <c r="G40">
        <v>82</v>
      </c>
      <c r="H40">
        <v>520</v>
      </c>
      <c r="I40">
        <v>37</v>
      </c>
      <c r="J40" s="3">
        <v>6114400</v>
      </c>
      <c r="K40" s="3">
        <v>226232800</v>
      </c>
      <c r="L40" s="2" t="s">
        <v>33</v>
      </c>
      <c r="M40" s="2" t="s">
        <v>26</v>
      </c>
      <c r="N40">
        <v>2023</v>
      </c>
      <c r="O40" s="2" t="s">
        <v>27</v>
      </c>
      <c r="P40" s="2" t="s">
        <v>28</v>
      </c>
      <c r="Q40">
        <v>1</v>
      </c>
      <c r="R40" s="4">
        <v>44927</v>
      </c>
      <c r="S40" s="3">
        <v>6114400</v>
      </c>
      <c r="T40" s="3">
        <v>22.62</v>
      </c>
    </row>
    <row r="41" spans="1:20" hidden="1" x14ac:dyDescent="0.3">
      <c r="A41" s="1">
        <v>44939</v>
      </c>
      <c r="B41" s="2" t="s">
        <v>90</v>
      </c>
      <c r="C41" s="2" t="s">
        <v>99</v>
      </c>
      <c r="D41" s="2" t="s">
        <v>54</v>
      </c>
      <c r="E41" s="2" t="s">
        <v>55</v>
      </c>
      <c r="F41" s="2" t="s">
        <v>24</v>
      </c>
      <c r="G41">
        <v>30</v>
      </c>
      <c r="H41">
        <v>320</v>
      </c>
      <c r="I41">
        <v>23</v>
      </c>
      <c r="J41" s="3">
        <v>1366200</v>
      </c>
      <c r="K41" s="3">
        <v>31422600</v>
      </c>
      <c r="L41" s="2" t="s">
        <v>33</v>
      </c>
      <c r="M41" s="2" t="s">
        <v>26</v>
      </c>
      <c r="N41">
        <v>2023</v>
      </c>
      <c r="O41" s="2" t="s">
        <v>27</v>
      </c>
      <c r="P41" s="2" t="s">
        <v>28</v>
      </c>
      <c r="Q41">
        <v>1</v>
      </c>
      <c r="R41" s="4">
        <v>44927</v>
      </c>
      <c r="S41" s="3">
        <v>1366200</v>
      </c>
      <c r="T41" s="3">
        <v>3.14</v>
      </c>
    </row>
    <row r="42" spans="1:20" hidden="1" x14ac:dyDescent="0.3">
      <c r="A42" s="1">
        <v>44939</v>
      </c>
      <c r="B42" s="2" t="s">
        <v>29</v>
      </c>
      <c r="C42" s="2" t="s">
        <v>104</v>
      </c>
      <c r="D42" s="2" t="s">
        <v>88</v>
      </c>
      <c r="E42" s="2" t="s">
        <v>111</v>
      </c>
      <c r="F42" s="2" t="s">
        <v>24</v>
      </c>
      <c r="G42">
        <v>60</v>
      </c>
      <c r="H42">
        <v>480</v>
      </c>
      <c r="I42">
        <v>38</v>
      </c>
      <c r="J42" s="3">
        <v>3077000</v>
      </c>
      <c r="K42" s="3">
        <v>116926000</v>
      </c>
      <c r="L42" s="2" t="s">
        <v>33</v>
      </c>
      <c r="M42" s="2" t="s">
        <v>77</v>
      </c>
      <c r="N42">
        <v>2023</v>
      </c>
      <c r="O42" s="2" t="s">
        <v>27</v>
      </c>
      <c r="P42" s="2" t="s">
        <v>28</v>
      </c>
      <c r="Q42">
        <v>1</v>
      </c>
      <c r="R42" s="4">
        <v>44927</v>
      </c>
      <c r="S42" s="3">
        <v>3077000</v>
      </c>
      <c r="T42" s="3">
        <v>11.69</v>
      </c>
    </row>
    <row r="43" spans="1:20" hidden="1" x14ac:dyDescent="0.3">
      <c r="A43" s="1">
        <v>44939</v>
      </c>
      <c r="B43" s="2" t="s">
        <v>108</v>
      </c>
      <c r="C43" s="2" t="s">
        <v>109</v>
      </c>
      <c r="D43" s="2" t="s">
        <v>102</v>
      </c>
      <c r="E43" s="2" t="s">
        <v>103</v>
      </c>
      <c r="F43" s="2" t="s">
        <v>24</v>
      </c>
      <c r="G43">
        <v>5</v>
      </c>
      <c r="H43">
        <v>150</v>
      </c>
      <c r="I43">
        <v>109</v>
      </c>
      <c r="J43" s="3">
        <v>149200</v>
      </c>
      <c r="K43" s="3">
        <v>16262800</v>
      </c>
      <c r="L43" s="2" t="s">
        <v>33</v>
      </c>
      <c r="M43" s="2" t="s">
        <v>26</v>
      </c>
      <c r="N43">
        <v>2023</v>
      </c>
      <c r="O43" s="2" t="s">
        <v>27</v>
      </c>
      <c r="P43" s="2" t="s">
        <v>28</v>
      </c>
      <c r="Q43">
        <v>1</v>
      </c>
      <c r="R43" s="4">
        <v>44927</v>
      </c>
      <c r="S43" s="3">
        <v>149200</v>
      </c>
      <c r="T43" s="3">
        <v>1.63</v>
      </c>
    </row>
    <row r="44" spans="1:20" hidden="1" x14ac:dyDescent="0.3">
      <c r="A44" s="1">
        <v>44941</v>
      </c>
      <c r="B44" s="2" t="s">
        <v>20</v>
      </c>
      <c r="C44" s="2" t="s">
        <v>112</v>
      </c>
      <c r="D44" s="2" t="s">
        <v>57</v>
      </c>
      <c r="E44" s="2" t="s">
        <v>86</v>
      </c>
      <c r="F44" s="2" t="s">
        <v>24</v>
      </c>
      <c r="G44">
        <v>48</v>
      </c>
      <c r="H44">
        <v>39</v>
      </c>
      <c r="I44">
        <v>107</v>
      </c>
      <c r="J44" s="3">
        <v>2267400</v>
      </c>
      <c r="K44" s="3">
        <v>242611800</v>
      </c>
      <c r="L44" s="2" t="s">
        <v>33</v>
      </c>
      <c r="M44" s="2" t="s">
        <v>34</v>
      </c>
      <c r="N44">
        <v>2023</v>
      </c>
      <c r="O44" s="2" t="s">
        <v>27</v>
      </c>
      <c r="P44" s="2" t="s">
        <v>28</v>
      </c>
      <c r="Q44">
        <v>1</v>
      </c>
      <c r="R44" s="4">
        <v>44927</v>
      </c>
      <c r="S44" s="3">
        <v>2267400</v>
      </c>
      <c r="T44" s="3">
        <v>24.26</v>
      </c>
    </row>
    <row r="45" spans="1:20" hidden="1" x14ac:dyDescent="0.3">
      <c r="A45" s="1">
        <v>44941</v>
      </c>
      <c r="B45" s="2" t="s">
        <v>84</v>
      </c>
      <c r="C45" s="2" t="s">
        <v>113</v>
      </c>
      <c r="D45" s="2" t="s">
        <v>63</v>
      </c>
      <c r="E45" s="2" t="s">
        <v>64</v>
      </c>
      <c r="F45" s="2" t="s">
        <v>24</v>
      </c>
      <c r="G45">
        <v>3</v>
      </c>
      <c r="H45">
        <v>127</v>
      </c>
      <c r="I45">
        <v>27</v>
      </c>
      <c r="J45" s="3">
        <v>152600</v>
      </c>
      <c r="K45" s="3">
        <v>4120200</v>
      </c>
      <c r="L45" s="2" t="s">
        <v>25</v>
      </c>
      <c r="M45" s="2" t="s">
        <v>34</v>
      </c>
      <c r="N45">
        <v>2023</v>
      </c>
      <c r="O45" s="2" t="s">
        <v>27</v>
      </c>
      <c r="P45" s="2" t="s">
        <v>28</v>
      </c>
      <c r="Q45">
        <v>1</v>
      </c>
      <c r="R45" s="4">
        <v>44927</v>
      </c>
      <c r="S45" s="3">
        <v>152600</v>
      </c>
      <c r="T45" s="3">
        <v>0.41</v>
      </c>
    </row>
    <row r="46" spans="1:20" hidden="1" x14ac:dyDescent="0.3">
      <c r="A46" s="1">
        <v>44942</v>
      </c>
      <c r="B46" s="2" t="s">
        <v>40</v>
      </c>
      <c r="C46" s="2" t="s">
        <v>41</v>
      </c>
      <c r="D46" s="2" t="s">
        <v>100</v>
      </c>
      <c r="E46" s="2" t="s">
        <v>101</v>
      </c>
      <c r="F46" s="2" t="s">
        <v>24</v>
      </c>
      <c r="G46">
        <v>3</v>
      </c>
      <c r="H46">
        <v>150</v>
      </c>
      <c r="I46">
        <v>155</v>
      </c>
      <c r="J46" s="3">
        <v>177200</v>
      </c>
      <c r="K46" s="3">
        <v>27466000</v>
      </c>
      <c r="L46" s="2" t="s">
        <v>25</v>
      </c>
      <c r="M46" s="2" t="s">
        <v>77</v>
      </c>
      <c r="N46">
        <v>2023</v>
      </c>
      <c r="O46" s="2" t="s">
        <v>27</v>
      </c>
      <c r="P46" s="2" t="s">
        <v>28</v>
      </c>
      <c r="Q46">
        <v>1</v>
      </c>
      <c r="R46" s="4">
        <v>44927</v>
      </c>
      <c r="S46" s="3">
        <v>177200</v>
      </c>
      <c r="T46" s="3">
        <v>2.75</v>
      </c>
    </row>
    <row r="47" spans="1:20" hidden="1" x14ac:dyDescent="0.3">
      <c r="A47" s="1">
        <v>44942</v>
      </c>
      <c r="B47" s="2" t="s">
        <v>90</v>
      </c>
      <c r="C47" s="2" t="s">
        <v>114</v>
      </c>
      <c r="D47" s="2" t="s">
        <v>94</v>
      </c>
      <c r="E47" s="2" t="s">
        <v>115</v>
      </c>
      <c r="F47" s="2" t="s">
        <v>24</v>
      </c>
      <c r="G47">
        <v>24</v>
      </c>
      <c r="H47">
        <v>24</v>
      </c>
      <c r="I47">
        <v>108</v>
      </c>
      <c r="J47" s="3">
        <v>1611500</v>
      </c>
      <c r="K47" s="3">
        <v>174042000</v>
      </c>
      <c r="L47" s="2" t="s">
        <v>92</v>
      </c>
      <c r="M47" s="2" t="s">
        <v>34</v>
      </c>
      <c r="N47">
        <v>2023</v>
      </c>
      <c r="O47" s="2" t="s">
        <v>27</v>
      </c>
      <c r="P47" s="2" t="s">
        <v>28</v>
      </c>
      <c r="Q47">
        <v>1</v>
      </c>
      <c r="R47" s="4">
        <v>44927</v>
      </c>
      <c r="S47" s="3">
        <v>1611500</v>
      </c>
      <c r="T47" s="3">
        <v>17.399999999999999</v>
      </c>
    </row>
    <row r="48" spans="1:20" hidden="1" x14ac:dyDescent="0.3">
      <c r="A48" s="1">
        <v>44942</v>
      </c>
      <c r="B48" s="2" t="s">
        <v>52</v>
      </c>
      <c r="C48" s="2" t="s">
        <v>116</v>
      </c>
      <c r="D48" s="2" t="s">
        <v>100</v>
      </c>
      <c r="E48" s="2" t="s">
        <v>101</v>
      </c>
      <c r="F48" s="2" t="s">
        <v>24</v>
      </c>
      <c r="G48">
        <v>3</v>
      </c>
      <c r="H48">
        <v>150</v>
      </c>
      <c r="I48">
        <v>57</v>
      </c>
      <c r="J48" s="3">
        <v>159700</v>
      </c>
      <c r="K48" s="3">
        <v>9102900</v>
      </c>
      <c r="L48" s="2" t="s">
        <v>25</v>
      </c>
      <c r="M48" s="2" t="s">
        <v>77</v>
      </c>
      <c r="N48">
        <v>2023</v>
      </c>
      <c r="O48" s="2" t="s">
        <v>27</v>
      </c>
      <c r="P48" s="2" t="s">
        <v>28</v>
      </c>
      <c r="Q48">
        <v>1</v>
      </c>
      <c r="R48" s="4">
        <v>44927</v>
      </c>
      <c r="S48" s="3">
        <v>159700</v>
      </c>
      <c r="T48" s="3">
        <v>0.91</v>
      </c>
    </row>
    <row r="49" spans="1:20" hidden="1" x14ac:dyDescent="0.3">
      <c r="A49" s="1">
        <v>44943</v>
      </c>
      <c r="B49" s="2" t="s">
        <v>40</v>
      </c>
      <c r="C49" s="2" t="s">
        <v>41</v>
      </c>
      <c r="D49" s="2" t="s">
        <v>70</v>
      </c>
      <c r="E49" s="2" t="s">
        <v>71</v>
      </c>
      <c r="F49" s="2" t="s">
        <v>24</v>
      </c>
      <c r="G49">
        <v>50</v>
      </c>
      <c r="H49">
        <v>46</v>
      </c>
      <c r="I49">
        <v>28</v>
      </c>
      <c r="J49" s="3">
        <v>2550700</v>
      </c>
      <c r="K49" s="3">
        <v>71419600</v>
      </c>
      <c r="L49" s="2" t="s">
        <v>25</v>
      </c>
      <c r="M49" s="2" t="s">
        <v>97</v>
      </c>
      <c r="N49">
        <v>2023</v>
      </c>
      <c r="O49" s="2" t="s">
        <v>27</v>
      </c>
      <c r="P49" s="2" t="s">
        <v>28</v>
      </c>
      <c r="Q49">
        <v>1</v>
      </c>
      <c r="R49" s="4">
        <v>44927</v>
      </c>
      <c r="S49" s="3">
        <v>2550700</v>
      </c>
      <c r="T49" s="3">
        <v>7.14</v>
      </c>
    </row>
    <row r="50" spans="1:20" hidden="1" x14ac:dyDescent="0.3">
      <c r="A50" s="1">
        <v>44943</v>
      </c>
      <c r="B50" s="2" t="s">
        <v>35</v>
      </c>
      <c r="C50" s="2" t="s">
        <v>87</v>
      </c>
      <c r="D50" s="2" t="s">
        <v>88</v>
      </c>
      <c r="E50" s="2" t="s">
        <v>111</v>
      </c>
      <c r="F50" s="2" t="s">
        <v>72</v>
      </c>
      <c r="G50">
        <v>60</v>
      </c>
      <c r="H50">
        <v>480</v>
      </c>
      <c r="I50">
        <v>18</v>
      </c>
      <c r="J50" s="3">
        <v>3236300</v>
      </c>
      <c r="K50" s="3">
        <v>58253400</v>
      </c>
      <c r="L50" s="2" t="s">
        <v>33</v>
      </c>
      <c r="M50" s="2" t="s">
        <v>26</v>
      </c>
      <c r="N50">
        <v>2023</v>
      </c>
      <c r="O50" s="2" t="s">
        <v>27</v>
      </c>
      <c r="P50" s="2" t="s">
        <v>28</v>
      </c>
      <c r="Q50">
        <v>1</v>
      </c>
      <c r="R50" s="4">
        <v>44927</v>
      </c>
      <c r="S50" s="3">
        <v>3236300</v>
      </c>
      <c r="T50" s="3">
        <v>5.83</v>
      </c>
    </row>
    <row r="51" spans="1:20" hidden="1" x14ac:dyDescent="0.3">
      <c r="A51" s="1">
        <v>44943</v>
      </c>
      <c r="B51" s="2" t="s">
        <v>44</v>
      </c>
      <c r="C51" s="2" t="s">
        <v>117</v>
      </c>
      <c r="D51" s="2" t="s">
        <v>67</v>
      </c>
      <c r="E51" s="2" t="s">
        <v>68</v>
      </c>
      <c r="F51" s="2" t="s">
        <v>24</v>
      </c>
      <c r="G51">
        <v>66</v>
      </c>
      <c r="H51">
        <v>440</v>
      </c>
      <c r="I51">
        <v>64</v>
      </c>
      <c r="J51" s="3">
        <v>5533200</v>
      </c>
      <c r="K51" s="3">
        <v>354124800</v>
      </c>
      <c r="L51" s="2" t="s">
        <v>92</v>
      </c>
      <c r="M51" s="2" t="s">
        <v>77</v>
      </c>
      <c r="N51">
        <v>2023</v>
      </c>
      <c r="O51" s="2" t="s">
        <v>27</v>
      </c>
      <c r="P51" s="2" t="s">
        <v>28</v>
      </c>
      <c r="Q51">
        <v>1</v>
      </c>
      <c r="R51" s="4">
        <v>44927</v>
      </c>
      <c r="S51" s="3">
        <v>5533200</v>
      </c>
      <c r="T51" s="3">
        <v>35.409999999999997</v>
      </c>
    </row>
    <row r="52" spans="1:20" hidden="1" x14ac:dyDescent="0.3">
      <c r="A52" s="1">
        <v>44943</v>
      </c>
      <c r="B52" s="2" t="s">
        <v>46</v>
      </c>
      <c r="C52" s="2" t="s">
        <v>47</v>
      </c>
      <c r="D52" s="2" t="s">
        <v>57</v>
      </c>
      <c r="E52" s="2" t="s">
        <v>58</v>
      </c>
      <c r="F52" s="2" t="s">
        <v>24</v>
      </c>
      <c r="G52">
        <v>72</v>
      </c>
      <c r="H52">
        <v>488</v>
      </c>
      <c r="I52">
        <v>73</v>
      </c>
      <c r="J52" s="3">
        <v>4496300</v>
      </c>
      <c r="K52" s="3">
        <v>328229900</v>
      </c>
      <c r="L52" s="2" t="s">
        <v>33</v>
      </c>
      <c r="M52" s="2" t="s">
        <v>26</v>
      </c>
      <c r="N52">
        <v>2023</v>
      </c>
      <c r="O52" s="2" t="s">
        <v>27</v>
      </c>
      <c r="P52" s="2" t="s">
        <v>28</v>
      </c>
      <c r="Q52">
        <v>1</v>
      </c>
      <c r="R52" s="4">
        <v>44927</v>
      </c>
      <c r="S52" s="3">
        <v>4496300</v>
      </c>
      <c r="T52" s="3">
        <v>32.82</v>
      </c>
    </row>
    <row r="53" spans="1:20" hidden="1" x14ac:dyDescent="0.3">
      <c r="A53" s="1">
        <v>44944</v>
      </c>
      <c r="B53" s="2" t="s">
        <v>29</v>
      </c>
      <c r="C53" s="2" t="s">
        <v>65</v>
      </c>
      <c r="D53" s="2" t="s">
        <v>63</v>
      </c>
      <c r="E53" s="2" t="s">
        <v>64</v>
      </c>
      <c r="F53" s="2" t="s">
        <v>24</v>
      </c>
      <c r="G53">
        <v>3</v>
      </c>
      <c r="H53">
        <v>127</v>
      </c>
      <c r="I53">
        <v>48</v>
      </c>
      <c r="J53" s="3">
        <v>185600</v>
      </c>
      <c r="K53" s="3">
        <v>8908800</v>
      </c>
      <c r="L53" s="2" t="s">
        <v>33</v>
      </c>
      <c r="M53" s="2" t="s">
        <v>26</v>
      </c>
      <c r="N53">
        <v>2023</v>
      </c>
      <c r="O53" s="2" t="s">
        <v>27</v>
      </c>
      <c r="P53" s="2" t="s">
        <v>28</v>
      </c>
      <c r="Q53">
        <v>1</v>
      </c>
      <c r="R53" s="4">
        <v>44927</v>
      </c>
      <c r="S53" s="3">
        <v>185600</v>
      </c>
      <c r="T53" s="3">
        <v>0.89</v>
      </c>
    </row>
    <row r="54" spans="1:20" hidden="1" x14ac:dyDescent="0.3">
      <c r="A54" s="1">
        <v>44944</v>
      </c>
      <c r="B54" s="2" t="s">
        <v>29</v>
      </c>
      <c r="C54" s="2" t="s">
        <v>65</v>
      </c>
      <c r="D54" s="2" t="s">
        <v>67</v>
      </c>
      <c r="E54" s="2" t="s">
        <v>118</v>
      </c>
      <c r="F54" s="2" t="s">
        <v>39</v>
      </c>
      <c r="G54">
        <v>84</v>
      </c>
      <c r="H54">
        <v>590</v>
      </c>
      <c r="I54">
        <v>64</v>
      </c>
      <c r="J54" s="3">
        <v>7632300</v>
      </c>
      <c r="K54" s="3">
        <v>488467200</v>
      </c>
      <c r="L54" s="2" t="s">
        <v>25</v>
      </c>
      <c r="M54" s="2" t="s">
        <v>34</v>
      </c>
      <c r="N54">
        <v>2023</v>
      </c>
      <c r="O54" s="2" t="s">
        <v>27</v>
      </c>
      <c r="P54" s="2" t="s">
        <v>28</v>
      </c>
      <c r="Q54">
        <v>1</v>
      </c>
      <c r="R54" s="4">
        <v>44927</v>
      </c>
      <c r="S54" s="3">
        <v>7632300</v>
      </c>
      <c r="T54" s="3">
        <v>48.85</v>
      </c>
    </row>
    <row r="55" spans="1:20" hidden="1" x14ac:dyDescent="0.3">
      <c r="A55" s="1">
        <v>44944</v>
      </c>
      <c r="B55" s="2" t="s">
        <v>106</v>
      </c>
      <c r="C55" s="2" t="s">
        <v>119</v>
      </c>
      <c r="D55" s="2" t="s">
        <v>54</v>
      </c>
      <c r="E55" s="2" t="s">
        <v>55</v>
      </c>
      <c r="F55" s="2" t="s">
        <v>39</v>
      </c>
      <c r="G55">
        <v>30</v>
      </c>
      <c r="H55">
        <v>320</v>
      </c>
      <c r="I55">
        <v>27</v>
      </c>
      <c r="J55" s="3">
        <v>1227500</v>
      </c>
      <c r="K55" s="3">
        <v>33142500</v>
      </c>
      <c r="L55" s="2" t="s">
        <v>33</v>
      </c>
      <c r="M55" s="2" t="s">
        <v>34</v>
      </c>
      <c r="N55">
        <v>2023</v>
      </c>
      <c r="O55" s="2" t="s">
        <v>27</v>
      </c>
      <c r="P55" s="2" t="s">
        <v>28</v>
      </c>
      <c r="Q55">
        <v>1</v>
      </c>
      <c r="R55" s="4">
        <v>44927</v>
      </c>
      <c r="S55" s="3">
        <v>1227500</v>
      </c>
      <c r="T55" s="3">
        <v>3.31</v>
      </c>
    </row>
    <row r="56" spans="1:20" hidden="1" x14ac:dyDescent="0.3">
      <c r="A56" s="1">
        <v>44944</v>
      </c>
      <c r="B56" s="2" t="s">
        <v>106</v>
      </c>
      <c r="C56" s="2" t="s">
        <v>120</v>
      </c>
      <c r="D56" s="2" t="s">
        <v>57</v>
      </c>
      <c r="E56" s="2" t="s">
        <v>58</v>
      </c>
      <c r="F56" s="2" t="s">
        <v>24</v>
      </c>
      <c r="G56">
        <v>72</v>
      </c>
      <c r="H56">
        <v>488</v>
      </c>
      <c r="I56">
        <v>22</v>
      </c>
      <c r="J56" s="3">
        <v>5182200</v>
      </c>
      <c r="K56" s="3">
        <v>114008400</v>
      </c>
      <c r="L56" s="2" t="s">
        <v>33</v>
      </c>
      <c r="M56" s="2" t="s">
        <v>77</v>
      </c>
      <c r="N56">
        <v>2023</v>
      </c>
      <c r="O56" s="2" t="s">
        <v>27</v>
      </c>
      <c r="P56" s="2" t="s">
        <v>28</v>
      </c>
      <c r="Q56">
        <v>1</v>
      </c>
      <c r="R56" s="4">
        <v>44927</v>
      </c>
      <c r="S56" s="3">
        <v>5182200</v>
      </c>
      <c r="T56" s="3">
        <v>11.4</v>
      </c>
    </row>
    <row r="57" spans="1:20" hidden="1" x14ac:dyDescent="0.3">
      <c r="A57" s="1">
        <v>44944</v>
      </c>
      <c r="B57" s="2" t="s">
        <v>35</v>
      </c>
      <c r="C57" s="2" t="s">
        <v>121</v>
      </c>
      <c r="D57" s="2" t="s">
        <v>100</v>
      </c>
      <c r="E57" s="2" t="s">
        <v>101</v>
      </c>
      <c r="F57" s="2" t="s">
        <v>24</v>
      </c>
      <c r="G57">
        <v>3</v>
      </c>
      <c r="H57">
        <v>150</v>
      </c>
      <c r="I57">
        <v>126</v>
      </c>
      <c r="J57" s="3">
        <v>160700</v>
      </c>
      <c r="K57" s="3">
        <v>20248200</v>
      </c>
      <c r="L57" s="2" t="s">
        <v>33</v>
      </c>
      <c r="M57" s="2" t="s">
        <v>26</v>
      </c>
      <c r="N57">
        <v>2023</v>
      </c>
      <c r="O57" s="2" t="s">
        <v>27</v>
      </c>
      <c r="P57" s="2" t="s">
        <v>28</v>
      </c>
      <c r="Q57">
        <v>1</v>
      </c>
      <c r="R57" s="4">
        <v>44927</v>
      </c>
      <c r="S57" s="3">
        <v>160700</v>
      </c>
      <c r="T57" s="3">
        <v>2.02</v>
      </c>
    </row>
    <row r="58" spans="1:20" hidden="1" x14ac:dyDescent="0.3">
      <c r="A58" s="1">
        <v>44945</v>
      </c>
      <c r="B58" s="2" t="s">
        <v>48</v>
      </c>
      <c r="C58" s="2" t="s">
        <v>49</v>
      </c>
      <c r="D58" s="2" t="s">
        <v>31</v>
      </c>
      <c r="E58" s="2" t="s">
        <v>32</v>
      </c>
      <c r="F58" s="2" t="s">
        <v>24</v>
      </c>
      <c r="G58">
        <v>4</v>
      </c>
      <c r="H58">
        <v>195</v>
      </c>
      <c r="I58">
        <v>29</v>
      </c>
      <c r="J58" s="3">
        <v>135600</v>
      </c>
      <c r="K58" s="3">
        <v>3932400</v>
      </c>
      <c r="L58" s="2" t="s">
        <v>33</v>
      </c>
      <c r="M58" s="2" t="s">
        <v>34</v>
      </c>
      <c r="N58">
        <v>2023</v>
      </c>
      <c r="O58" s="2" t="s">
        <v>27</v>
      </c>
      <c r="P58" s="2" t="s">
        <v>28</v>
      </c>
      <c r="Q58">
        <v>1</v>
      </c>
      <c r="R58" s="4">
        <v>44927</v>
      </c>
      <c r="S58" s="3">
        <v>135600</v>
      </c>
      <c r="T58" s="3">
        <v>0.39</v>
      </c>
    </row>
    <row r="59" spans="1:20" hidden="1" x14ac:dyDescent="0.3">
      <c r="A59" s="1">
        <v>44945</v>
      </c>
      <c r="B59" s="2" t="s">
        <v>75</v>
      </c>
      <c r="C59" s="2" t="s">
        <v>122</v>
      </c>
      <c r="D59" s="2" t="s">
        <v>37</v>
      </c>
      <c r="E59" s="2" t="s">
        <v>38</v>
      </c>
      <c r="F59" s="2" t="s">
        <v>24</v>
      </c>
      <c r="G59">
        <v>66</v>
      </c>
      <c r="H59">
        <v>423</v>
      </c>
      <c r="I59">
        <v>69</v>
      </c>
      <c r="J59" s="3">
        <v>8544100</v>
      </c>
      <c r="K59" s="3">
        <v>589542900</v>
      </c>
      <c r="L59" s="2" t="s">
        <v>25</v>
      </c>
      <c r="M59" s="2" t="s">
        <v>26</v>
      </c>
      <c r="N59">
        <v>2023</v>
      </c>
      <c r="O59" s="2" t="s">
        <v>27</v>
      </c>
      <c r="P59" s="2" t="s">
        <v>28</v>
      </c>
      <c r="Q59">
        <v>1</v>
      </c>
      <c r="R59" s="4">
        <v>44927</v>
      </c>
      <c r="S59" s="3">
        <v>8544100</v>
      </c>
      <c r="T59" s="3">
        <v>58.95</v>
      </c>
    </row>
    <row r="60" spans="1:20" hidden="1" x14ac:dyDescent="0.3">
      <c r="A60" s="1">
        <v>44946</v>
      </c>
      <c r="B60" s="2" t="s">
        <v>90</v>
      </c>
      <c r="C60" s="2" t="s">
        <v>91</v>
      </c>
      <c r="D60" s="2" t="s">
        <v>88</v>
      </c>
      <c r="E60" s="2" t="s">
        <v>89</v>
      </c>
      <c r="F60" s="2" t="s">
        <v>24</v>
      </c>
      <c r="G60">
        <v>82</v>
      </c>
      <c r="H60">
        <v>580</v>
      </c>
      <c r="I60">
        <v>39</v>
      </c>
      <c r="J60" s="3">
        <v>5655800</v>
      </c>
      <c r="K60" s="3">
        <v>220576200</v>
      </c>
      <c r="L60" s="2" t="s">
        <v>33</v>
      </c>
      <c r="M60" s="2" t="s">
        <v>77</v>
      </c>
      <c r="N60">
        <v>2023</v>
      </c>
      <c r="O60" s="2" t="s">
        <v>27</v>
      </c>
      <c r="P60" s="2" t="s">
        <v>28</v>
      </c>
      <c r="Q60">
        <v>1</v>
      </c>
      <c r="R60" s="4">
        <v>44927</v>
      </c>
      <c r="S60" s="3">
        <v>5655800</v>
      </c>
      <c r="T60" s="3">
        <v>22.06</v>
      </c>
    </row>
    <row r="61" spans="1:20" hidden="1" x14ac:dyDescent="0.3">
      <c r="A61" s="1">
        <v>44946</v>
      </c>
      <c r="B61" s="2" t="s">
        <v>48</v>
      </c>
      <c r="C61" s="2" t="s">
        <v>49</v>
      </c>
      <c r="D61" s="2" t="s">
        <v>70</v>
      </c>
      <c r="E61" s="2" t="s">
        <v>74</v>
      </c>
      <c r="F61" s="2" t="s">
        <v>24</v>
      </c>
      <c r="G61">
        <v>25</v>
      </c>
      <c r="H61">
        <v>32</v>
      </c>
      <c r="I61">
        <v>10</v>
      </c>
      <c r="J61" s="3">
        <v>1152000</v>
      </c>
      <c r="K61" s="3">
        <v>11520000</v>
      </c>
      <c r="L61" s="2" t="s">
        <v>33</v>
      </c>
      <c r="M61" s="2" t="s">
        <v>77</v>
      </c>
      <c r="N61">
        <v>2023</v>
      </c>
      <c r="O61" s="2" t="s">
        <v>27</v>
      </c>
      <c r="P61" s="2" t="s">
        <v>28</v>
      </c>
      <c r="Q61">
        <v>1</v>
      </c>
      <c r="R61" s="4">
        <v>44927</v>
      </c>
      <c r="S61" s="3">
        <v>1152000</v>
      </c>
      <c r="T61" s="3">
        <v>1.1499999999999999</v>
      </c>
    </row>
    <row r="62" spans="1:20" hidden="1" x14ac:dyDescent="0.3">
      <c r="A62" s="1">
        <v>44947</v>
      </c>
      <c r="B62" s="2" t="s">
        <v>52</v>
      </c>
      <c r="C62" s="2" t="s">
        <v>66</v>
      </c>
      <c r="D62" s="2" t="s">
        <v>79</v>
      </c>
      <c r="E62" s="2" t="s">
        <v>80</v>
      </c>
      <c r="F62" s="2" t="s">
        <v>24</v>
      </c>
      <c r="G62">
        <v>69</v>
      </c>
      <c r="H62">
        <v>418</v>
      </c>
      <c r="I62">
        <v>9</v>
      </c>
      <c r="J62" s="3">
        <v>4817700</v>
      </c>
      <c r="K62" s="3">
        <v>43359300</v>
      </c>
      <c r="L62" s="2" t="s">
        <v>33</v>
      </c>
      <c r="M62" s="2" t="s">
        <v>26</v>
      </c>
      <c r="N62">
        <v>2023</v>
      </c>
      <c r="O62" s="2" t="s">
        <v>27</v>
      </c>
      <c r="P62" s="2" t="s">
        <v>28</v>
      </c>
      <c r="Q62">
        <v>1</v>
      </c>
      <c r="R62" s="4">
        <v>44927</v>
      </c>
      <c r="S62" s="3">
        <v>4817700</v>
      </c>
      <c r="T62" s="3">
        <v>4.34</v>
      </c>
    </row>
    <row r="63" spans="1:20" hidden="1" x14ac:dyDescent="0.3">
      <c r="A63" s="1">
        <v>44947</v>
      </c>
      <c r="B63" s="2" t="s">
        <v>48</v>
      </c>
      <c r="C63" s="2" t="s">
        <v>69</v>
      </c>
      <c r="D63" s="2" t="s">
        <v>70</v>
      </c>
      <c r="E63" s="2" t="s">
        <v>74</v>
      </c>
      <c r="F63" s="2" t="s">
        <v>24</v>
      </c>
      <c r="G63">
        <v>25</v>
      </c>
      <c r="H63">
        <v>32</v>
      </c>
      <c r="I63">
        <v>23</v>
      </c>
      <c r="J63" s="3">
        <v>1282700</v>
      </c>
      <c r="K63" s="3">
        <v>29502100</v>
      </c>
      <c r="L63" s="2" t="s">
        <v>25</v>
      </c>
      <c r="M63" s="2" t="s">
        <v>26</v>
      </c>
      <c r="N63">
        <v>2023</v>
      </c>
      <c r="O63" s="2" t="s">
        <v>27</v>
      </c>
      <c r="P63" s="2" t="s">
        <v>28</v>
      </c>
      <c r="Q63">
        <v>1</v>
      </c>
      <c r="R63" s="4">
        <v>44927</v>
      </c>
      <c r="S63" s="3">
        <v>1282700</v>
      </c>
      <c r="T63" s="3">
        <v>2.95</v>
      </c>
    </row>
    <row r="64" spans="1:20" hidden="1" x14ac:dyDescent="0.3">
      <c r="A64" s="1">
        <v>44947</v>
      </c>
      <c r="B64" s="2" t="s">
        <v>40</v>
      </c>
      <c r="C64" s="2" t="s">
        <v>41</v>
      </c>
      <c r="D64" s="2" t="s">
        <v>50</v>
      </c>
      <c r="E64" s="2" t="s">
        <v>51</v>
      </c>
      <c r="F64" s="2" t="s">
        <v>24</v>
      </c>
      <c r="G64">
        <v>77</v>
      </c>
      <c r="H64">
        <v>528</v>
      </c>
      <c r="I64">
        <v>51</v>
      </c>
      <c r="J64" s="3">
        <v>4482800</v>
      </c>
      <c r="K64" s="3">
        <v>228622800</v>
      </c>
      <c r="L64" s="2" t="s">
        <v>33</v>
      </c>
      <c r="M64" s="2" t="s">
        <v>34</v>
      </c>
      <c r="N64">
        <v>2023</v>
      </c>
      <c r="O64" s="2" t="s">
        <v>27</v>
      </c>
      <c r="P64" s="2" t="s">
        <v>28</v>
      </c>
      <c r="Q64">
        <v>1</v>
      </c>
      <c r="R64" s="4">
        <v>44927</v>
      </c>
      <c r="S64" s="3">
        <v>4482800</v>
      </c>
      <c r="T64" s="3">
        <v>22.86</v>
      </c>
    </row>
    <row r="65" spans="1:20" hidden="1" x14ac:dyDescent="0.3">
      <c r="A65" s="1">
        <v>44947</v>
      </c>
      <c r="B65" s="2" t="s">
        <v>48</v>
      </c>
      <c r="C65" s="2" t="s">
        <v>49</v>
      </c>
      <c r="D65" s="2" t="s">
        <v>22</v>
      </c>
      <c r="E65" s="2" t="s">
        <v>23</v>
      </c>
      <c r="F65" s="2" t="s">
        <v>72</v>
      </c>
      <c r="G65">
        <v>82</v>
      </c>
      <c r="H65">
        <v>520</v>
      </c>
      <c r="I65">
        <v>41</v>
      </c>
      <c r="J65" s="3">
        <v>7463100</v>
      </c>
      <c r="K65" s="3">
        <v>305987100</v>
      </c>
      <c r="L65" s="2" t="s">
        <v>25</v>
      </c>
      <c r="M65" s="2" t="s">
        <v>77</v>
      </c>
      <c r="N65">
        <v>2023</v>
      </c>
      <c r="O65" s="2" t="s">
        <v>27</v>
      </c>
      <c r="P65" s="2" t="s">
        <v>28</v>
      </c>
      <c r="Q65">
        <v>1</v>
      </c>
      <c r="R65" s="4">
        <v>44927</v>
      </c>
      <c r="S65" s="3">
        <v>7463100</v>
      </c>
      <c r="T65" s="3">
        <v>30.6</v>
      </c>
    </row>
    <row r="66" spans="1:20" hidden="1" x14ac:dyDescent="0.3">
      <c r="A66" s="1">
        <v>44947</v>
      </c>
      <c r="B66" s="2" t="s">
        <v>108</v>
      </c>
      <c r="C66" s="2" t="s">
        <v>123</v>
      </c>
      <c r="D66" s="2" t="s">
        <v>82</v>
      </c>
      <c r="E66" s="2" t="s">
        <v>83</v>
      </c>
      <c r="F66" s="2" t="s">
        <v>24</v>
      </c>
      <c r="G66">
        <v>40</v>
      </c>
      <c r="H66">
        <v>39</v>
      </c>
      <c r="I66">
        <v>92</v>
      </c>
      <c r="J66" s="3">
        <v>2461200</v>
      </c>
      <c r="K66" s="3">
        <v>226430400</v>
      </c>
      <c r="L66" s="2" t="s">
        <v>33</v>
      </c>
      <c r="M66" s="2" t="s">
        <v>26</v>
      </c>
      <c r="N66">
        <v>2023</v>
      </c>
      <c r="O66" s="2" t="s">
        <v>27</v>
      </c>
      <c r="P66" s="2" t="s">
        <v>28</v>
      </c>
      <c r="Q66">
        <v>1</v>
      </c>
      <c r="R66" s="4">
        <v>44927</v>
      </c>
      <c r="S66" s="3">
        <v>2461200</v>
      </c>
      <c r="T66" s="3">
        <v>22.64</v>
      </c>
    </row>
    <row r="67" spans="1:20" hidden="1" x14ac:dyDescent="0.3">
      <c r="A67" s="1">
        <v>44948</v>
      </c>
      <c r="B67" s="2" t="s">
        <v>59</v>
      </c>
      <c r="C67" s="2" t="s">
        <v>60</v>
      </c>
      <c r="D67" s="2" t="s">
        <v>42</v>
      </c>
      <c r="E67" s="2" t="s">
        <v>43</v>
      </c>
      <c r="F67" s="2" t="s">
        <v>24</v>
      </c>
      <c r="G67">
        <v>3</v>
      </c>
      <c r="H67">
        <v>135</v>
      </c>
      <c r="I67">
        <v>95</v>
      </c>
      <c r="J67" s="3">
        <v>134600</v>
      </c>
      <c r="K67" s="3">
        <v>12787000</v>
      </c>
      <c r="L67" s="2" t="s">
        <v>25</v>
      </c>
      <c r="M67" s="2" t="s">
        <v>97</v>
      </c>
      <c r="N67">
        <v>2023</v>
      </c>
      <c r="O67" s="2" t="s">
        <v>27</v>
      </c>
      <c r="P67" s="2" t="s">
        <v>28</v>
      </c>
      <c r="Q67">
        <v>1</v>
      </c>
      <c r="R67" s="4">
        <v>44927</v>
      </c>
      <c r="S67" s="3">
        <v>134600</v>
      </c>
      <c r="T67" s="3">
        <v>1.28</v>
      </c>
    </row>
    <row r="68" spans="1:20" hidden="1" x14ac:dyDescent="0.3">
      <c r="A68" s="1">
        <v>44949</v>
      </c>
      <c r="B68" s="2" t="s">
        <v>48</v>
      </c>
      <c r="C68" s="2" t="s">
        <v>69</v>
      </c>
      <c r="D68" s="2" t="s">
        <v>79</v>
      </c>
      <c r="E68" s="2" t="s">
        <v>80</v>
      </c>
      <c r="F68" s="2" t="s">
        <v>39</v>
      </c>
      <c r="G68">
        <v>69</v>
      </c>
      <c r="H68">
        <v>418</v>
      </c>
      <c r="I68">
        <v>73</v>
      </c>
      <c r="J68" s="3">
        <v>5187000</v>
      </c>
      <c r="K68" s="3">
        <v>378651000</v>
      </c>
      <c r="L68" s="2" t="s">
        <v>33</v>
      </c>
      <c r="M68" s="2" t="s">
        <v>77</v>
      </c>
      <c r="N68">
        <v>2023</v>
      </c>
      <c r="O68" s="2" t="s">
        <v>27</v>
      </c>
      <c r="P68" s="2" t="s">
        <v>28</v>
      </c>
      <c r="Q68">
        <v>1</v>
      </c>
      <c r="R68" s="4">
        <v>44927</v>
      </c>
      <c r="S68" s="3">
        <v>5187000</v>
      </c>
      <c r="T68" s="3">
        <v>37.869999999999997</v>
      </c>
    </row>
    <row r="69" spans="1:20" hidden="1" x14ac:dyDescent="0.3">
      <c r="A69" s="1">
        <v>44949</v>
      </c>
      <c r="B69" s="2" t="s">
        <v>75</v>
      </c>
      <c r="C69" s="2" t="s">
        <v>122</v>
      </c>
      <c r="D69" s="2" t="s">
        <v>31</v>
      </c>
      <c r="E69" s="2" t="s">
        <v>124</v>
      </c>
      <c r="F69" s="2" t="s">
        <v>24</v>
      </c>
      <c r="G69">
        <v>3</v>
      </c>
      <c r="H69">
        <v>151</v>
      </c>
      <c r="I69">
        <v>63</v>
      </c>
      <c r="J69" s="3">
        <v>122900</v>
      </c>
      <c r="K69" s="3">
        <v>7742700</v>
      </c>
      <c r="L69" s="2" t="s">
        <v>33</v>
      </c>
      <c r="M69" s="2" t="s">
        <v>77</v>
      </c>
      <c r="N69">
        <v>2023</v>
      </c>
      <c r="O69" s="2" t="s">
        <v>27</v>
      </c>
      <c r="P69" s="2" t="s">
        <v>28</v>
      </c>
      <c r="Q69">
        <v>1</v>
      </c>
      <c r="R69" s="4">
        <v>44927</v>
      </c>
      <c r="S69" s="3">
        <v>122900</v>
      </c>
      <c r="T69" s="3">
        <v>0.77</v>
      </c>
    </row>
    <row r="70" spans="1:20" hidden="1" x14ac:dyDescent="0.3">
      <c r="A70" s="1">
        <v>44949</v>
      </c>
      <c r="B70" s="2" t="s">
        <v>48</v>
      </c>
      <c r="C70" s="2" t="s">
        <v>98</v>
      </c>
      <c r="D70" s="2" t="s">
        <v>100</v>
      </c>
      <c r="E70" s="2" t="s">
        <v>101</v>
      </c>
      <c r="F70" s="2" t="s">
        <v>24</v>
      </c>
      <c r="G70">
        <v>3</v>
      </c>
      <c r="H70">
        <v>150</v>
      </c>
      <c r="I70">
        <v>112</v>
      </c>
      <c r="J70" s="3">
        <v>156800</v>
      </c>
      <c r="K70" s="3">
        <v>17561600</v>
      </c>
      <c r="L70" s="2" t="s">
        <v>33</v>
      </c>
      <c r="M70" s="2" t="s">
        <v>77</v>
      </c>
      <c r="N70">
        <v>2023</v>
      </c>
      <c r="O70" s="2" t="s">
        <v>27</v>
      </c>
      <c r="P70" s="2" t="s">
        <v>28</v>
      </c>
      <c r="Q70">
        <v>1</v>
      </c>
      <c r="R70" s="4">
        <v>44927</v>
      </c>
      <c r="S70" s="3">
        <v>156800</v>
      </c>
      <c r="T70" s="3">
        <v>1.76</v>
      </c>
    </row>
    <row r="71" spans="1:20" hidden="1" x14ac:dyDescent="0.3">
      <c r="A71" s="1">
        <v>44950</v>
      </c>
      <c r="B71" s="2" t="s">
        <v>20</v>
      </c>
      <c r="C71" s="2" t="s">
        <v>125</v>
      </c>
      <c r="D71" s="2" t="s">
        <v>63</v>
      </c>
      <c r="E71" s="2" t="s">
        <v>64</v>
      </c>
      <c r="F71" s="2" t="s">
        <v>24</v>
      </c>
      <c r="G71">
        <v>3</v>
      </c>
      <c r="H71">
        <v>127</v>
      </c>
      <c r="I71">
        <v>165</v>
      </c>
      <c r="J71" s="3">
        <v>180900</v>
      </c>
      <c r="K71" s="3">
        <v>29848500</v>
      </c>
      <c r="L71" s="2" t="s">
        <v>33</v>
      </c>
      <c r="M71" s="2" t="s">
        <v>77</v>
      </c>
      <c r="N71">
        <v>2023</v>
      </c>
      <c r="O71" s="2" t="s">
        <v>27</v>
      </c>
      <c r="P71" s="2" t="s">
        <v>28</v>
      </c>
      <c r="Q71">
        <v>1</v>
      </c>
      <c r="R71" s="4">
        <v>44927</v>
      </c>
      <c r="S71" s="3">
        <v>180900</v>
      </c>
      <c r="T71" s="3">
        <v>2.98</v>
      </c>
    </row>
    <row r="72" spans="1:20" hidden="1" x14ac:dyDescent="0.3">
      <c r="A72" s="1">
        <v>44950</v>
      </c>
      <c r="B72" s="2" t="s">
        <v>48</v>
      </c>
      <c r="C72" s="2" t="s">
        <v>73</v>
      </c>
      <c r="D72" s="2" t="s">
        <v>100</v>
      </c>
      <c r="E72" s="2" t="s">
        <v>101</v>
      </c>
      <c r="F72" s="2" t="s">
        <v>24</v>
      </c>
      <c r="G72">
        <v>3</v>
      </c>
      <c r="H72">
        <v>150</v>
      </c>
      <c r="I72">
        <v>19</v>
      </c>
      <c r="J72" s="3">
        <v>158500</v>
      </c>
      <c r="K72" s="3">
        <v>3011500</v>
      </c>
      <c r="L72" s="2" t="s">
        <v>33</v>
      </c>
      <c r="M72" s="2" t="s">
        <v>77</v>
      </c>
      <c r="N72">
        <v>2023</v>
      </c>
      <c r="O72" s="2" t="s">
        <v>27</v>
      </c>
      <c r="P72" s="2" t="s">
        <v>28</v>
      </c>
      <c r="Q72">
        <v>1</v>
      </c>
      <c r="R72" s="4">
        <v>44927</v>
      </c>
      <c r="S72" s="3">
        <v>158500</v>
      </c>
      <c r="T72" s="3">
        <v>0.3</v>
      </c>
    </row>
    <row r="73" spans="1:20" hidden="1" x14ac:dyDescent="0.3">
      <c r="A73" s="1">
        <v>44950</v>
      </c>
      <c r="B73" s="2" t="s">
        <v>84</v>
      </c>
      <c r="C73" s="2" t="s">
        <v>126</v>
      </c>
      <c r="D73" s="2" t="s">
        <v>100</v>
      </c>
      <c r="E73" s="2" t="s">
        <v>101</v>
      </c>
      <c r="F73" s="2" t="s">
        <v>24</v>
      </c>
      <c r="G73">
        <v>3</v>
      </c>
      <c r="H73">
        <v>150</v>
      </c>
      <c r="I73">
        <v>170</v>
      </c>
      <c r="J73" s="3">
        <v>161800</v>
      </c>
      <c r="K73" s="3">
        <v>27506000</v>
      </c>
      <c r="L73" s="2" t="s">
        <v>33</v>
      </c>
      <c r="M73" s="2" t="s">
        <v>26</v>
      </c>
      <c r="N73">
        <v>2023</v>
      </c>
      <c r="O73" s="2" t="s">
        <v>27</v>
      </c>
      <c r="P73" s="2" t="s">
        <v>28</v>
      </c>
      <c r="Q73">
        <v>1</v>
      </c>
      <c r="R73" s="4">
        <v>44927</v>
      </c>
      <c r="S73" s="3">
        <v>161800</v>
      </c>
      <c r="T73" s="3">
        <v>2.75</v>
      </c>
    </row>
    <row r="74" spans="1:20" hidden="1" x14ac:dyDescent="0.3">
      <c r="A74" s="1">
        <v>44951</v>
      </c>
      <c r="B74" s="2" t="s">
        <v>20</v>
      </c>
      <c r="C74" s="2" t="s">
        <v>112</v>
      </c>
      <c r="D74" s="2" t="s">
        <v>88</v>
      </c>
      <c r="E74" s="2" t="s">
        <v>89</v>
      </c>
      <c r="F74" s="2" t="s">
        <v>24</v>
      </c>
      <c r="G74">
        <v>82</v>
      </c>
      <c r="H74">
        <v>580</v>
      </c>
      <c r="I74">
        <v>59</v>
      </c>
      <c r="J74" s="3">
        <v>4535300</v>
      </c>
      <c r="K74" s="3">
        <v>267582700</v>
      </c>
      <c r="L74" s="2" t="s">
        <v>33</v>
      </c>
      <c r="M74" s="2" t="s">
        <v>77</v>
      </c>
      <c r="N74">
        <v>2023</v>
      </c>
      <c r="O74" s="2" t="s">
        <v>27</v>
      </c>
      <c r="P74" s="2" t="s">
        <v>28</v>
      </c>
      <c r="Q74">
        <v>1</v>
      </c>
      <c r="R74" s="4">
        <v>44927</v>
      </c>
      <c r="S74" s="3">
        <v>4535300</v>
      </c>
      <c r="T74" s="3">
        <v>26.76</v>
      </c>
    </row>
    <row r="75" spans="1:20" hidden="1" x14ac:dyDescent="0.3">
      <c r="A75" s="1">
        <v>44951</v>
      </c>
      <c r="B75" s="2" t="s">
        <v>48</v>
      </c>
      <c r="C75" s="2" t="s">
        <v>98</v>
      </c>
      <c r="D75" s="2" t="s">
        <v>88</v>
      </c>
      <c r="E75" s="2" t="s">
        <v>111</v>
      </c>
      <c r="F75" s="2" t="s">
        <v>24</v>
      </c>
      <c r="G75">
        <v>60</v>
      </c>
      <c r="H75">
        <v>480</v>
      </c>
      <c r="I75">
        <v>16</v>
      </c>
      <c r="J75" s="3">
        <v>3047400</v>
      </c>
      <c r="K75" s="3">
        <v>48758400</v>
      </c>
      <c r="L75" s="2" t="s">
        <v>33</v>
      </c>
      <c r="M75" s="2" t="s">
        <v>26</v>
      </c>
      <c r="N75">
        <v>2023</v>
      </c>
      <c r="O75" s="2" t="s">
        <v>27</v>
      </c>
      <c r="P75" s="2" t="s">
        <v>28</v>
      </c>
      <c r="Q75">
        <v>1</v>
      </c>
      <c r="R75" s="4">
        <v>44927</v>
      </c>
      <c r="S75" s="3">
        <v>3047400</v>
      </c>
      <c r="T75" s="3">
        <v>4.88</v>
      </c>
    </row>
    <row r="76" spans="1:20" hidden="1" x14ac:dyDescent="0.3">
      <c r="A76" s="1">
        <v>44951</v>
      </c>
      <c r="B76" s="2" t="s">
        <v>48</v>
      </c>
      <c r="C76" s="2" t="s">
        <v>69</v>
      </c>
      <c r="D76" s="2" t="s">
        <v>37</v>
      </c>
      <c r="E76" s="2" t="s">
        <v>38</v>
      </c>
      <c r="F76" s="2" t="s">
        <v>39</v>
      </c>
      <c r="G76">
        <v>66</v>
      </c>
      <c r="H76">
        <v>423</v>
      </c>
      <c r="I76">
        <v>62</v>
      </c>
      <c r="J76" s="3">
        <v>7120100</v>
      </c>
      <c r="K76" s="3">
        <v>441446200</v>
      </c>
      <c r="L76" s="2" t="s">
        <v>33</v>
      </c>
      <c r="M76" s="2" t="s">
        <v>77</v>
      </c>
      <c r="N76">
        <v>2023</v>
      </c>
      <c r="O76" s="2" t="s">
        <v>27</v>
      </c>
      <c r="P76" s="2" t="s">
        <v>28</v>
      </c>
      <c r="Q76">
        <v>1</v>
      </c>
      <c r="R76" s="4">
        <v>44927</v>
      </c>
      <c r="S76" s="3">
        <v>7120100</v>
      </c>
      <c r="T76" s="3">
        <v>44.14</v>
      </c>
    </row>
    <row r="77" spans="1:20" hidden="1" x14ac:dyDescent="0.3">
      <c r="A77" s="1">
        <v>44952</v>
      </c>
      <c r="B77" s="2" t="s">
        <v>35</v>
      </c>
      <c r="C77" s="2" t="s">
        <v>121</v>
      </c>
      <c r="D77" s="2" t="s">
        <v>102</v>
      </c>
      <c r="E77" s="2" t="s">
        <v>103</v>
      </c>
      <c r="F77" s="2" t="s">
        <v>24</v>
      </c>
      <c r="G77">
        <v>5</v>
      </c>
      <c r="H77">
        <v>150</v>
      </c>
      <c r="I77">
        <v>48</v>
      </c>
      <c r="J77" s="3">
        <v>153700</v>
      </c>
      <c r="K77" s="3">
        <v>7377600</v>
      </c>
      <c r="L77" s="2" t="s">
        <v>33</v>
      </c>
      <c r="M77" s="2" t="s">
        <v>77</v>
      </c>
      <c r="N77">
        <v>2023</v>
      </c>
      <c r="O77" s="2" t="s">
        <v>27</v>
      </c>
      <c r="P77" s="2" t="s">
        <v>28</v>
      </c>
      <c r="Q77">
        <v>1</v>
      </c>
      <c r="R77" s="4">
        <v>44927</v>
      </c>
      <c r="S77" s="3">
        <v>153700</v>
      </c>
      <c r="T77" s="3">
        <v>0.74</v>
      </c>
    </row>
    <row r="78" spans="1:20" hidden="1" x14ac:dyDescent="0.3">
      <c r="A78" s="1">
        <v>44953</v>
      </c>
      <c r="B78" s="2" t="s">
        <v>61</v>
      </c>
      <c r="C78" s="2" t="s">
        <v>127</v>
      </c>
      <c r="D78" s="2" t="s">
        <v>22</v>
      </c>
      <c r="E78" s="2" t="s">
        <v>23</v>
      </c>
      <c r="F78" s="2" t="s">
        <v>24</v>
      </c>
      <c r="G78">
        <v>82</v>
      </c>
      <c r="H78">
        <v>520</v>
      </c>
      <c r="I78">
        <v>58</v>
      </c>
      <c r="J78" s="3">
        <v>7581300</v>
      </c>
      <c r="K78" s="3">
        <v>439715400</v>
      </c>
      <c r="L78" s="2" t="s">
        <v>33</v>
      </c>
      <c r="M78" s="2" t="s">
        <v>34</v>
      </c>
      <c r="N78">
        <v>2023</v>
      </c>
      <c r="O78" s="2" t="s">
        <v>27</v>
      </c>
      <c r="P78" s="2" t="s">
        <v>28</v>
      </c>
      <c r="Q78">
        <v>1</v>
      </c>
      <c r="R78" s="4">
        <v>44927</v>
      </c>
      <c r="S78" s="3">
        <v>7581300</v>
      </c>
      <c r="T78" s="3">
        <v>43.97</v>
      </c>
    </row>
    <row r="79" spans="1:20" hidden="1" x14ac:dyDescent="0.3">
      <c r="A79" s="1">
        <v>44954</v>
      </c>
      <c r="B79" s="2" t="s">
        <v>48</v>
      </c>
      <c r="C79" s="2" t="s">
        <v>73</v>
      </c>
      <c r="D79" s="2" t="s">
        <v>82</v>
      </c>
      <c r="E79" s="2" t="s">
        <v>83</v>
      </c>
      <c r="F79" s="2" t="s">
        <v>39</v>
      </c>
      <c r="G79">
        <v>40</v>
      </c>
      <c r="H79">
        <v>39</v>
      </c>
      <c r="I79">
        <v>26</v>
      </c>
      <c r="J79" s="3">
        <v>2094200</v>
      </c>
      <c r="K79" s="3">
        <v>54449200</v>
      </c>
      <c r="L79" s="2" t="s">
        <v>25</v>
      </c>
      <c r="M79" s="2" t="s">
        <v>26</v>
      </c>
      <c r="N79">
        <v>2023</v>
      </c>
      <c r="O79" s="2" t="s">
        <v>27</v>
      </c>
      <c r="P79" s="2" t="s">
        <v>28</v>
      </c>
      <c r="Q79">
        <v>1</v>
      </c>
      <c r="R79" s="4">
        <v>44927</v>
      </c>
      <c r="S79" s="3">
        <v>2094200</v>
      </c>
      <c r="T79" s="3">
        <v>5.44</v>
      </c>
    </row>
    <row r="80" spans="1:20" hidden="1" x14ac:dyDescent="0.3">
      <c r="A80" s="1">
        <v>44954</v>
      </c>
      <c r="B80" s="2" t="s">
        <v>48</v>
      </c>
      <c r="C80" s="2" t="s">
        <v>73</v>
      </c>
      <c r="D80" s="2" t="s">
        <v>54</v>
      </c>
      <c r="E80" s="2" t="s">
        <v>55</v>
      </c>
      <c r="F80" s="2" t="s">
        <v>24</v>
      </c>
      <c r="G80">
        <v>30</v>
      </c>
      <c r="H80">
        <v>320</v>
      </c>
      <c r="I80">
        <v>65</v>
      </c>
      <c r="J80" s="3">
        <v>1378400</v>
      </c>
      <c r="K80" s="3">
        <v>89596000</v>
      </c>
      <c r="L80" s="2" t="s">
        <v>33</v>
      </c>
      <c r="M80" s="2" t="s">
        <v>34</v>
      </c>
      <c r="N80">
        <v>2023</v>
      </c>
      <c r="O80" s="2" t="s">
        <v>27</v>
      </c>
      <c r="P80" s="2" t="s">
        <v>28</v>
      </c>
      <c r="Q80">
        <v>1</v>
      </c>
      <c r="R80" s="4">
        <v>44927</v>
      </c>
      <c r="S80" s="3">
        <v>1378400</v>
      </c>
      <c r="T80" s="3">
        <v>8.9600000000000009</v>
      </c>
    </row>
    <row r="81" spans="1:20" hidden="1" x14ac:dyDescent="0.3">
      <c r="A81" s="1">
        <v>44954</v>
      </c>
      <c r="B81" s="2" t="s">
        <v>90</v>
      </c>
      <c r="C81" s="2" t="s">
        <v>128</v>
      </c>
      <c r="D81" s="2" t="s">
        <v>54</v>
      </c>
      <c r="E81" s="2" t="s">
        <v>55</v>
      </c>
      <c r="F81" s="2" t="s">
        <v>24</v>
      </c>
      <c r="G81">
        <v>30</v>
      </c>
      <c r="H81">
        <v>320</v>
      </c>
      <c r="I81">
        <v>14</v>
      </c>
      <c r="J81" s="3">
        <v>1477300</v>
      </c>
      <c r="K81" s="3">
        <v>20682200</v>
      </c>
      <c r="L81" s="2" t="s">
        <v>33</v>
      </c>
      <c r="M81" s="2" t="s">
        <v>77</v>
      </c>
      <c r="N81">
        <v>2023</v>
      </c>
      <c r="O81" s="2" t="s">
        <v>27</v>
      </c>
      <c r="P81" s="2" t="s">
        <v>28</v>
      </c>
      <c r="Q81">
        <v>1</v>
      </c>
      <c r="R81" s="4">
        <v>44927</v>
      </c>
      <c r="S81" s="3">
        <v>1477300</v>
      </c>
      <c r="T81" s="3">
        <v>2.0699999999999998</v>
      </c>
    </row>
    <row r="82" spans="1:20" hidden="1" x14ac:dyDescent="0.3">
      <c r="A82" s="1">
        <v>44955</v>
      </c>
      <c r="B82" s="2" t="s">
        <v>90</v>
      </c>
      <c r="C82" s="2" t="s">
        <v>128</v>
      </c>
      <c r="D82" s="2" t="s">
        <v>67</v>
      </c>
      <c r="E82" s="2" t="s">
        <v>118</v>
      </c>
      <c r="F82" s="2" t="s">
        <v>39</v>
      </c>
      <c r="G82">
        <v>84</v>
      </c>
      <c r="H82">
        <v>590</v>
      </c>
      <c r="I82">
        <v>7</v>
      </c>
      <c r="J82" s="3">
        <v>6918000</v>
      </c>
      <c r="K82" s="3">
        <v>48426000</v>
      </c>
      <c r="L82" s="2" t="s">
        <v>33</v>
      </c>
      <c r="M82" s="2" t="s">
        <v>26</v>
      </c>
      <c r="N82">
        <v>2023</v>
      </c>
      <c r="O82" s="2" t="s">
        <v>27</v>
      </c>
      <c r="P82" s="2" t="s">
        <v>28</v>
      </c>
      <c r="Q82">
        <v>1</v>
      </c>
      <c r="R82" s="4">
        <v>44927</v>
      </c>
      <c r="S82" s="3">
        <v>6918000</v>
      </c>
      <c r="T82" s="3">
        <v>4.84</v>
      </c>
    </row>
    <row r="83" spans="1:20" hidden="1" x14ac:dyDescent="0.3">
      <c r="A83" s="1">
        <v>44955</v>
      </c>
      <c r="B83" s="2" t="s">
        <v>108</v>
      </c>
      <c r="C83" s="2" t="s">
        <v>109</v>
      </c>
      <c r="D83" s="2" t="s">
        <v>31</v>
      </c>
      <c r="E83" s="2" t="s">
        <v>124</v>
      </c>
      <c r="F83" s="2" t="s">
        <v>24</v>
      </c>
      <c r="G83">
        <v>3</v>
      </c>
      <c r="H83">
        <v>151</v>
      </c>
      <c r="I83">
        <v>16</v>
      </c>
      <c r="J83" s="3">
        <v>102800</v>
      </c>
      <c r="K83" s="3">
        <v>1644800</v>
      </c>
      <c r="L83" s="2" t="s">
        <v>33</v>
      </c>
      <c r="M83" s="2" t="s">
        <v>77</v>
      </c>
      <c r="N83">
        <v>2023</v>
      </c>
      <c r="O83" s="2" t="s">
        <v>27</v>
      </c>
      <c r="P83" s="2" t="s">
        <v>28</v>
      </c>
      <c r="Q83">
        <v>1</v>
      </c>
      <c r="R83" s="4">
        <v>44927</v>
      </c>
      <c r="S83" s="3">
        <v>102800</v>
      </c>
      <c r="T83" s="3">
        <v>0.16</v>
      </c>
    </row>
    <row r="84" spans="1:20" hidden="1" x14ac:dyDescent="0.3">
      <c r="A84" s="1">
        <v>44955</v>
      </c>
      <c r="B84" s="2" t="s">
        <v>59</v>
      </c>
      <c r="C84" s="2" t="s">
        <v>129</v>
      </c>
      <c r="D84" s="2" t="s">
        <v>22</v>
      </c>
      <c r="E84" s="2" t="s">
        <v>23</v>
      </c>
      <c r="F84" s="2" t="s">
        <v>39</v>
      </c>
      <c r="G84">
        <v>82</v>
      </c>
      <c r="H84">
        <v>520</v>
      </c>
      <c r="I84">
        <v>39</v>
      </c>
      <c r="J84" s="3">
        <v>7152300</v>
      </c>
      <c r="K84" s="3">
        <v>278939700</v>
      </c>
      <c r="L84" s="2" t="s">
        <v>92</v>
      </c>
      <c r="M84" s="2" t="s">
        <v>26</v>
      </c>
      <c r="N84">
        <v>2023</v>
      </c>
      <c r="O84" s="2" t="s">
        <v>27</v>
      </c>
      <c r="P84" s="2" t="s">
        <v>28</v>
      </c>
      <c r="Q84">
        <v>1</v>
      </c>
      <c r="R84" s="4">
        <v>44927</v>
      </c>
      <c r="S84" s="3">
        <v>7152300</v>
      </c>
      <c r="T84" s="3">
        <v>27.89</v>
      </c>
    </row>
    <row r="85" spans="1:20" hidden="1" x14ac:dyDescent="0.3">
      <c r="A85" s="1">
        <v>44956</v>
      </c>
      <c r="B85" s="2" t="s">
        <v>46</v>
      </c>
      <c r="C85" s="2" t="s">
        <v>56</v>
      </c>
      <c r="D85" s="2" t="s">
        <v>67</v>
      </c>
      <c r="E85" s="2" t="s">
        <v>68</v>
      </c>
      <c r="F85" s="2" t="s">
        <v>24</v>
      </c>
      <c r="G85">
        <v>66</v>
      </c>
      <c r="H85">
        <v>440</v>
      </c>
      <c r="I85">
        <v>75</v>
      </c>
      <c r="J85" s="3">
        <v>5893100</v>
      </c>
      <c r="K85" s="3">
        <v>441982500</v>
      </c>
      <c r="L85" s="2" t="s">
        <v>92</v>
      </c>
      <c r="M85" s="2" t="s">
        <v>34</v>
      </c>
      <c r="N85">
        <v>2023</v>
      </c>
      <c r="O85" s="2" t="s">
        <v>27</v>
      </c>
      <c r="P85" s="2" t="s">
        <v>28</v>
      </c>
      <c r="Q85">
        <v>1</v>
      </c>
      <c r="R85" s="4">
        <v>44927</v>
      </c>
      <c r="S85" s="3">
        <v>5893100</v>
      </c>
      <c r="T85" s="3">
        <v>44.2</v>
      </c>
    </row>
    <row r="86" spans="1:20" hidden="1" x14ac:dyDescent="0.3">
      <c r="A86" s="1">
        <v>44956</v>
      </c>
      <c r="B86" s="2" t="s">
        <v>48</v>
      </c>
      <c r="C86" s="2" t="s">
        <v>73</v>
      </c>
      <c r="D86" s="2" t="s">
        <v>70</v>
      </c>
      <c r="E86" s="2" t="s">
        <v>74</v>
      </c>
      <c r="F86" s="2" t="s">
        <v>24</v>
      </c>
      <c r="G86">
        <v>25</v>
      </c>
      <c r="H86">
        <v>32</v>
      </c>
      <c r="I86">
        <v>165</v>
      </c>
      <c r="J86" s="3">
        <v>1246700</v>
      </c>
      <c r="K86" s="3">
        <v>205705500</v>
      </c>
      <c r="L86" s="2" t="s">
        <v>33</v>
      </c>
      <c r="M86" s="2" t="s">
        <v>77</v>
      </c>
      <c r="N86">
        <v>2023</v>
      </c>
      <c r="O86" s="2" t="s">
        <v>27</v>
      </c>
      <c r="P86" s="2" t="s">
        <v>28</v>
      </c>
      <c r="Q86">
        <v>1</v>
      </c>
      <c r="R86" s="4">
        <v>44927</v>
      </c>
      <c r="S86" s="3">
        <v>1246700</v>
      </c>
      <c r="T86" s="3">
        <v>20.57</v>
      </c>
    </row>
    <row r="87" spans="1:20" hidden="1" x14ac:dyDescent="0.3">
      <c r="A87" s="1">
        <v>44957</v>
      </c>
      <c r="B87" s="2" t="s">
        <v>108</v>
      </c>
      <c r="C87" s="2" t="s">
        <v>123</v>
      </c>
      <c r="D87" s="2" t="s">
        <v>54</v>
      </c>
      <c r="E87" s="2" t="s">
        <v>55</v>
      </c>
      <c r="F87" s="2" t="s">
        <v>24</v>
      </c>
      <c r="G87">
        <v>30</v>
      </c>
      <c r="H87">
        <v>320</v>
      </c>
      <c r="I87">
        <v>77</v>
      </c>
      <c r="J87" s="3">
        <v>1404900</v>
      </c>
      <c r="K87" s="3">
        <v>108177300</v>
      </c>
      <c r="L87" s="2" t="s">
        <v>33</v>
      </c>
      <c r="M87" s="2" t="s">
        <v>26</v>
      </c>
      <c r="N87">
        <v>2023</v>
      </c>
      <c r="O87" s="2" t="s">
        <v>27</v>
      </c>
      <c r="P87" s="2" t="s">
        <v>28</v>
      </c>
      <c r="Q87">
        <v>1</v>
      </c>
      <c r="R87" s="4">
        <v>44927</v>
      </c>
      <c r="S87" s="3">
        <v>1404900</v>
      </c>
      <c r="T87" s="3">
        <v>10.82</v>
      </c>
    </row>
    <row r="88" spans="1:20" hidden="1" x14ac:dyDescent="0.3">
      <c r="A88" s="1">
        <v>44957</v>
      </c>
      <c r="B88" s="2" t="s">
        <v>75</v>
      </c>
      <c r="C88" s="2" t="s">
        <v>122</v>
      </c>
      <c r="D88" s="2" t="s">
        <v>100</v>
      </c>
      <c r="E88" s="2" t="s">
        <v>101</v>
      </c>
      <c r="F88" s="2" t="s">
        <v>24</v>
      </c>
      <c r="G88">
        <v>3</v>
      </c>
      <c r="H88">
        <v>150</v>
      </c>
      <c r="I88">
        <v>29</v>
      </c>
      <c r="J88" s="3">
        <v>158000</v>
      </c>
      <c r="K88" s="3">
        <v>4582000</v>
      </c>
      <c r="L88" s="2" t="s">
        <v>33</v>
      </c>
      <c r="M88" s="2" t="s">
        <v>26</v>
      </c>
      <c r="N88">
        <v>2023</v>
      </c>
      <c r="O88" s="2" t="s">
        <v>27</v>
      </c>
      <c r="P88" s="2" t="s">
        <v>28</v>
      </c>
      <c r="Q88">
        <v>1</v>
      </c>
      <c r="R88" s="4">
        <v>44927</v>
      </c>
      <c r="S88" s="3">
        <v>158000</v>
      </c>
      <c r="T88" s="3">
        <v>0.46</v>
      </c>
    </row>
    <row r="89" spans="1:20" hidden="1" x14ac:dyDescent="0.3">
      <c r="A89" s="1">
        <v>44957</v>
      </c>
      <c r="B89" s="2" t="s">
        <v>29</v>
      </c>
      <c r="C89" s="2" t="s">
        <v>96</v>
      </c>
      <c r="D89" s="2" t="s">
        <v>31</v>
      </c>
      <c r="E89" s="2" t="s">
        <v>124</v>
      </c>
      <c r="F89" s="2" t="s">
        <v>24</v>
      </c>
      <c r="G89">
        <v>3</v>
      </c>
      <c r="H89">
        <v>151</v>
      </c>
      <c r="I89">
        <v>53</v>
      </c>
      <c r="J89" s="3">
        <v>123400</v>
      </c>
      <c r="K89" s="3">
        <v>6540200</v>
      </c>
      <c r="L89" s="2" t="s">
        <v>25</v>
      </c>
      <c r="M89" s="2" t="s">
        <v>97</v>
      </c>
      <c r="N89">
        <v>2023</v>
      </c>
      <c r="O89" s="2" t="s">
        <v>27</v>
      </c>
      <c r="P89" s="2" t="s">
        <v>28</v>
      </c>
      <c r="Q89">
        <v>1</v>
      </c>
      <c r="R89" s="4">
        <v>44927</v>
      </c>
      <c r="S89" s="3">
        <v>123400</v>
      </c>
      <c r="T89" s="3">
        <v>0.65</v>
      </c>
    </row>
    <row r="90" spans="1:20" hidden="1" x14ac:dyDescent="0.3">
      <c r="A90" s="1">
        <v>44958</v>
      </c>
      <c r="B90" s="2" t="s">
        <v>48</v>
      </c>
      <c r="C90" s="2" t="s">
        <v>73</v>
      </c>
      <c r="D90" s="2" t="s">
        <v>94</v>
      </c>
      <c r="E90" s="2" t="s">
        <v>95</v>
      </c>
      <c r="F90" s="2" t="s">
        <v>72</v>
      </c>
      <c r="G90">
        <v>40</v>
      </c>
      <c r="H90">
        <v>30</v>
      </c>
      <c r="I90">
        <v>153</v>
      </c>
      <c r="J90" s="3">
        <v>2302200</v>
      </c>
      <c r="K90" s="3">
        <v>352236600</v>
      </c>
      <c r="L90" s="2" t="s">
        <v>33</v>
      </c>
      <c r="M90" s="2" t="s">
        <v>26</v>
      </c>
      <c r="N90">
        <v>2023</v>
      </c>
      <c r="O90" s="2" t="s">
        <v>27</v>
      </c>
      <c r="P90" s="2" t="s">
        <v>130</v>
      </c>
      <c r="Q90">
        <v>2</v>
      </c>
      <c r="R90" s="4">
        <v>44958</v>
      </c>
      <c r="S90" s="3">
        <v>2302200</v>
      </c>
      <c r="T90" s="3">
        <v>35.22</v>
      </c>
    </row>
    <row r="91" spans="1:20" hidden="1" x14ac:dyDescent="0.3">
      <c r="A91" s="1">
        <v>44959</v>
      </c>
      <c r="B91" s="2" t="s">
        <v>46</v>
      </c>
      <c r="C91" s="2" t="s">
        <v>110</v>
      </c>
      <c r="D91" s="2" t="s">
        <v>22</v>
      </c>
      <c r="E91" s="2" t="s">
        <v>23</v>
      </c>
      <c r="F91" s="2" t="s">
        <v>24</v>
      </c>
      <c r="G91">
        <v>82</v>
      </c>
      <c r="H91">
        <v>520</v>
      </c>
      <c r="I91">
        <v>6</v>
      </c>
      <c r="J91" s="3">
        <v>6951500</v>
      </c>
      <c r="K91" s="3">
        <v>41709000</v>
      </c>
      <c r="L91" s="2" t="s">
        <v>33</v>
      </c>
      <c r="M91" s="2" t="s">
        <v>34</v>
      </c>
      <c r="N91">
        <v>2023</v>
      </c>
      <c r="O91" s="2" t="s">
        <v>27</v>
      </c>
      <c r="P91" s="2" t="s">
        <v>130</v>
      </c>
      <c r="Q91">
        <v>2</v>
      </c>
      <c r="R91" s="4">
        <v>44958</v>
      </c>
      <c r="S91" s="3">
        <v>6951500</v>
      </c>
      <c r="T91" s="3">
        <v>4.17</v>
      </c>
    </row>
    <row r="92" spans="1:20" hidden="1" x14ac:dyDescent="0.3">
      <c r="A92" s="1">
        <v>44959</v>
      </c>
      <c r="B92" s="2" t="s">
        <v>108</v>
      </c>
      <c r="C92" s="2" t="s">
        <v>131</v>
      </c>
      <c r="D92" s="2" t="s">
        <v>67</v>
      </c>
      <c r="E92" s="2" t="s">
        <v>118</v>
      </c>
      <c r="F92" s="2" t="s">
        <v>24</v>
      </c>
      <c r="G92">
        <v>84</v>
      </c>
      <c r="H92">
        <v>590</v>
      </c>
      <c r="I92">
        <v>14</v>
      </c>
      <c r="J92" s="3">
        <v>8083700</v>
      </c>
      <c r="K92" s="3">
        <v>113171800</v>
      </c>
      <c r="L92" s="2" t="s">
        <v>33</v>
      </c>
      <c r="M92" s="2" t="s">
        <v>26</v>
      </c>
      <c r="N92">
        <v>2023</v>
      </c>
      <c r="O92" s="2" t="s">
        <v>27</v>
      </c>
      <c r="P92" s="2" t="s">
        <v>130</v>
      </c>
      <c r="Q92">
        <v>2</v>
      </c>
      <c r="R92" s="4">
        <v>44958</v>
      </c>
      <c r="S92" s="3">
        <v>8083700</v>
      </c>
      <c r="T92" s="3">
        <v>11.32</v>
      </c>
    </row>
    <row r="93" spans="1:20" hidden="1" x14ac:dyDescent="0.3">
      <c r="A93" s="1">
        <v>44959</v>
      </c>
      <c r="B93" s="2" t="s">
        <v>46</v>
      </c>
      <c r="C93" s="2" t="s">
        <v>56</v>
      </c>
      <c r="D93" s="2" t="s">
        <v>31</v>
      </c>
      <c r="E93" s="2" t="s">
        <v>124</v>
      </c>
      <c r="F93" s="2" t="s">
        <v>24</v>
      </c>
      <c r="G93">
        <v>3</v>
      </c>
      <c r="H93">
        <v>151</v>
      </c>
      <c r="I93">
        <v>80</v>
      </c>
      <c r="J93" s="3">
        <v>95300</v>
      </c>
      <c r="K93" s="3">
        <v>7624000</v>
      </c>
      <c r="L93" s="2" t="s">
        <v>33</v>
      </c>
      <c r="M93" s="2" t="s">
        <v>26</v>
      </c>
      <c r="N93">
        <v>2023</v>
      </c>
      <c r="O93" s="2" t="s">
        <v>27</v>
      </c>
      <c r="P93" s="2" t="s">
        <v>130</v>
      </c>
      <c r="Q93">
        <v>2</v>
      </c>
      <c r="R93" s="4">
        <v>44958</v>
      </c>
      <c r="S93" s="3">
        <v>95300</v>
      </c>
      <c r="T93" s="3">
        <v>0.76</v>
      </c>
    </row>
    <row r="94" spans="1:20" hidden="1" x14ac:dyDescent="0.3">
      <c r="A94" s="1">
        <v>44960</v>
      </c>
      <c r="B94" s="2" t="s">
        <v>35</v>
      </c>
      <c r="C94" s="2" t="s">
        <v>132</v>
      </c>
      <c r="D94" s="2" t="s">
        <v>100</v>
      </c>
      <c r="E94" s="2" t="s">
        <v>101</v>
      </c>
      <c r="F94" s="2" t="s">
        <v>24</v>
      </c>
      <c r="G94">
        <v>3</v>
      </c>
      <c r="H94">
        <v>150</v>
      </c>
      <c r="I94">
        <v>68</v>
      </c>
      <c r="J94" s="3">
        <v>163900</v>
      </c>
      <c r="K94" s="3">
        <v>11145200</v>
      </c>
      <c r="L94" s="2" t="s">
        <v>92</v>
      </c>
      <c r="M94" s="2" t="s">
        <v>26</v>
      </c>
      <c r="N94">
        <v>2023</v>
      </c>
      <c r="O94" s="2" t="s">
        <v>27</v>
      </c>
      <c r="P94" s="2" t="s">
        <v>130</v>
      </c>
      <c r="Q94">
        <v>2</v>
      </c>
      <c r="R94" s="4">
        <v>44958</v>
      </c>
      <c r="S94" s="3">
        <v>163900</v>
      </c>
      <c r="T94" s="3">
        <v>1.1100000000000001</v>
      </c>
    </row>
    <row r="95" spans="1:20" hidden="1" x14ac:dyDescent="0.3">
      <c r="A95" s="1">
        <v>44961</v>
      </c>
      <c r="B95" s="2" t="s">
        <v>106</v>
      </c>
      <c r="C95" s="2" t="s">
        <v>120</v>
      </c>
      <c r="D95" s="2" t="s">
        <v>57</v>
      </c>
      <c r="E95" s="2" t="s">
        <v>58</v>
      </c>
      <c r="F95" s="2" t="s">
        <v>24</v>
      </c>
      <c r="G95">
        <v>72</v>
      </c>
      <c r="H95">
        <v>488</v>
      </c>
      <c r="I95">
        <v>122</v>
      </c>
      <c r="J95" s="3">
        <v>5522700</v>
      </c>
      <c r="K95" s="3">
        <v>673769400</v>
      </c>
      <c r="L95" s="2" t="s">
        <v>33</v>
      </c>
      <c r="M95" s="2" t="s">
        <v>77</v>
      </c>
      <c r="N95">
        <v>2023</v>
      </c>
      <c r="O95" s="2" t="s">
        <v>27</v>
      </c>
      <c r="P95" s="2" t="s">
        <v>130</v>
      </c>
      <c r="Q95">
        <v>2</v>
      </c>
      <c r="R95" s="4">
        <v>44958</v>
      </c>
      <c r="S95" s="3">
        <v>5522700</v>
      </c>
      <c r="T95" s="3">
        <v>67.38</v>
      </c>
    </row>
    <row r="96" spans="1:20" hidden="1" x14ac:dyDescent="0.3">
      <c r="A96" s="1">
        <v>44962</v>
      </c>
      <c r="B96" s="2" t="s">
        <v>46</v>
      </c>
      <c r="C96" s="2" t="s">
        <v>47</v>
      </c>
      <c r="D96" s="2" t="s">
        <v>50</v>
      </c>
      <c r="E96" s="2" t="s">
        <v>51</v>
      </c>
      <c r="F96" s="2" t="s">
        <v>24</v>
      </c>
      <c r="G96">
        <v>77</v>
      </c>
      <c r="H96">
        <v>528</v>
      </c>
      <c r="I96">
        <v>66</v>
      </c>
      <c r="J96" s="3">
        <v>5737200</v>
      </c>
      <c r="K96" s="3">
        <v>378655200</v>
      </c>
      <c r="L96" s="2" t="s">
        <v>33</v>
      </c>
      <c r="M96" s="2" t="s">
        <v>97</v>
      </c>
      <c r="N96">
        <v>2023</v>
      </c>
      <c r="O96" s="2" t="s">
        <v>27</v>
      </c>
      <c r="P96" s="2" t="s">
        <v>130</v>
      </c>
      <c r="Q96">
        <v>2</v>
      </c>
      <c r="R96" s="4">
        <v>44958</v>
      </c>
      <c r="S96" s="3">
        <v>5737200</v>
      </c>
      <c r="T96" s="3">
        <v>37.869999999999997</v>
      </c>
    </row>
    <row r="97" spans="1:20" hidden="1" x14ac:dyDescent="0.3">
      <c r="A97" s="1">
        <v>44963</v>
      </c>
      <c r="B97" s="2" t="s">
        <v>108</v>
      </c>
      <c r="C97" s="2" t="s">
        <v>133</v>
      </c>
      <c r="D97" s="2" t="s">
        <v>102</v>
      </c>
      <c r="E97" s="2" t="s">
        <v>103</v>
      </c>
      <c r="F97" s="2" t="s">
        <v>24</v>
      </c>
      <c r="G97">
        <v>5</v>
      </c>
      <c r="H97">
        <v>150</v>
      </c>
      <c r="I97">
        <v>81</v>
      </c>
      <c r="J97" s="3">
        <v>162700</v>
      </c>
      <c r="K97" s="3">
        <v>13178700</v>
      </c>
      <c r="L97" s="2" t="s">
        <v>33</v>
      </c>
      <c r="M97" s="2" t="s">
        <v>77</v>
      </c>
      <c r="N97">
        <v>2023</v>
      </c>
      <c r="O97" s="2" t="s">
        <v>27</v>
      </c>
      <c r="P97" s="2" t="s">
        <v>130</v>
      </c>
      <c r="Q97">
        <v>2</v>
      </c>
      <c r="R97" s="4">
        <v>44958</v>
      </c>
      <c r="S97" s="3">
        <v>162700</v>
      </c>
      <c r="T97" s="3">
        <v>1.32</v>
      </c>
    </row>
    <row r="98" spans="1:20" hidden="1" x14ac:dyDescent="0.3">
      <c r="A98" s="1">
        <v>44963</v>
      </c>
      <c r="B98" s="2" t="s">
        <v>84</v>
      </c>
      <c r="C98" s="2" t="s">
        <v>126</v>
      </c>
      <c r="D98" s="2" t="s">
        <v>42</v>
      </c>
      <c r="E98" s="2" t="s">
        <v>43</v>
      </c>
      <c r="F98" s="2" t="s">
        <v>24</v>
      </c>
      <c r="G98">
        <v>3</v>
      </c>
      <c r="H98">
        <v>135</v>
      </c>
      <c r="I98">
        <v>18</v>
      </c>
      <c r="J98" s="3">
        <v>101200</v>
      </c>
      <c r="K98" s="3">
        <v>1821600</v>
      </c>
      <c r="L98" s="2" t="s">
        <v>25</v>
      </c>
      <c r="M98" s="2" t="s">
        <v>26</v>
      </c>
      <c r="N98">
        <v>2023</v>
      </c>
      <c r="O98" s="2" t="s">
        <v>27</v>
      </c>
      <c r="P98" s="2" t="s">
        <v>130</v>
      </c>
      <c r="Q98">
        <v>2</v>
      </c>
      <c r="R98" s="4">
        <v>44958</v>
      </c>
      <c r="S98" s="3">
        <v>101200</v>
      </c>
      <c r="T98" s="3">
        <v>0.18</v>
      </c>
    </row>
    <row r="99" spans="1:20" hidden="1" x14ac:dyDescent="0.3">
      <c r="A99" s="1">
        <v>44963</v>
      </c>
      <c r="B99" s="2" t="s">
        <v>59</v>
      </c>
      <c r="C99" s="2" t="s">
        <v>81</v>
      </c>
      <c r="D99" s="2" t="s">
        <v>102</v>
      </c>
      <c r="E99" s="2" t="s">
        <v>103</v>
      </c>
      <c r="F99" s="2" t="s">
        <v>24</v>
      </c>
      <c r="G99">
        <v>5</v>
      </c>
      <c r="H99">
        <v>150</v>
      </c>
      <c r="I99">
        <v>134</v>
      </c>
      <c r="J99" s="3">
        <v>181500</v>
      </c>
      <c r="K99" s="3">
        <v>24321000</v>
      </c>
      <c r="L99" s="2" t="s">
        <v>33</v>
      </c>
      <c r="M99" s="2" t="s">
        <v>26</v>
      </c>
      <c r="N99">
        <v>2023</v>
      </c>
      <c r="O99" s="2" t="s">
        <v>27</v>
      </c>
      <c r="P99" s="2" t="s">
        <v>130</v>
      </c>
      <c r="Q99">
        <v>2</v>
      </c>
      <c r="R99" s="4">
        <v>44958</v>
      </c>
      <c r="S99" s="3">
        <v>181500</v>
      </c>
      <c r="T99" s="3">
        <v>2.4300000000000002</v>
      </c>
    </row>
    <row r="100" spans="1:20" hidden="1" x14ac:dyDescent="0.3">
      <c r="A100" s="1">
        <v>44963</v>
      </c>
      <c r="B100" s="2" t="s">
        <v>48</v>
      </c>
      <c r="C100" s="2" t="s">
        <v>69</v>
      </c>
      <c r="D100" s="2" t="s">
        <v>88</v>
      </c>
      <c r="E100" s="2" t="s">
        <v>111</v>
      </c>
      <c r="F100" s="2" t="s">
        <v>72</v>
      </c>
      <c r="G100">
        <v>60</v>
      </c>
      <c r="H100">
        <v>480</v>
      </c>
      <c r="I100">
        <v>39</v>
      </c>
      <c r="J100" s="3">
        <v>3635200</v>
      </c>
      <c r="K100" s="3">
        <v>141772800</v>
      </c>
      <c r="L100" s="2" t="s">
        <v>33</v>
      </c>
      <c r="M100" s="2" t="s">
        <v>34</v>
      </c>
      <c r="N100">
        <v>2023</v>
      </c>
      <c r="O100" s="2" t="s">
        <v>27</v>
      </c>
      <c r="P100" s="2" t="s">
        <v>130</v>
      </c>
      <c r="Q100">
        <v>2</v>
      </c>
      <c r="R100" s="4">
        <v>44958</v>
      </c>
      <c r="S100" s="3">
        <v>3635200</v>
      </c>
      <c r="T100" s="3">
        <v>14.18</v>
      </c>
    </row>
    <row r="101" spans="1:20" hidden="1" x14ac:dyDescent="0.3">
      <c r="A101" s="1">
        <v>44963</v>
      </c>
      <c r="B101" s="2" t="s">
        <v>75</v>
      </c>
      <c r="C101" s="2" t="s">
        <v>134</v>
      </c>
      <c r="D101" s="2" t="s">
        <v>63</v>
      </c>
      <c r="E101" s="2" t="s">
        <v>64</v>
      </c>
      <c r="F101" s="2" t="s">
        <v>24</v>
      </c>
      <c r="G101">
        <v>3</v>
      </c>
      <c r="H101">
        <v>127</v>
      </c>
      <c r="I101">
        <v>71</v>
      </c>
      <c r="J101" s="3">
        <v>170800</v>
      </c>
      <c r="K101" s="3">
        <v>12126800</v>
      </c>
      <c r="L101" s="2" t="s">
        <v>33</v>
      </c>
      <c r="M101" s="2" t="s">
        <v>77</v>
      </c>
      <c r="N101">
        <v>2023</v>
      </c>
      <c r="O101" s="2" t="s">
        <v>27</v>
      </c>
      <c r="P101" s="2" t="s">
        <v>130</v>
      </c>
      <c r="Q101">
        <v>2</v>
      </c>
      <c r="R101" s="4">
        <v>44958</v>
      </c>
      <c r="S101" s="3">
        <v>170800</v>
      </c>
      <c r="T101" s="3">
        <v>1.21</v>
      </c>
    </row>
    <row r="102" spans="1:20" hidden="1" x14ac:dyDescent="0.3">
      <c r="A102" s="1">
        <v>44964</v>
      </c>
      <c r="B102" s="2" t="s">
        <v>90</v>
      </c>
      <c r="C102" s="2" t="s">
        <v>128</v>
      </c>
      <c r="D102" s="2" t="s">
        <v>79</v>
      </c>
      <c r="E102" s="2" t="s">
        <v>80</v>
      </c>
      <c r="F102" s="2" t="s">
        <v>39</v>
      </c>
      <c r="G102">
        <v>69</v>
      </c>
      <c r="H102">
        <v>418</v>
      </c>
      <c r="I102">
        <v>34</v>
      </c>
      <c r="J102" s="3">
        <v>5705800</v>
      </c>
      <c r="K102" s="3">
        <v>193997200</v>
      </c>
      <c r="L102" s="2" t="s">
        <v>33</v>
      </c>
      <c r="M102" s="2" t="s">
        <v>26</v>
      </c>
      <c r="N102">
        <v>2023</v>
      </c>
      <c r="O102" s="2" t="s">
        <v>27</v>
      </c>
      <c r="P102" s="2" t="s">
        <v>130</v>
      </c>
      <c r="Q102">
        <v>2</v>
      </c>
      <c r="R102" s="4">
        <v>44958</v>
      </c>
      <c r="S102" s="3">
        <v>5705800</v>
      </c>
      <c r="T102" s="3">
        <v>19.399999999999999</v>
      </c>
    </row>
    <row r="103" spans="1:20" hidden="1" x14ac:dyDescent="0.3">
      <c r="A103" s="1">
        <v>44964</v>
      </c>
      <c r="B103" s="2" t="s">
        <v>48</v>
      </c>
      <c r="C103" s="2" t="s">
        <v>98</v>
      </c>
      <c r="D103" s="2" t="s">
        <v>22</v>
      </c>
      <c r="E103" s="2" t="s">
        <v>23</v>
      </c>
      <c r="F103" s="2" t="s">
        <v>24</v>
      </c>
      <c r="G103">
        <v>82</v>
      </c>
      <c r="H103">
        <v>520</v>
      </c>
      <c r="I103">
        <v>28</v>
      </c>
      <c r="J103" s="3">
        <v>6307800</v>
      </c>
      <c r="K103" s="3">
        <v>176618400</v>
      </c>
      <c r="L103" s="2" t="s">
        <v>33</v>
      </c>
      <c r="M103" s="2" t="s">
        <v>77</v>
      </c>
      <c r="N103">
        <v>2023</v>
      </c>
      <c r="O103" s="2" t="s">
        <v>27</v>
      </c>
      <c r="P103" s="2" t="s">
        <v>130</v>
      </c>
      <c r="Q103">
        <v>2</v>
      </c>
      <c r="R103" s="4">
        <v>44958</v>
      </c>
      <c r="S103" s="3">
        <v>6307800</v>
      </c>
      <c r="T103" s="3">
        <v>17.66</v>
      </c>
    </row>
    <row r="104" spans="1:20" hidden="1" x14ac:dyDescent="0.3">
      <c r="A104" s="1">
        <v>44964</v>
      </c>
      <c r="B104" s="2" t="s">
        <v>35</v>
      </c>
      <c r="C104" s="2" t="s">
        <v>87</v>
      </c>
      <c r="D104" s="2" t="s">
        <v>100</v>
      </c>
      <c r="E104" s="2" t="s">
        <v>101</v>
      </c>
      <c r="F104" s="2" t="s">
        <v>24</v>
      </c>
      <c r="G104">
        <v>3</v>
      </c>
      <c r="H104">
        <v>150</v>
      </c>
      <c r="I104">
        <v>123</v>
      </c>
      <c r="J104" s="3">
        <v>171900</v>
      </c>
      <c r="K104" s="3">
        <v>21143700</v>
      </c>
      <c r="L104" s="2" t="s">
        <v>33</v>
      </c>
      <c r="M104" s="2" t="s">
        <v>26</v>
      </c>
      <c r="N104">
        <v>2023</v>
      </c>
      <c r="O104" s="2" t="s">
        <v>27</v>
      </c>
      <c r="P104" s="2" t="s">
        <v>130</v>
      </c>
      <c r="Q104">
        <v>2</v>
      </c>
      <c r="R104" s="4">
        <v>44958</v>
      </c>
      <c r="S104" s="3">
        <v>171900</v>
      </c>
      <c r="T104" s="3">
        <v>2.11</v>
      </c>
    </row>
    <row r="105" spans="1:20" hidden="1" x14ac:dyDescent="0.3">
      <c r="A105" s="1">
        <v>44964</v>
      </c>
      <c r="B105" s="2" t="s">
        <v>46</v>
      </c>
      <c r="C105" s="2" t="s">
        <v>110</v>
      </c>
      <c r="D105" s="2" t="s">
        <v>88</v>
      </c>
      <c r="E105" s="2" t="s">
        <v>89</v>
      </c>
      <c r="F105" s="2" t="s">
        <v>39</v>
      </c>
      <c r="G105">
        <v>82</v>
      </c>
      <c r="H105">
        <v>580</v>
      </c>
      <c r="I105">
        <v>72</v>
      </c>
      <c r="J105" s="3">
        <v>5343000</v>
      </c>
      <c r="K105" s="3">
        <v>384696000</v>
      </c>
      <c r="L105" s="2" t="s">
        <v>92</v>
      </c>
      <c r="M105" s="2" t="s">
        <v>26</v>
      </c>
      <c r="N105">
        <v>2023</v>
      </c>
      <c r="O105" s="2" t="s">
        <v>27</v>
      </c>
      <c r="P105" s="2" t="s">
        <v>130</v>
      </c>
      <c r="Q105">
        <v>2</v>
      </c>
      <c r="R105" s="4">
        <v>44958</v>
      </c>
      <c r="S105" s="3">
        <v>5343000</v>
      </c>
      <c r="T105" s="3">
        <v>38.47</v>
      </c>
    </row>
    <row r="106" spans="1:20" hidden="1" x14ac:dyDescent="0.3">
      <c r="A106" s="1">
        <v>44964</v>
      </c>
      <c r="B106" s="2" t="s">
        <v>35</v>
      </c>
      <c r="C106" s="2" t="s">
        <v>121</v>
      </c>
      <c r="D106" s="2" t="s">
        <v>63</v>
      </c>
      <c r="E106" s="2" t="s">
        <v>64</v>
      </c>
      <c r="F106" s="2" t="s">
        <v>24</v>
      </c>
      <c r="G106">
        <v>3</v>
      </c>
      <c r="H106">
        <v>127</v>
      </c>
      <c r="I106">
        <v>54</v>
      </c>
      <c r="J106" s="3">
        <v>141800</v>
      </c>
      <c r="K106" s="3">
        <v>7657200</v>
      </c>
      <c r="L106" s="2" t="s">
        <v>33</v>
      </c>
      <c r="M106" s="2" t="s">
        <v>34</v>
      </c>
      <c r="N106">
        <v>2023</v>
      </c>
      <c r="O106" s="2" t="s">
        <v>27</v>
      </c>
      <c r="P106" s="2" t="s">
        <v>130</v>
      </c>
      <c r="Q106">
        <v>2</v>
      </c>
      <c r="R106" s="4">
        <v>44958</v>
      </c>
      <c r="S106" s="3">
        <v>141800</v>
      </c>
      <c r="T106" s="3">
        <v>0.77</v>
      </c>
    </row>
    <row r="107" spans="1:20" hidden="1" x14ac:dyDescent="0.3">
      <c r="A107" s="1">
        <v>44965</v>
      </c>
      <c r="B107" s="2" t="s">
        <v>29</v>
      </c>
      <c r="C107" s="2" t="s">
        <v>30</v>
      </c>
      <c r="D107" s="2" t="s">
        <v>102</v>
      </c>
      <c r="E107" s="2" t="s">
        <v>103</v>
      </c>
      <c r="F107" s="2" t="s">
        <v>24</v>
      </c>
      <c r="G107">
        <v>5</v>
      </c>
      <c r="H107">
        <v>150</v>
      </c>
      <c r="I107">
        <v>36</v>
      </c>
      <c r="J107" s="3">
        <v>164300</v>
      </c>
      <c r="K107" s="3">
        <v>5914800</v>
      </c>
      <c r="L107" s="2" t="s">
        <v>25</v>
      </c>
      <c r="M107" s="2" t="s">
        <v>26</v>
      </c>
      <c r="N107">
        <v>2023</v>
      </c>
      <c r="O107" s="2" t="s">
        <v>27</v>
      </c>
      <c r="P107" s="2" t="s">
        <v>130</v>
      </c>
      <c r="Q107">
        <v>2</v>
      </c>
      <c r="R107" s="4">
        <v>44958</v>
      </c>
      <c r="S107" s="3">
        <v>164300</v>
      </c>
      <c r="T107" s="3">
        <v>0.59</v>
      </c>
    </row>
    <row r="108" spans="1:20" hidden="1" x14ac:dyDescent="0.3">
      <c r="A108" s="1">
        <v>44965</v>
      </c>
      <c r="B108" s="2" t="s">
        <v>75</v>
      </c>
      <c r="C108" s="2" t="s">
        <v>122</v>
      </c>
      <c r="D108" s="2" t="s">
        <v>100</v>
      </c>
      <c r="E108" s="2" t="s">
        <v>101</v>
      </c>
      <c r="F108" s="2" t="s">
        <v>24</v>
      </c>
      <c r="G108">
        <v>3</v>
      </c>
      <c r="H108">
        <v>150</v>
      </c>
      <c r="I108">
        <v>169</v>
      </c>
      <c r="J108" s="3">
        <v>131200</v>
      </c>
      <c r="K108" s="3">
        <v>22172800</v>
      </c>
      <c r="L108" s="2" t="s">
        <v>25</v>
      </c>
      <c r="M108" s="2" t="s">
        <v>97</v>
      </c>
      <c r="N108">
        <v>2023</v>
      </c>
      <c r="O108" s="2" t="s">
        <v>27</v>
      </c>
      <c r="P108" s="2" t="s">
        <v>130</v>
      </c>
      <c r="Q108">
        <v>2</v>
      </c>
      <c r="R108" s="4">
        <v>44958</v>
      </c>
      <c r="S108" s="3">
        <v>131200</v>
      </c>
      <c r="T108" s="3">
        <v>2.2200000000000002</v>
      </c>
    </row>
    <row r="109" spans="1:20" hidden="1" x14ac:dyDescent="0.3">
      <c r="A109" s="1">
        <v>44966</v>
      </c>
      <c r="B109" s="2" t="s">
        <v>59</v>
      </c>
      <c r="C109" s="2" t="s">
        <v>135</v>
      </c>
      <c r="D109" s="2" t="s">
        <v>79</v>
      </c>
      <c r="E109" s="2" t="s">
        <v>80</v>
      </c>
      <c r="F109" s="2" t="s">
        <v>72</v>
      </c>
      <c r="G109">
        <v>69</v>
      </c>
      <c r="H109">
        <v>418</v>
      </c>
      <c r="I109">
        <v>60</v>
      </c>
      <c r="J109" s="3">
        <v>4917300</v>
      </c>
      <c r="K109" s="3">
        <v>295038000</v>
      </c>
      <c r="L109" s="2" t="s">
        <v>33</v>
      </c>
      <c r="M109" s="2" t="s">
        <v>26</v>
      </c>
      <c r="N109">
        <v>2023</v>
      </c>
      <c r="O109" s="2" t="s">
        <v>27</v>
      </c>
      <c r="P109" s="2" t="s">
        <v>130</v>
      </c>
      <c r="Q109">
        <v>2</v>
      </c>
      <c r="R109" s="4">
        <v>44958</v>
      </c>
      <c r="S109" s="3">
        <v>4917300</v>
      </c>
      <c r="T109" s="3">
        <v>29.5</v>
      </c>
    </row>
    <row r="110" spans="1:20" hidden="1" x14ac:dyDescent="0.3">
      <c r="A110" s="1">
        <v>44966</v>
      </c>
      <c r="B110" s="2" t="s">
        <v>40</v>
      </c>
      <c r="C110" s="2" t="s">
        <v>41</v>
      </c>
      <c r="D110" s="2" t="s">
        <v>94</v>
      </c>
      <c r="E110" s="2" t="s">
        <v>115</v>
      </c>
      <c r="F110" s="2" t="s">
        <v>24</v>
      </c>
      <c r="G110">
        <v>24</v>
      </c>
      <c r="H110">
        <v>24</v>
      </c>
      <c r="I110">
        <v>135</v>
      </c>
      <c r="J110" s="3">
        <v>1476900</v>
      </c>
      <c r="K110" s="3">
        <v>199381500</v>
      </c>
      <c r="L110" s="2" t="s">
        <v>33</v>
      </c>
      <c r="M110" s="2" t="s">
        <v>26</v>
      </c>
      <c r="N110">
        <v>2023</v>
      </c>
      <c r="O110" s="2" t="s">
        <v>27</v>
      </c>
      <c r="P110" s="2" t="s">
        <v>130</v>
      </c>
      <c r="Q110">
        <v>2</v>
      </c>
      <c r="R110" s="4">
        <v>44958</v>
      </c>
      <c r="S110" s="3">
        <v>1476900</v>
      </c>
      <c r="T110" s="3">
        <v>19.940000000000001</v>
      </c>
    </row>
    <row r="111" spans="1:20" hidden="1" x14ac:dyDescent="0.3">
      <c r="A111" s="1">
        <v>44967</v>
      </c>
      <c r="B111" s="2" t="s">
        <v>106</v>
      </c>
      <c r="C111" s="2" t="s">
        <v>120</v>
      </c>
      <c r="D111" s="2" t="s">
        <v>79</v>
      </c>
      <c r="E111" s="2" t="s">
        <v>80</v>
      </c>
      <c r="F111" s="2" t="s">
        <v>24</v>
      </c>
      <c r="G111">
        <v>69</v>
      </c>
      <c r="H111">
        <v>418</v>
      </c>
      <c r="I111">
        <v>36</v>
      </c>
      <c r="J111" s="3">
        <v>5921900</v>
      </c>
      <c r="K111" s="3">
        <v>213188400</v>
      </c>
      <c r="L111" s="2" t="s">
        <v>33</v>
      </c>
      <c r="M111" s="2" t="s">
        <v>26</v>
      </c>
      <c r="N111">
        <v>2023</v>
      </c>
      <c r="O111" s="2" t="s">
        <v>27</v>
      </c>
      <c r="P111" s="2" t="s">
        <v>130</v>
      </c>
      <c r="Q111">
        <v>2</v>
      </c>
      <c r="R111" s="4">
        <v>44958</v>
      </c>
      <c r="S111" s="3">
        <v>5921900</v>
      </c>
      <c r="T111" s="3">
        <v>21.32</v>
      </c>
    </row>
    <row r="112" spans="1:20" hidden="1" x14ac:dyDescent="0.3">
      <c r="A112" s="1">
        <v>44967</v>
      </c>
      <c r="B112" s="2" t="s">
        <v>46</v>
      </c>
      <c r="C112" s="2" t="s">
        <v>56</v>
      </c>
      <c r="D112" s="2" t="s">
        <v>94</v>
      </c>
      <c r="E112" s="2" t="s">
        <v>95</v>
      </c>
      <c r="F112" s="2" t="s">
        <v>24</v>
      </c>
      <c r="G112">
        <v>40</v>
      </c>
      <c r="H112">
        <v>30</v>
      </c>
      <c r="I112">
        <v>131</v>
      </c>
      <c r="J112" s="3">
        <v>2521100</v>
      </c>
      <c r="K112" s="3">
        <v>330264100</v>
      </c>
      <c r="L112" s="2" t="s">
        <v>25</v>
      </c>
      <c r="M112" s="2" t="s">
        <v>26</v>
      </c>
      <c r="N112">
        <v>2023</v>
      </c>
      <c r="O112" s="2" t="s">
        <v>27</v>
      </c>
      <c r="P112" s="2" t="s">
        <v>130</v>
      </c>
      <c r="Q112">
        <v>2</v>
      </c>
      <c r="R112" s="4">
        <v>44958</v>
      </c>
      <c r="S112" s="3">
        <v>2521100</v>
      </c>
      <c r="T112" s="3">
        <v>33.03</v>
      </c>
    </row>
    <row r="113" spans="1:20" hidden="1" x14ac:dyDescent="0.3">
      <c r="A113" s="1">
        <v>44968</v>
      </c>
      <c r="B113" s="2" t="s">
        <v>84</v>
      </c>
      <c r="C113" s="2" t="s">
        <v>93</v>
      </c>
      <c r="D113" s="2" t="s">
        <v>67</v>
      </c>
      <c r="E113" s="2" t="s">
        <v>68</v>
      </c>
      <c r="F113" s="2" t="s">
        <v>24</v>
      </c>
      <c r="G113">
        <v>66</v>
      </c>
      <c r="H113">
        <v>440</v>
      </c>
      <c r="I113">
        <v>11</v>
      </c>
      <c r="J113" s="3">
        <v>5455300</v>
      </c>
      <c r="K113" s="3">
        <v>60008300</v>
      </c>
      <c r="L113" s="2" t="s">
        <v>25</v>
      </c>
      <c r="M113" s="2" t="s">
        <v>34</v>
      </c>
      <c r="N113">
        <v>2023</v>
      </c>
      <c r="O113" s="2" t="s">
        <v>27</v>
      </c>
      <c r="P113" s="2" t="s">
        <v>130</v>
      </c>
      <c r="Q113">
        <v>2</v>
      </c>
      <c r="R113" s="4">
        <v>44958</v>
      </c>
      <c r="S113" s="3">
        <v>5455300</v>
      </c>
      <c r="T113" s="3">
        <v>6</v>
      </c>
    </row>
    <row r="114" spans="1:20" hidden="1" x14ac:dyDescent="0.3">
      <c r="A114" s="1">
        <v>44969</v>
      </c>
      <c r="B114" s="2" t="s">
        <v>84</v>
      </c>
      <c r="C114" s="2" t="s">
        <v>85</v>
      </c>
      <c r="D114" s="2" t="s">
        <v>31</v>
      </c>
      <c r="E114" s="2" t="s">
        <v>124</v>
      </c>
      <c r="F114" s="2" t="s">
        <v>24</v>
      </c>
      <c r="G114">
        <v>3</v>
      </c>
      <c r="H114">
        <v>151</v>
      </c>
      <c r="I114">
        <v>89</v>
      </c>
      <c r="J114" s="3">
        <v>126000</v>
      </c>
      <c r="K114" s="3">
        <v>11214000</v>
      </c>
      <c r="L114" s="2" t="s">
        <v>33</v>
      </c>
      <c r="M114" s="2" t="s">
        <v>26</v>
      </c>
      <c r="N114">
        <v>2023</v>
      </c>
      <c r="O114" s="2" t="s">
        <v>27</v>
      </c>
      <c r="P114" s="2" t="s">
        <v>130</v>
      </c>
      <c r="Q114">
        <v>2</v>
      </c>
      <c r="R114" s="4">
        <v>44958</v>
      </c>
      <c r="S114" s="3">
        <v>126000</v>
      </c>
      <c r="T114" s="3">
        <v>1.1200000000000001</v>
      </c>
    </row>
    <row r="115" spans="1:20" hidden="1" x14ac:dyDescent="0.3">
      <c r="A115" s="1">
        <v>44969</v>
      </c>
      <c r="B115" s="2" t="s">
        <v>29</v>
      </c>
      <c r="C115" s="2" t="s">
        <v>65</v>
      </c>
      <c r="D115" s="2" t="s">
        <v>37</v>
      </c>
      <c r="E115" s="2" t="s">
        <v>38</v>
      </c>
      <c r="F115" s="2" t="s">
        <v>24</v>
      </c>
      <c r="G115">
        <v>66</v>
      </c>
      <c r="H115">
        <v>423</v>
      </c>
      <c r="I115">
        <v>30</v>
      </c>
      <c r="J115" s="3">
        <v>7120000</v>
      </c>
      <c r="K115" s="3">
        <v>213600000</v>
      </c>
      <c r="L115" s="2" t="s">
        <v>33</v>
      </c>
      <c r="M115" s="2" t="s">
        <v>26</v>
      </c>
      <c r="N115">
        <v>2023</v>
      </c>
      <c r="O115" s="2" t="s">
        <v>27</v>
      </c>
      <c r="P115" s="2" t="s">
        <v>130</v>
      </c>
      <c r="Q115">
        <v>2</v>
      </c>
      <c r="R115" s="4">
        <v>44958</v>
      </c>
      <c r="S115" s="3">
        <v>7120000</v>
      </c>
      <c r="T115" s="3">
        <v>21.36</v>
      </c>
    </row>
    <row r="116" spans="1:20" hidden="1" x14ac:dyDescent="0.3">
      <c r="A116" s="1">
        <v>44969</v>
      </c>
      <c r="B116" s="2" t="s">
        <v>40</v>
      </c>
      <c r="C116" s="2" t="s">
        <v>105</v>
      </c>
      <c r="D116" s="2" t="s">
        <v>54</v>
      </c>
      <c r="E116" s="2" t="s">
        <v>55</v>
      </c>
      <c r="F116" s="2" t="s">
        <v>39</v>
      </c>
      <c r="G116">
        <v>30</v>
      </c>
      <c r="H116">
        <v>320</v>
      </c>
      <c r="I116">
        <v>56</v>
      </c>
      <c r="J116" s="3">
        <v>1361400</v>
      </c>
      <c r="K116" s="3">
        <v>76238400</v>
      </c>
      <c r="L116" s="2" t="s">
        <v>33</v>
      </c>
      <c r="M116" s="2" t="s">
        <v>34</v>
      </c>
      <c r="N116">
        <v>2023</v>
      </c>
      <c r="O116" s="2" t="s">
        <v>27</v>
      </c>
      <c r="P116" s="2" t="s">
        <v>130</v>
      </c>
      <c r="Q116">
        <v>2</v>
      </c>
      <c r="R116" s="4">
        <v>44958</v>
      </c>
      <c r="S116" s="3">
        <v>1361400</v>
      </c>
      <c r="T116" s="3">
        <v>7.62</v>
      </c>
    </row>
    <row r="117" spans="1:20" hidden="1" x14ac:dyDescent="0.3">
      <c r="A117" s="1">
        <v>44969</v>
      </c>
      <c r="B117" s="2" t="s">
        <v>90</v>
      </c>
      <c r="C117" s="2" t="s">
        <v>99</v>
      </c>
      <c r="D117" s="2" t="s">
        <v>100</v>
      </c>
      <c r="E117" s="2" t="s">
        <v>101</v>
      </c>
      <c r="F117" s="2" t="s">
        <v>24</v>
      </c>
      <c r="G117">
        <v>3</v>
      </c>
      <c r="H117">
        <v>150</v>
      </c>
      <c r="I117">
        <v>109</v>
      </c>
      <c r="J117" s="3">
        <v>173800</v>
      </c>
      <c r="K117" s="3">
        <v>18944200</v>
      </c>
      <c r="L117" s="2" t="s">
        <v>33</v>
      </c>
      <c r="M117" s="2" t="s">
        <v>26</v>
      </c>
      <c r="N117">
        <v>2023</v>
      </c>
      <c r="O117" s="2" t="s">
        <v>27</v>
      </c>
      <c r="P117" s="2" t="s">
        <v>130</v>
      </c>
      <c r="Q117">
        <v>2</v>
      </c>
      <c r="R117" s="4">
        <v>44958</v>
      </c>
      <c r="S117" s="3">
        <v>173800</v>
      </c>
      <c r="T117" s="3">
        <v>1.89</v>
      </c>
    </row>
    <row r="118" spans="1:20" hidden="1" x14ac:dyDescent="0.3">
      <c r="A118" s="1">
        <v>44970</v>
      </c>
      <c r="B118" s="2" t="s">
        <v>46</v>
      </c>
      <c r="C118" s="2" t="s">
        <v>47</v>
      </c>
      <c r="D118" s="2" t="s">
        <v>67</v>
      </c>
      <c r="E118" s="2" t="s">
        <v>118</v>
      </c>
      <c r="F118" s="2" t="s">
        <v>24</v>
      </c>
      <c r="G118">
        <v>84</v>
      </c>
      <c r="H118">
        <v>590</v>
      </c>
      <c r="I118">
        <v>35</v>
      </c>
      <c r="J118" s="3">
        <v>7609800</v>
      </c>
      <c r="K118" s="3">
        <v>266343000</v>
      </c>
      <c r="L118" s="2" t="s">
        <v>33</v>
      </c>
      <c r="M118" s="2" t="s">
        <v>77</v>
      </c>
      <c r="N118">
        <v>2023</v>
      </c>
      <c r="O118" s="2" t="s">
        <v>27</v>
      </c>
      <c r="P118" s="2" t="s">
        <v>130</v>
      </c>
      <c r="Q118">
        <v>2</v>
      </c>
      <c r="R118" s="4">
        <v>44958</v>
      </c>
      <c r="S118" s="3">
        <v>7609800</v>
      </c>
      <c r="T118" s="3">
        <v>26.63</v>
      </c>
    </row>
    <row r="119" spans="1:20" hidden="1" x14ac:dyDescent="0.3">
      <c r="A119" s="1">
        <v>44970</v>
      </c>
      <c r="B119" s="2" t="s">
        <v>29</v>
      </c>
      <c r="C119" s="2" t="s">
        <v>65</v>
      </c>
      <c r="D119" s="2" t="s">
        <v>67</v>
      </c>
      <c r="E119" s="2" t="s">
        <v>118</v>
      </c>
      <c r="F119" s="2" t="s">
        <v>24</v>
      </c>
      <c r="G119">
        <v>84</v>
      </c>
      <c r="H119">
        <v>590</v>
      </c>
      <c r="I119">
        <v>25</v>
      </c>
      <c r="J119" s="3">
        <v>7915400</v>
      </c>
      <c r="K119" s="3">
        <v>197885000</v>
      </c>
      <c r="L119" s="2" t="s">
        <v>92</v>
      </c>
      <c r="M119" s="2" t="s">
        <v>26</v>
      </c>
      <c r="N119">
        <v>2023</v>
      </c>
      <c r="O119" s="2" t="s">
        <v>27</v>
      </c>
      <c r="P119" s="2" t="s">
        <v>130</v>
      </c>
      <c r="Q119">
        <v>2</v>
      </c>
      <c r="R119" s="4">
        <v>44958</v>
      </c>
      <c r="S119" s="3">
        <v>7915400</v>
      </c>
      <c r="T119" s="3">
        <v>19.79</v>
      </c>
    </row>
    <row r="120" spans="1:20" hidden="1" x14ac:dyDescent="0.3">
      <c r="A120" s="1">
        <v>44971</v>
      </c>
      <c r="B120" s="2" t="s">
        <v>35</v>
      </c>
      <c r="C120" s="2" t="s">
        <v>132</v>
      </c>
      <c r="D120" s="2" t="s">
        <v>42</v>
      </c>
      <c r="E120" s="2" t="s">
        <v>43</v>
      </c>
      <c r="F120" s="2" t="s">
        <v>24</v>
      </c>
      <c r="G120">
        <v>3</v>
      </c>
      <c r="H120">
        <v>135</v>
      </c>
      <c r="I120">
        <v>47</v>
      </c>
      <c r="J120" s="3">
        <v>118700</v>
      </c>
      <c r="K120" s="3">
        <v>5578900</v>
      </c>
      <c r="L120" s="2" t="s">
        <v>33</v>
      </c>
      <c r="M120" s="2" t="s">
        <v>77</v>
      </c>
      <c r="N120">
        <v>2023</v>
      </c>
      <c r="O120" s="2" t="s">
        <v>27</v>
      </c>
      <c r="P120" s="2" t="s">
        <v>130</v>
      </c>
      <c r="Q120">
        <v>2</v>
      </c>
      <c r="R120" s="4">
        <v>44958</v>
      </c>
      <c r="S120" s="3">
        <v>118700</v>
      </c>
      <c r="T120" s="3">
        <v>0.56000000000000005</v>
      </c>
    </row>
    <row r="121" spans="1:20" hidden="1" x14ac:dyDescent="0.3">
      <c r="A121" s="1">
        <v>44972</v>
      </c>
      <c r="B121" s="2" t="s">
        <v>75</v>
      </c>
      <c r="C121" s="2" t="s">
        <v>134</v>
      </c>
      <c r="D121" s="2" t="s">
        <v>94</v>
      </c>
      <c r="E121" s="2" t="s">
        <v>115</v>
      </c>
      <c r="F121" s="2" t="s">
        <v>24</v>
      </c>
      <c r="G121">
        <v>24</v>
      </c>
      <c r="H121">
        <v>24</v>
      </c>
      <c r="I121">
        <v>48</v>
      </c>
      <c r="J121" s="3">
        <v>1558900</v>
      </c>
      <c r="K121" s="3">
        <v>74827200</v>
      </c>
      <c r="L121" s="2" t="s">
        <v>33</v>
      </c>
      <c r="M121" s="2" t="s">
        <v>97</v>
      </c>
      <c r="N121">
        <v>2023</v>
      </c>
      <c r="O121" s="2" t="s">
        <v>27</v>
      </c>
      <c r="P121" s="2" t="s">
        <v>130</v>
      </c>
      <c r="Q121">
        <v>2</v>
      </c>
      <c r="R121" s="4">
        <v>44958</v>
      </c>
      <c r="S121" s="3">
        <v>1558900</v>
      </c>
      <c r="T121" s="3">
        <v>7.48</v>
      </c>
    </row>
    <row r="122" spans="1:20" hidden="1" x14ac:dyDescent="0.3">
      <c r="A122" s="1">
        <v>44973</v>
      </c>
      <c r="B122" s="2" t="s">
        <v>40</v>
      </c>
      <c r="C122" s="2" t="s">
        <v>105</v>
      </c>
      <c r="D122" s="2" t="s">
        <v>50</v>
      </c>
      <c r="E122" s="2" t="s">
        <v>51</v>
      </c>
      <c r="F122" s="2" t="s">
        <v>39</v>
      </c>
      <c r="G122">
        <v>77</v>
      </c>
      <c r="H122">
        <v>528</v>
      </c>
      <c r="I122">
        <v>67</v>
      </c>
      <c r="J122" s="3">
        <v>4549400</v>
      </c>
      <c r="K122" s="3">
        <v>304809800</v>
      </c>
      <c r="L122" s="2" t="s">
        <v>25</v>
      </c>
      <c r="M122" s="2" t="s">
        <v>26</v>
      </c>
      <c r="N122">
        <v>2023</v>
      </c>
      <c r="O122" s="2" t="s">
        <v>27</v>
      </c>
      <c r="P122" s="2" t="s">
        <v>130</v>
      </c>
      <c r="Q122">
        <v>2</v>
      </c>
      <c r="R122" s="4">
        <v>44958</v>
      </c>
      <c r="S122" s="3">
        <v>4549400</v>
      </c>
      <c r="T122" s="3">
        <v>30.48</v>
      </c>
    </row>
    <row r="123" spans="1:20" hidden="1" x14ac:dyDescent="0.3">
      <c r="A123" s="1">
        <v>44973</v>
      </c>
      <c r="B123" s="2" t="s">
        <v>48</v>
      </c>
      <c r="C123" s="2" t="s">
        <v>73</v>
      </c>
      <c r="D123" s="2" t="s">
        <v>37</v>
      </c>
      <c r="E123" s="2" t="s">
        <v>38</v>
      </c>
      <c r="F123" s="2" t="s">
        <v>72</v>
      </c>
      <c r="G123">
        <v>66</v>
      </c>
      <c r="H123">
        <v>423</v>
      </c>
      <c r="I123">
        <v>36</v>
      </c>
      <c r="J123" s="3">
        <v>9090800</v>
      </c>
      <c r="K123" s="3">
        <v>327268800</v>
      </c>
      <c r="L123" s="2" t="s">
        <v>25</v>
      </c>
      <c r="M123" s="2" t="s">
        <v>77</v>
      </c>
      <c r="N123">
        <v>2023</v>
      </c>
      <c r="O123" s="2" t="s">
        <v>27</v>
      </c>
      <c r="P123" s="2" t="s">
        <v>130</v>
      </c>
      <c r="Q123">
        <v>2</v>
      </c>
      <c r="R123" s="4">
        <v>44958</v>
      </c>
      <c r="S123" s="3">
        <v>9090800</v>
      </c>
      <c r="T123" s="3">
        <v>32.729999999999997</v>
      </c>
    </row>
    <row r="124" spans="1:20" hidden="1" x14ac:dyDescent="0.3">
      <c r="A124" s="1">
        <v>44975</v>
      </c>
      <c r="B124" s="2" t="s">
        <v>40</v>
      </c>
      <c r="C124" s="2" t="s">
        <v>136</v>
      </c>
      <c r="D124" s="2" t="s">
        <v>63</v>
      </c>
      <c r="E124" s="2" t="s">
        <v>64</v>
      </c>
      <c r="F124" s="2" t="s">
        <v>24</v>
      </c>
      <c r="G124">
        <v>3</v>
      </c>
      <c r="H124">
        <v>127</v>
      </c>
      <c r="I124">
        <v>157</v>
      </c>
      <c r="J124" s="3">
        <v>181700</v>
      </c>
      <c r="K124" s="3">
        <v>28526900</v>
      </c>
      <c r="L124" s="2" t="s">
        <v>33</v>
      </c>
      <c r="M124" s="2" t="s">
        <v>26</v>
      </c>
      <c r="N124">
        <v>2023</v>
      </c>
      <c r="O124" s="2" t="s">
        <v>27</v>
      </c>
      <c r="P124" s="2" t="s">
        <v>130</v>
      </c>
      <c r="Q124">
        <v>2</v>
      </c>
      <c r="R124" s="4">
        <v>44958</v>
      </c>
      <c r="S124" s="3">
        <v>181700</v>
      </c>
      <c r="T124" s="3">
        <v>2.85</v>
      </c>
    </row>
    <row r="125" spans="1:20" hidden="1" x14ac:dyDescent="0.3">
      <c r="A125" s="1">
        <v>44975</v>
      </c>
      <c r="B125" s="2" t="s">
        <v>48</v>
      </c>
      <c r="C125" s="2" t="s">
        <v>73</v>
      </c>
      <c r="D125" s="2" t="s">
        <v>22</v>
      </c>
      <c r="E125" s="2" t="s">
        <v>23</v>
      </c>
      <c r="F125" s="2" t="s">
        <v>39</v>
      </c>
      <c r="G125">
        <v>82</v>
      </c>
      <c r="H125">
        <v>520</v>
      </c>
      <c r="I125">
        <v>72</v>
      </c>
      <c r="J125" s="3">
        <v>6765900</v>
      </c>
      <c r="K125" s="3">
        <v>487144800</v>
      </c>
      <c r="L125" s="2" t="s">
        <v>33</v>
      </c>
      <c r="M125" s="2" t="s">
        <v>26</v>
      </c>
      <c r="N125">
        <v>2023</v>
      </c>
      <c r="O125" s="2" t="s">
        <v>27</v>
      </c>
      <c r="P125" s="2" t="s">
        <v>130</v>
      </c>
      <c r="Q125">
        <v>2</v>
      </c>
      <c r="R125" s="4">
        <v>44958</v>
      </c>
      <c r="S125" s="3">
        <v>6765900</v>
      </c>
      <c r="T125" s="3">
        <v>48.71</v>
      </c>
    </row>
    <row r="126" spans="1:20" hidden="1" x14ac:dyDescent="0.3">
      <c r="A126" s="1">
        <v>44976</v>
      </c>
      <c r="B126" s="2" t="s">
        <v>46</v>
      </c>
      <c r="C126" s="2" t="s">
        <v>56</v>
      </c>
      <c r="D126" s="2" t="s">
        <v>70</v>
      </c>
      <c r="E126" s="2" t="s">
        <v>71</v>
      </c>
      <c r="F126" s="2" t="s">
        <v>24</v>
      </c>
      <c r="G126">
        <v>50</v>
      </c>
      <c r="H126">
        <v>46</v>
      </c>
      <c r="I126">
        <v>36</v>
      </c>
      <c r="J126" s="3">
        <v>2056700</v>
      </c>
      <c r="K126" s="3">
        <v>74041200</v>
      </c>
      <c r="L126" s="2" t="s">
        <v>33</v>
      </c>
      <c r="M126" s="2" t="s">
        <v>77</v>
      </c>
      <c r="N126">
        <v>2023</v>
      </c>
      <c r="O126" s="2" t="s">
        <v>27</v>
      </c>
      <c r="P126" s="2" t="s">
        <v>130</v>
      </c>
      <c r="Q126">
        <v>2</v>
      </c>
      <c r="R126" s="4">
        <v>44958</v>
      </c>
      <c r="S126" s="3">
        <v>2056700</v>
      </c>
      <c r="T126" s="3">
        <v>7.4</v>
      </c>
    </row>
    <row r="127" spans="1:20" hidden="1" x14ac:dyDescent="0.3">
      <c r="A127" s="1">
        <v>44976</v>
      </c>
      <c r="B127" s="2" t="s">
        <v>90</v>
      </c>
      <c r="C127" s="2" t="s">
        <v>128</v>
      </c>
      <c r="D127" s="2" t="s">
        <v>67</v>
      </c>
      <c r="E127" s="2" t="s">
        <v>68</v>
      </c>
      <c r="F127" s="2" t="s">
        <v>24</v>
      </c>
      <c r="G127">
        <v>66</v>
      </c>
      <c r="H127">
        <v>440</v>
      </c>
      <c r="I127">
        <v>60</v>
      </c>
      <c r="J127" s="3">
        <v>6934800</v>
      </c>
      <c r="K127" s="3">
        <v>416088000</v>
      </c>
      <c r="L127" s="2" t="s">
        <v>33</v>
      </c>
      <c r="M127" s="2" t="s">
        <v>26</v>
      </c>
      <c r="N127">
        <v>2023</v>
      </c>
      <c r="O127" s="2" t="s">
        <v>27</v>
      </c>
      <c r="P127" s="2" t="s">
        <v>130</v>
      </c>
      <c r="Q127">
        <v>2</v>
      </c>
      <c r="R127" s="4">
        <v>44958</v>
      </c>
      <c r="S127" s="3">
        <v>6934800</v>
      </c>
      <c r="T127" s="3">
        <v>41.61</v>
      </c>
    </row>
    <row r="128" spans="1:20" hidden="1" x14ac:dyDescent="0.3">
      <c r="A128" s="1">
        <v>44976</v>
      </c>
      <c r="B128" s="2" t="s">
        <v>108</v>
      </c>
      <c r="C128" s="2" t="s">
        <v>109</v>
      </c>
      <c r="D128" s="2" t="s">
        <v>57</v>
      </c>
      <c r="E128" s="2" t="s">
        <v>58</v>
      </c>
      <c r="F128" s="2" t="s">
        <v>24</v>
      </c>
      <c r="G128">
        <v>72</v>
      </c>
      <c r="H128">
        <v>488</v>
      </c>
      <c r="I128">
        <v>98</v>
      </c>
      <c r="J128" s="3">
        <v>5274300</v>
      </c>
      <c r="K128" s="3">
        <v>516881400</v>
      </c>
      <c r="L128" s="2" t="s">
        <v>33</v>
      </c>
      <c r="M128" s="2" t="s">
        <v>77</v>
      </c>
      <c r="N128">
        <v>2023</v>
      </c>
      <c r="O128" s="2" t="s">
        <v>27</v>
      </c>
      <c r="P128" s="2" t="s">
        <v>130</v>
      </c>
      <c r="Q128">
        <v>2</v>
      </c>
      <c r="R128" s="4">
        <v>44958</v>
      </c>
      <c r="S128" s="3">
        <v>5274300</v>
      </c>
      <c r="T128" s="3">
        <v>51.69</v>
      </c>
    </row>
    <row r="129" spans="1:20" hidden="1" x14ac:dyDescent="0.3">
      <c r="A129" s="1">
        <v>44977</v>
      </c>
      <c r="B129" s="2" t="s">
        <v>84</v>
      </c>
      <c r="C129" s="2" t="s">
        <v>93</v>
      </c>
      <c r="D129" s="2" t="s">
        <v>42</v>
      </c>
      <c r="E129" s="2" t="s">
        <v>43</v>
      </c>
      <c r="F129" s="2" t="s">
        <v>24</v>
      </c>
      <c r="G129">
        <v>3</v>
      </c>
      <c r="H129">
        <v>135</v>
      </c>
      <c r="I129">
        <v>159</v>
      </c>
      <c r="J129" s="3">
        <v>124800</v>
      </c>
      <c r="K129" s="3">
        <v>19843200</v>
      </c>
      <c r="L129" s="2" t="s">
        <v>33</v>
      </c>
      <c r="M129" s="2" t="s">
        <v>77</v>
      </c>
      <c r="N129">
        <v>2023</v>
      </c>
      <c r="O129" s="2" t="s">
        <v>27</v>
      </c>
      <c r="P129" s="2" t="s">
        <v>130</v>
      </c>
      <c r="Q129">
        <v>2</v>
      </c>
      <c r="R129" s="4">
        <v>44958</v>
      </c>
      <c r="S129" s="3">
        <v>124800</v>
      </c>
      <c r="T129" s="3">
        <v>1.98</v>
      </c>
    </row>
    <row r="130" spans="1:20" hidden="1" x14ac:dyDescent="0.3">
      <c r="A130" s="1">
        <v>44977</v>
      </c>
      <c r="B130" s="2" t="s">
        <v>40</v>
      </c>
      <c r="C130" s="2" t="s">
        <v>41</v>
      </c>
      <c r="D130" s="2" t="s">
        <v>100</v>
      </c>
      <c r="E130" s="2" t="s">
        <v>101</v>
      </c>
      <c r="F130" s="2" t="s">
        <v>24</v>
      </c>
      <c r="G130">
        <v>3</v>
      </c>
      <c r="H130">
        <v>150</v>
      </c>
      <c r="I130">
        <v>129</v>
      </c>
      <c r="J130" s="3">
        <v>146600</v>
      </c>
      <c r="K130" s="3">
        <v>18911400</v>
      </c>
      <c r="L130" s="2" t="s">
        <v>25</v>
      </c>
      <c r="M130" s="2" t="s">
        <v>26</v>
      </c>
      <c r="N130">
        <v>2023</v>
      </c>
      <c r="O130" s="2" t="s">
        <v>27</v>
      </c>
      <c r="P130" s="2" t="s">
        <v>130</v>
      </c>
      <c r="Q130">
        <v>2</v>
      </c>
      <c r="R130" s="4">
        <v>44958</v>
      </c>
      <c r="S130" s="3">
        <v>146600</v>
      </c>
      <c r="T130" s="3">
        <v>1.89</v>
      </c>
    </row>
    <row r="131" spans="1:20" hidden="1" x14ac:dyDescent="0.3">
      <c r="A131" s="1">
        <v>44977</v>
      </c>
      <c r="B131" s="2" t="s">
        <v>84</v>
      </c>
      <c r="C131" s="2" t="s">
        <v>126</v>
      </c>
      <c r="D131" s="2" t="s">
        <v>102</v>
      </c>
      <c r="E131" s="2" t="s">
        <v>103</v>
      </c>
      <c r="F131" s="2" t="s">
        <v>24</v>
      </c>
      <c r="G131">
        <v>5</v>
      </c>
      <c r="H131">
        <v>150</v>
      </c>
      <c r="I131">
        <v>145</v>
      </c>
      <c r="J131" s="3">
        <v>168800</v>
      </c>
      <c r="K131" s="3">
        <v>24476000</v>
      </c>
      <c r="L131" s="2" t="s">
        <v>33</v>
      </c>
      <c r="M131" s="2" t="s">
        <v>26</v>
      </c>
      <c r="N131">
        <v>2023</v>
      </c>
      <c r="O131" s="2" t="s">
        <v>27</v>
      </c>
      <c r="P131" s="2" t="s">
        <v>130</v>
      </c>
      <c r="Q131">
        <v>2</v>
      </c>
      <c r="R131" s="4">
        <v>44958</v>
      </c>
      <c r="S131" s="3">
        <v>168800</v>
      </c>
      <c r="T131" s="3">
        <v>2.4500000000000002</v>
      </c>
    </row>
    <row r="132" spans="1:20" hidden="1" x14ac:dyDescent="0.3">
      <c r="A132" s="1">
        <v>44977</v>
      </c>
      <c r="B132" s="2" t="s">
        <v>59</v>
      </c>
      <c r="C132" s="2" t="s">
        <v>81</v>
      </c>
      <c r="D132" s="2" t="s">
        <v>37</v>
      </c>
      <c r="E132" s="2" t="s">
        <v>38</v>
      </c>
      <c r="F132" s="2" t="s">
        <v>24</v>
      </c>
      <c r="G132">
        <v>66</v>
      </c>
      <c r="H132">
        <v>423</v>
      </c>
      <c r="I132">
        <v>45</v>
      </c>
      <c r="J132" s="3">
        <v>7964400</v>
      </c>
      <c r="K132" s="3">
        <v>358398000</v>
      </c>
      <c r="L132" s="2" t="s">
        <v>25</v>
      </c>
      <c r="M132" s="2" t="s">
        <v>77</v>
      </c>
      <c r="N132">
        <v>2023</v>
      </c>
      <c r="O132" s="2" t="s">
        <v>27</v>
      </c>
      <c r="P132" s="2" t="s">
        <v>130</v>
      </c>
      <c r="Q132">
        <v>2</v>
      </c>
      <c r="R132" s="4">
        <v>44958</v>
      </c>
      <c r="S132" s="3">
        <v>7964400</v>
      </c>
      <c r="T132" s="3">
        <v>35.840000000000003</v>
      </c>
    </row>
    <row r="133" spans="1:20" hidden="1" x14ac:dyDescent="0.3">
      <c r="A133" s="1">
        <v>44977</v>
      </c>
      <c r="B133" s="2" t="s">
        <v>35</v>
      </c>
      <c r="C133" s="2" t="s">
        <v>36</v>
      </c>
      <c r="D133" s="2" t="s">
        <v>82</v>
      </c>
      <c r="E133" s="2" t="s">
        <v>83</v>
      </c>
      <c r="F133" s="2" t="s">
        <v>72</v>
      </c>
      <c r="G133">
        <v>40</v>
      </c>
      <c r="H133">
        <v>39</v>
      </c>
      <c r="I133">
        <v>120</v>
      </c>
      <c r="J133" s="3">
        <v>1884600</v>
      </c>
      <c r="K133" s="3">
        <v>226152000</v>
      </c>
      <c r="L133" s="2" t="s">
        <v>33</v>
      </c>
      <c r="M133" s="2" t="s">
        <v>26</v>
      </c>
      <c r="N133">
        <v>2023</v>
      </c>
      <c r="O133" s="2" t="s">
        <v>27</v>
      </c>
      <c r="P133" s="2" t="s">
        <v>130</v>
      </c>
      <c r="Q133">
        <v>2</v>
      </c>
      <c r="R133" s="4">
        <v>44958</v>
      </c>
      <c r="S133" s="3">
        <v>1884600</v>
      </c>
      <c r="T133" s="3">
        <v>22.62</v>
      </c>
    </row>
    <row r="134" spans="1:20" hidden="1" x14ac:dyDescent="0.3">
      <c r="A134" s="1">
        <v>44978</v>
      </c>
      <c r="B134" s="2" t="s">
        <v>46</v>
      </c>
      <c r="C134" s="2" t="s">
        <v>137</v>
      </c>
      <c r="D134" s="2" t="s">
        <v>100</v>
      </c>
      <c r="E134" s="2" t="s">
        <v>101</v>
      </c>
      <c r="F134" s="2" t="s">
        <v>24</v>
      </c>
      <c r="G134">
        <v>3</v>
      </c>
      <c r="H134">
        <v>150</v>
      </c>
      <c r="I134">
        <v>22</v>
      </c>
      <c r="J134" s="3">
        <v>137400</v>
      </c>
      <c r="K134" s="3">
        <v>3022800</v>
      </c>
      <c r="L134" s="2" t="s">
        <v>33</v>
      </c>
      <c r="M134" s="2" t="s">
        <v>26</v>
      </c>
      <c r="N134">
        <v>2023</v>
      </c>
      <c r="O134" s="2" t="s">
        <v>27</v>
      </c>
      <c r="P134" s="2" t="s">
        <v>130</v>
      </c>
      <c r="Q134">
        <v>2</v>
      </c>
      <c r="R134" s="4">
        <v>44958</v>
      </c>
      <c r="S134" s="3">
        <v>137400</v>
      </c>
      <c r="T134" s="3">
        <v>0.3</v>
      </c>
    </row>
    <row r="135" spans="1:20" hidden="1" x14ac:dyDescent="0.3">
      <c r="A135" s="1">
        <v>44978</v>
      </c>
      <c r="B135" s="2" t="s">
        <v>48</v>
      </c>
      <c r="C135" s="2" t="s">
        <v>49</v>
      </c>
      <c r="D135" s="2" t="s">
        <v>70</v>
      </c>
      <c r="E135" s="2" t="s">
        <v>74</v>
      </c>
      <c r="F135" s="2" t="s">
        <v>24</v>
      </c>
      <c r="G135">
        <v>25</v>
      </c>
      <c r="H135">
        <v>32</v>
      </c>
      <c r="I135">
        <v>34</v>
      </c>
      <c r="J135" s="3">
        <v>1262100</v>
      </c>
      <c r="K135" s="3">
        <v>42911400</v>
      </c>
      <c r="L135" s="2" t="s">
        <v>33</v>
      </c>
      <c r="M135" s="2" t="s">
        <v>26</v>
      </c>
      <c r="N135">
        <v>2023</v>
      </c>
      <c r="O135" s="2" t="s">
        <v>27</v>
      </c>
      <c r="P135" s="2" t="s">
        <v>130</v>
      </c>
      <c r="Q135">
        <v>2</v>
      </c>
      <c r="R135" s="4">
        <v>44958</v>
      </c>
      <c r="S135" s="3">
        <v>1262100</v>
      </c>
      <c r="T135" s="3">
        <v>4.29</v>
      </c>
    </row>
    <row r="136" spans="1:20" hidden="1" x14ac:dyDescent="0.3">
      <c r="A136" s="1">
        <v>44979</v>
      </c>
      <c r="B136" s="2" t="s">
        <v>59</v>
      </c>
      <c r="C136" s="2" t="s">
        <v>81</v>
      </c>
      <c r="D136" s="2" t="s">
        <v>50</v>
      </c>
      <c r="E136" s="2" t="s">
        <v>51</v>
      </c>
      <c r="F136" s="2" t="s">
        <v>24</v>
      </c>
      <c r="G136">
        <v>77</v>
      </c>
      <c r="H136">
        <v>528</v>
      </c>
      <c r="I136">
        <v>6</v>
      </c>
      <c r="J136" s="3">
        <v>5201300</v>
      </c>
      <c r="K136" s="3">
        <v>31207800</v>
      </c>
      <c r="L136" s="2" t="s">
        <v>33</v>
      </c>
      <c r="M136" s="2" t="s">
        <v>77</v>
      </c>
      <c r="N136">
        <v>2023</v>
      </c>
      <c r="O136" s="2" t="s">
        <v>27</v>
      </c>
      <c r="P136" s="2" t="s">
        <v>130</v>
      </c>
      <c r="Q136">
        <v>2</v>
      </c>
      <c r="R136" s="4">
        <v>44958</v>
      </c>
      <c r="S136" s="3">
        <v>5201300</v>
      </c>
      <c r="T136" s="3">
        <v>3.12</v>
      </c>
    </row>
    <row r="137" spans="1:20" hidden="1" x14ac:dyDescent="0.3">
      <c r="A137" s="1">
        <v>44979</v>
      </c>
      <c r="B137" s="2" t="s">
        <v>35</v>
      </c>
      <c r="C137" s="2" t="s">
        <v>132</v>
      </c>
      <c r="D137" s="2" t="s">
        <v>37</v>
      </c>
      <c r="E137" s="2" t="s">
        <v>38</v>
      </c>
      <c r="F137" s="2" t="s">
        <v>138</v>
      </c>
      <c r="G137">
        <v>66</v>
      </c>
      <c r="H137">
        <v>423</v>
      </c>
      <c r="I137">
        <v>44</v>
      </c>
      <c r="J137" s="3">
        <v>7248500</v>
      </c>
      <c r="K137" s="3">
        <v>318934000</v>
      </c>
      <c r="L137" s="2" t="s">
        <v>92</v>
      </c>
      <c r="M137" s="2" t="s">
        <v>34</v>
      </c>
      <c r="N137">
        <v>2023</v>
      </c>
      <c r="O137" s="2" t="s">
        <v>27</v>
      </c>
      <c r="P137" s="2" t="s">
        <v>130</v>
      </c>
      <c r="Q137">
        <v>2</v>
      </c>
      <c r="R137" s="4">
        <v>44958</v>
      </c>
      <c r="S137" s="3">
        <v>7248500</v>
      </c>
      <c r="T137" s="3">
        <v>31.89</v>
      </c>
    </row>
    <row r="138" spans="1:20" hidden="1" x14ac:dyDescent="0.3">
      <c r="A138" s="1">
        <v>44981</v>
      </c>
      <c r="B138" s="2" t="s">
        <v>90</v>
      </c>
      <c r="C138" s="2" t="s">
        <v>99</v>
      </c>
      <c r="D138" s="2" t="s">
        <v>31</v>
      </c>
      <c r="E138" s="2" t="s">
        <v>124</v>
      </c>
      <c r="F138" s="2" t="s">
        <v>24</v>
      </c>
      <c r="G138">
        <v>3</v>
      </c>
      <c r="H138">
        <v>151</v>
      </c>
      <c r="I138">
        <v>57</v>
      </c>
      <c r="J138" s="3">
        <v>96100</v>
      </c>
      <c r="K138" s="3">
        <v>5477700</v>
      </c>
      <c r="L138" s="2" t="s">
        <v>33</v>
      </c>
      <c r="M138" s="2" t="s">
        <v>77</v>
      </c>
      <c r="N138">
        <v>2023</v>
      </c>
      <c r="O138" s="2" t="s">
        <v>27</v>
      </c>
      <c r="P138" s="2" t="s">
        <v>130</v>
      </c>
      <c r="Q138">
        <v>2</v>
      </c>
      <c r="R138" s="4">
        <v>44958</v>
      </c>
      <c r="S138" s="3">
        <v>96100</v>
      </c>
      <c r="T138" s="3">
        <v>0.55000000000000004</v>
      </c>
    </row>
    <row r="139" spans="1:20" hidden="1" x14ac:dyDescent="0.3">
      <c r="A139" s="1">
        <v>44981</v>
      </c>
      <c r="B139" s="2" t="s">
        <v>40</v>
      </c>
      <c r="C139" s="2" t="s">
        <v>41</v>
      </c>
      <c r="D139" s="2" t="s">
        <v>37</v>
      </c>
      <c r="E139" s="2" t="s">
        <v>38</v>
      </c>
      <c r="F139" s="2" t="s">
        <v>24</v>
      </c>
      <c r="G139">
        <v>66</v>
      </c>
      <c r="H139">
        <v>423</v>
      </c>
      <c r="I139">
        <v>50</v>
      </c>
      <c r="J139" s="3">
        <v>7377700</v>
      </c>
      <c r="K139" s="3">
        <v>368885000</v>
      </c>
      <c r="L139" s="2" t="s">
        <v>25</v>
      </c>
      <c r="M139" s="2" t="s">
        <v>34</v>
      </c>
      <c r="N139">
        <v>2023</v>
      </c>
      <c r="O139" s="2" t="s">
        <v>27</v>
      </c>
      <c r="P139" s="2" t="s">
        <v>130</v>
      </c>
      <c r="Q139">
        <v>2</v>
      </c>
      <c r="R139" s="4">
        <v>44958</v>
      </c>
      <c r="S139" s="3">
        <v>7377700</v>
      </c>
      <c r="T139" s="3">
        <v>36.89</v>
      </c>
    </row>
    <row r="140" spans="1:20" hidden="1" x14ac:dyDescent="0.3">
      <c r="A140" s="1">
        <v>44982</v>
      </c>
      <c r="B140" s="2" t="s">
        <v>108</v>
      </c>
      <c r="C140" s="2" t="s">
        <v>109</v>
      </c>
      <c r="D140" s="2" t="s">
        <v>37</v>
      </c>
      <c r="E140" s="2" t="s">
        <v>38</v>
      </c>
      <c r="F140" s="2" t="s">
        <v>72</v>
      </c>
      <c r="G140">
        <v>66</v>
      </c>
      <c r="H140">
        <v>423</v>
      </c>
      <c r="I140">
        <v>52</v>
      </c>
      <c r="J140" s="3">
        <v>9375400</v>
      </c>
      <c r="K140" s="3">
        <v>487520800</v>
      </c>
      <c r="L140" s="2" t="s">
        <v>33</v>
      </c>
      <c r="M140" s="2" t="s">
        <v>26</v>
      </c>
      <c r="N140">
        <v>2023</v>
      </c>
      <c r="O140" s="2" t="s">
        <v>27</v>
      </c>
      <c r="P140" s="2" t="s">
        <v>130</v>
      </c>
      <c r="Q140">
        <v>2</v>
      </c>
      <c r="R140" s="4">
        <v>44958</v>
      </c>
      <c r="S140" s="3">
        <v>9375400</v>
      </c>
      <c r="T140" s="3">
        <v>48.75</v>
      </c>
    </row>
    <row r="141" spans="1:20" hidden="1" x14ac:dyDescent="0.3">
      <c r="A141" s="1">
        <v>44982</v>
      </c>
      <c r="B141" s="2" t="s">
        <v>46</v>
      </c>
      <c r="C141" s="2" t="s">
        <v>137</v>
      </c>
      <c r="D141" s="2" t="s">
        <v>102</v>
      </c>
      <c r="E141" s="2" t="s">
        <v>103</v>
      </c>
      <c r="F141" s="2" t="s">
        <v>24</v>
      </c>
      <c r="G141">
        <v>5</v>
      </c>
      <c r="H141">
        <v>150</v>
      </c>
      <c r="I141">
        <v>115</v>
      </c>
      <c r="J141" s="3">
        <v>148100</v>
      </c>
      <c r="K141" s="3">
        <v>17031500</v>
      </c>
      <c r="L141" s="2" t="s">
        <v>25</v>
      </c>
      <c r="M141" s="2" t="s">
        <v>26</v>
      </c>
      <c r="N141">
        <v>2023</v>
      </c>
      <c r="O141" s="2" t="s">
        <v>27</v>
      </c>
      <c r="P141" s="2" t="s">
        <v>130</v>
      </c>
      <c r="Q141">
        <v>2</v>
      </c>
      <c r="R141" s="4">
        <v>44958</v>
      </c>
      <c r="S141" s="3">
        <v>148100</v>
      </c>
      <c r="T141" s="3">
        <v>1.7</v>
      </c>
    </row>
    <row r="142" spans="1:20" hidden="1" x14ac:dyDescent="0.3">
      <c r="A142" s="1">
        <v>44982</v>
      </c>
      <c r="B142" s="2" t="s">
        <v>108</v>
      </c>
      <c r="C142" s="2" t="s">
        <v>133</v>
      </c>
      <c r="D142" s="2" t="s">
        <v>31</v>
      </c>
      <c r="E142" s="2" t="s">
        <v>32</v>
      </c>
      <c r="F142" s="2" t="s">
        <v>24</v>
      </c>
      <c r="G142">
        <v>4</v>
      </c>
      <c r="H142">
        <v>195</v>
      </c>
      <c r="I142">
        <v>153</v>
      </c>
      <c r="J142" s="3">
        <v>153700</v>
      </c>
      <c r="K142" s="3">
        <v>23516100</v>
      </c>
      <c r="L142" s="2" t="s">
        <v>33</v>
      </c>
      <c r="M142" s="2" t="s">
        <v>97</v>
      </c>
      <c r="N142">
        <v>2023</v>
      </c>
      <c r="O142" s="2" t="s">
        <v>27</v>
      </c>
      <c r="P142" s="2" t="s">
        <v>130</v>
      </c>
      <c r="Q142">
        <v>2</v>
      </c>
      <c r="R142" s="4">
        <v>44958</v>
      </c>
      <c r="S142" s="3">
        <v>153700</v>
      </c>
      <c r="T142" s="3">
        <v>2.35</v>
      </c>
    </row>
    <row r="143" spans="1:20" hidden="1" x14ac:dyDescent="0.3">
      <c r="A143" s="1">
        <v>44982</v>
      </c>
      <c r="B143" s="2" t="s">
        <v>20</v>
      </c>
      <c r="C143" s="2" t="s">
        <v>21</v>
      </c>
      <c r="D143" s="2" t="s">
        <v>22</v>
      </c>
      <c r="E143" s="2" t="s">
        <v>23</v>
      </c>
      <c r="F143" s="2" t="s">
        <v>24</v>
      </c>
      <c r="G143">
        <v>82</v>
      </c>
      <c r="H143">
        <v>520</v>
      </c>
      <c r="I143">
        <v>29</v>
      </c>
      <c r="J143" s="3">
        <v>6525000</v>
      </c>
      <c r="K143" s="3">
        <v>189225000</v>
      </c>
      <c r="L143" s="2" t="s">
        <v>33</v>
      </c>
      <c r="M143" s="2" t="s">
        <v>26</v>
      </c>
      <c r="N143">
        <v>2023</v>
      </c>
      <c r="O143" s="2" t="s">
        <v>27</v>
      </c>
      <c r="P143" s="2" t="s">
        <v>130</v>
      </c>
      <c r="Q143">
        <v>2</v>
      </c>
      <c r="R143" s="4">
        <v>44958</v>
      </c>
      <c r="S143" s="3">
        <v>6525000</v>
      </c>
      <c r="T143" s="3">
        <v>18.920000000000002</v>
      </c>
    </row>
    <row r="144" spans="1:20" hidden="1" x14ac:dyDescent="0.3">
      <c r="A144" s="1">
        <v>44983</v>
      </c>
      <c r="B144" s="2" t="s">
        <v>35</v>
      </c>
      <c r="C144" s="2" t="s">
        <v>36</v>
      </c>
      <c r="D144" s="2" t="s">
        <v>31</v>
      </c>
      <c r="E144" s="2" t="s">
        <v>124</v>
      </c>
      <c r="F144" s="2" t="s">
        <v>24</v>
      </c>
      <c r="G144">
        <v>3</v>
      </c>
      <c r="H144">
        <v>151</v>
      </c>
      <c r="I144">
        <v>167</v>
      </c>
      <c r="J144" s="3">
        <v>111200</v>
      </c>
      <c r="K144" s="3">
        <v>18570400</v>
      </c>
      <c r="L144" s="2" t="s">
        <v>25</v>
      </c>
      <c r="M144" s="2" t="s">
        <v>26</v>
      </c>
      <c r="N144">
        <v>2023</v>
      </c>
      <c r="O144" s="2" t="s">
        <v>27</v>
      </c>
      <c r="P144" s="2" t="s">
        <v>130</v>
      </c>
      <c r="Q144">
        <v>2</v>
      </c>
      <c r="R144" s="4">
        <v>44958</v>
      </c>
      <c r="S144" s="3">
        <v>111200</v>
      </c>
      <c r="T144" s="3">
        <v>1.86</v>
      </c>
    </row>
    <row r="145" spans="1:20" hidden="1" x14ac:dyDescent="0.3">
      <c r="A145" s="1">
        <v>44983</v>
      </c>
      <c r="B145" s="2" t="s">
        <v>40</v>
      </c>
      <c r="C145" s="2" t="s">
        <v>78</v>
      </c>
      <c r="D145" s="2" t="s">
        <v>63</v>
      </c>
      <c r="E145" s="2" t="s">
        <v>64</v>
      </c>
      <c r="F145" s="2" t="s">
        <v>24</v>
      </c>
      <c r="G145">
        <v>3</v>
      </c>
      <c r="H145">
        <v>127</v>
      </c>
      <c r="I145">
        <v>40</v>
      </c>
      <c r="J145" s="3">
        <v>159100</v>
      </c>
      <c r="K145" s="3">
        <v>6364000</v>
      </c>
      <c r="L145" s="2" t="s">
        <v>33</v>
      </c>
      <c r="M145" s="2" t="s">
        <v>26</v>
      </c>
      <c r="N145">
        <v>2023</v>
      </c>
      <c r="O145" s="2" t="s">
        <v>27</v>
      </c>
      <c r="P145" s="2" t="s">
        <v>130</v>
      </c>
      <c r="Q145">
        <v>2</v>
      </c>
      <c r="R145" s="4">
        <v>44958</v>
      </c>
      <c r="S145" s="3">
        <v>159100</v>
      </c>
      <c r="T145" s="3">
        <v>0.64</v>
      </c>
    </row>
    <row r="146" spans="1:20" hidden="1" x14ac:dyDescent="0.3">
      <c r="A146" s="1">
        <v>44984</v>
      </c>
      <c r="B146" s="2" t="s">
        <v>44</v>
      </c>
      <c r="C146" s="2" t="s">
        <v>45</v>
      </c>
      <c r="D146" s="2" t="s">
        <v>42</v>
      </c>
      <c r="E146" s="2" t="s">
        <v>43</v>
      </c>
      <c r="F146" s="2" t="s">
        <v>24</v>
      </c>
      <c r="G146">
        <v>3</v>
      </c>
      <c r="H146">
        <v>135</v>
      </c>
      <c r="I146">
        <v>84</v>
      </c>
      <c r="J146" s="3">
        <v>109100</v>
      </c>
      <c r="K146" s="3">
        <v>9164400</v>
      </c>
      <c r="L146" s="2" t="s">
        <v>33</v>
      </c>
      <c r="M146" s="2" t="s">
        <v>26</v>
      </c>
      <c r="N146">
        <v>2023</v>
      </c>
      <c r="O146" s="2" t="s">
        <v>27</v>
      </c>
      <c r="P146" s="2" t="s">
        <v>130</v>
      </c>
      <c r="Q146">
        <v>2</v>
      </c>
      <c r="R146" s="4">
        <v>44958</v>
      </c>
      <c r="S146" s="3">
        <v>109100</v>
      </c>
      <c r="T146" s="3">
        <v>0.92</v>
      </c>
    </row>
    <row r="147" spans="1:20" hidden="1" x14ac:dyDescent="0.3">
      <c r="A147" s="1">
        <v>44985</v>
      </c>
      <c r="B147" s="2" t="s">
        <v>35</v>
      </c>
      <c r="C147" s="2" t="s">
        <v>121</v>
      </c>
      <c r="D147" s="2" t="s">
        <v>94</v>
      </c>
      <c r="E147" s="2" t="s">
        <v>115</v>
      </c>
      <c r="F147" s="2" t="s">
        <v>24</v>
      </c>
      <c r="G147">
        <v>24</v>
      </c>
      <c r="H147">
        <v>24</v>
      </c>
      <c r="I147">
        <v>29</v>
      </c>
      <c r="J147" s="3">
        <v>1220800</v>
      </c>
      <c r="K147" s="3">
        <v>35403200</v>
      </c>
      <c r="L147" s="2" t="s">
        <v>92</v>
      </c>
      <c r="M147" s="2" t="s">
        <v>97</v>
      </c>
      <c r="N147">
        <v>2023</v>
      </c>
      <c r="O147" s="2" t="s">
        <v>27</v>
      </c>
      <c r="P147" s="2" t="s">
        <v>130</v>
      </c>
      <c r="Q147">
        <v>2</v>
      </c>
      <c r="R147" s="4">
        <v>44958</v>
      </c>
      <c r="S147" s="3">
        <v>1220800</v>
      </c>
      <c r="T147" s="3">
        <v>3.54</v>
      </c>
    </row>
    <row r="148" spans="1:20" hidden="1" x14ac:dyDescent="0.3">
      <c r="A148" s="1">
        <v>44985</v>
      </c>
      <c r="B148" s="2" t="s">
        <v>46</v>
      </c>
      <c r="C148" s="2" t="s">
        <v>137</v>
      </c>
      <c r="D148" s="2" t="s">
        <v>82</v>
      </c>
      <c r="E148" s="2" t="s">
        <v>83</v>
      </c>
      <c r="F148" s="2" t="s">
        <v>24</v>
      </c>
      <c r="G148">
        <v>40</v>
      </c>
      <c r="H148">
        <v>39</v>
      </c>
      <c r="I148">
        <v>107</v>
      </c>
      <c r="J148" s="3">
        <v>1982600</v>
      </c>
      <c r="K148" s="3">
        <v>212138200</v>
      </c>
      <c r="L148" s="2" t="s">
        <v>33</v>
      </c>
      <c r="M148" s="2" t="s">
        <v>26</v>
      </c>
      <c r="N148">
        <v>2023</v>
      </c>
      <c r="O148" s="2" t="s">
        <v>27</v>
      </c>
      <c r="P148" s="2" t="s">
        <v>130</v>
      </c>
      <c r="Q148">
        <v>2</v>
      </c>
      <c r="R148" s="4">
        <v>44958</v>
      </c>
      <c r="S148" s="3">
        <v>1982600</v>
      </c>
      <c r="T148" s="3">
        <v>21.21</v>
      </c>
    </row>
    <row r="149" spans="1:20" hidden="1" x14ac:dyDescent="0.3">
      <c r="A149" s="1">
        <v>44985</v>
      </c>
      <c r="B149" s="2" t="s">
        <v>90</v>
      </c>
      <c r="C149" s="2" t="s">
        <v>128</v>
      </c>
      <c r="D149" s="2" t="s">
        <v>31</v>
      </c>
      <c r="E149" s="2" t="s">
        <v>32</v>
      </c>
      <c r="F149" s="2" t="s">
        <v>24</v>
      </c>
      <c r="G149">
        <v>4</v>
      </c>
      <c r="H149">
        <v>195</v>
      </c>
      <c r="I149">
        <v>102</v>
      </c>
      <c r="J149" s="3">
        <v>147200</v>
      </c>
      <c r="K149" s="3">
        <v>15014400</v>
      </c>
      <c r="L149" s="2" t="s">
        <v>33</v>
      </c>
      <c r="M149" s="2" t="s">
        <v>26</v>
      </c>
      <c r="N149">
        <v>2023</v>
      </c>
      <c r="O149" s="2" t="s">
        <v>27</v>
      </c>
      <c r="P149" s="2" t="s">
        <v>130</v>
      </c>
      <c r="Q149">
        <v>2</v>
      </c>
      <c r="R149" s="4">
        <v>44958</v>
      </c>
      <c r="S149" s="3">
        <v>147200</v>
      </c>
      <c r="T149" s="3">
        <v>1.5</v>
      </c>
    </row>
    <row r="150" spans="1:20" hidden="1" x14ac:dyDescent="0.3">
      <c r="A150" s="1">
        <v>44985</v>
      </c>
      <c r="B150" s="2" t="s">
        <v>29</v>
      </c>
      <c r="C150" s="2" t="s">
        <v>65</v>
      </c>
      <c r="D150" s="2" t="s">
        <v>102</v>
      </c>
      <c r="E150" s="2" t="s">
        <v>103</v>
      </c>
      <c r="F150" s="2" t="s">
        <v>24</v>
      </c>
      <c r="G150">
        <v>5</v>
      </c>
      <c r="H150">
        <v>150</v>
      </c>
      <c r="I150">
        <v>152</v>
      </c>
      <c r="J150" s="3">
        <v>172900</v>
      </c>
      <c r="K150" s="3">
        <v>26280800</v>
      </c>
      <c r="L150" s="2" t="s">
        <v>25</v>
      </c>
      <c r="M150" s="2" t="s">
        <v>26</v>
      </c>
      <c r="N150">
        <v>2023</v>
      </c>
      <c r="O150" s="2" t="s">
        <v>27</v>
      </c>
      <c r="P150" s="2" t="s">
        <v>130</v>
      </c>
      <c r="Q150">
        <v>2</v>
      </c>
      <c r="R150" s="4">
        <v>44958</v>
      </c>
      <c r="S150" s="3">
        <v>172900</v>
      </c>
      <c r="T150" s="3">
        <v>2.63</v>
      </c>
    </row>
    <row r="151" spans="1:20" hidden="1" x14ac:dyDescent="0.3">
      <c r="A151" s="1">
        <v>44986</v>
      </c>
      <c r="B151" s="2" t="s">
        <v>29</v>
      </c>
      <c r="C151" s="2" t="s">
        <v>65</v>
      </c>
      <c r="D151" s="2" t="s">
        <v>57</v>
      </c>
      <c r="E151" s="2" t="s">
        <v>86</v>
      </c>
      <c r="F151" s="2" t="s">
        <v>24</v>
      </c>
      <c r="G151">
        <v>48</v>
      </c>
      <c r="H151">
        <v>39</v>
      </c>
      <c r="I151">
        <v>177</v>
      </c>
      <c r="J151" s="3">
        <v>2064100</v>
      </c>
      <c r="K151" s="3">
        <v>365345700</v>
      </c>
      <c r="L151" s="2" t="s">
        <v>33</v>
      </c>
      <c r="M151" s="2" t="s">
        <v>26</v>
      </c>
      <c r="N151">
        <v>2023</v>
      </c>
      <c r="O151" s="2" t="s">
        <v>27</v>
      </c>
      <c r="P151" s="2" t="s">
        <v>139</v>
      </c>
      <c r="Q151">
        <v>3</v>
      </c>
      <c r="R151" s="4">
        <v>44986</v>
      </c>
      <c r="S151" s="3">
        <v>2064100</v>
      </c>
      <c r="T151" s="3">
        <v>36.53</v>
      </c>
    </row>
    <row r="152" spans="1:20" hidden="1" x14ac:dyDescent="0.3">
      <c r="A152" s="1">
        <v>44986</v>
      </c>
      <c r="B152" s="2" t="s">
        <v>40</v>
      </c>
      <c r="C152" s="2" t="s">
        <v>78</v>
      </c>
      <c r="D152" s="2" t="s">
        <v>94</v>
      </c>
      <c r="E152" s="2" t="s">
        <v>115</v>
      </c>
      <c r="F152" s="2" t="s">
        <v>39</v>
      </c>
      <c r="G152">
        <v>24</v>
      </c>
      <c r="H152">
        <v>24</v>
      </c>
      <c r="I152">
        <v>46</v>
      </c>
      <c r="J152" s="3">
        <v>1500900</v>
      </c>
      <c r="K152" s="3">
        <v>69041400</v>
      </c>
      <c r="L152" s="2" t="s">
        <v>33</v>
      </c>
      <c r="M152" s="2" t="s">
        <v>34</v>
      </c>
      <c r="N152">
        <v>2023</v>
      </c>
      <c r="O152" s="2" t="s">
        <v>27</v>
      </c>
      <c r="P152" s="2" t="s">
        <v>139</v>
      </c>
      <c r="Q152">
        <v>3</v>
      </c>
      <c r="R152" s="4">
        <v>44986</v>
      </c>
      <c r="S152" s="3">
        <v>1500900</v>
      </c>
      <c r="T152" s="3">
        <v>6.9</v>
      </c>
    </row>
    <row r="153" spans="1:20" hidden="1" x14ac:dyDescent="0.3">
      <c r="A153" s="1">
        <v>44986</v>
      </c>
      <c r="B153" s="2" t="s">
        <v>59</v>
      </c>
      <c r="C153" s="2" t="s">
        <v>81</v>
      </c>
      <c r="D153" s="2" t="s">
        <v>94</v>
      </c>
      <c r="E153" s="2" t="s">
        <v>115</v>
      </c>
      <c r="F153" s="2" t="s">
        <v>24</v>
      </c>
      <c r="G153">
        <v>24</v>
      </c>
      <c r="H153">
        <v>24</v>
      </c>
      <c r="I153">
        <v>34</v>
      </c>
      <c r="J153" s="3">
        <v>1529500</v>
      </c>
      <c r="K153" s="3">
        <v>52003000</v>
      </c>
      <c r="L153" s="2" t="s">
        <v>33</v>
      </c>
      <c r="M153" s="2" t="s">
        <v>26</v>
      </c>
      <c r="N153">
        <v>2023</v>
      </c>
      <c r="O153" s="2" t="s">
        <v>27</v>
      </c>
      <c r="P153" s="2" t="s">
        <v>139</v>
      </c>
      <c r="Q153">
        <v>3</v>
      </c>
      <c r="R153" s="4">
        <v>44986</v>
      </c>
      <c r="S153" s="3">
        <v>1529500</v>
      </c>
      <c r="T153" s="3">
        <v>5.2</v>
      </c>
    </row>
    <row r="154" spans="1:20" hidden="1" x14ac:dyDescent="0.3">
      <c r="A154" s="1">
        <v>44987</v>
      </c>
      <c r="B154" s="2" t="s">
        <v>52</v>
      </c>
      <c r="C154" s="2" t="s">
        <v>116</v>
      </c>
      <c r="D154" s="2" t="s">
        <v>94</v>
      </c>
      <c r="E154" s="2" t="s">
        <v>115</v>
      </c>
      <c r="F154" s="2" t="s">
        <v>24</v>
      </c>
      <c r="G154">
        <v>24</v>
      </c>
      <c r="H154">
        <v>24</v>
      </c>
      <c r="I154">
        <v>48</v>
      </c>
      <c r="J154" s="3">
        <v>1459100</v>
      </c>
      <c r="K154" s="3">
        <v>70036800</v>
      </c>
      <c r="L154" s="2" t="s">
        <v>33</v>
      </c>
      <c r="M154" s="2" t="s">
        <v>26</v>
      </c>
      <c r="N154">
        <v>2023</v>
      </c>
      <c r="O154" s="2" t="s">
        <v>27</v>
      </c>
      <c r="P154" s="2" t="s">
        <v>139</v>
      </c>
      <c r="Q154">
        <v>3</v>
      </c>
      <c r="R154" s="4">
        <v>44986</v>
      </c>
      <c r="S154" s="3">
        <v>1459100</v>
      </c>
      <c r="T154" s="3">
        <v>7</v>
      </c>
    </row>
    <row r="155" spans="1:20" hidden="1" x14ac:dyDescent="0.3">
      <c r="A155" s="1">
        <v>44987</v>
      </c>
      <c r="B155" s="2" t="s">
        <v>20</v>
      </c>
      <c r="C155" s="2" t="s">
        <v>125</v>
      </c>
      <c r="D155" s="2" t="s">
        <v>22</v>
      </c>
      <c r="E155" s="2" t="s">
        <v>23</v>
      </c>
      <c r="F155" s="2" t="s">
        <v>24</v>
      </c>
      <c r="G155">
        <v>82</v>
      </c>
      <c r="H155">
        <v>520</v>
      </c>
      <c r="I155">
        <v>7</v>
      </c>
      <c r="J155" s="3">
        <v>7521700</v>
      </c>
      <c r="K155" s="3">
        <v>52651900</v>
      </c>
      <c r="L155" s="2" t="s">
        <v>33</v>
      </c>
      <c r="M155" s="2" t="s">
        <v>26</v>
      </c>
      <c r="N155">
        <v>2023</v>
      </c>
      <c r="O155" s="2" t="s">
        <v>27</v>
      </c>
      <c r="P155" s="2" t="s">
        <v>139</v>
      </c>
      <c r="Q155">
        <v>3</v>
      </c>
      <c r="R155" s="4">
        <v>44986</v>
      </c>
      <c r="S155" s="3">
        <v>7521700</v>
      </c>
      <c r="T155" s="3">
        <v>5.27</v>
      </c>
    </row>
    <row r="156" spans="1:20" hidden="1" x14ac:dyDescent="0.3">
      <c r="A156" s="1">
        <v>44988</v>
      </c>
      <c r="B156" s="2" t="s">
        <v>84</v>
      </c>
      <c r="C156" s="2" t="s">
        <v>93</v>
      </c>
      <c r="D156" s="2" t="s">
        <v>79</v>
      </c>
      <c r="E156" s="2" t="s">
        <v>80</v>
      </c>
      <c r="F156" s="2" t="s">
        <v>39</v>
      </c>
      <c r="G156">
        <v>69</v>
      </c>
      <c r="H156">
        <v>418</v>
      </c>
      <c r="I156">
        <v>61</v>
      </c>
      <c r="J156" s="3">
        <v>5376100</v>
      </c>
      <c r="K156" s="3">
        <v>327942100</v>
      </c>
      <c r="L156" s="2" t="s">
        <v>33</v>
      </c>
      <c r="M156" s="2" t="s">
        <v>26</v>
      </c>
      <c r="N156">
        <v>2023</v>
      </c>
      <c r="O156" s="2" t="s">
        <v>27</v>
      </c>
      <c r="P156" s="2" t="s">
        <v>139</v>
      </c>
      <c r="Q156">
        <v>3</v>
      </c>
      <c r="R156" s="4">
        <v>44986</v>
      </c>
      <c r="S156" s="3">
        <v>5376100</v>
      </c>
      <c r="T156" s="3">
        <v>32.79</v>
      </c>
    </row>
    <row r="157" spans="1:20" hidden="1" x14ac:dyDescent="0.3">
      <c r="A157" s="1">
        <v>44989</v>
      </c>
      <c r="B157" s="2" t="s">
        <v>59</v>
      </c>
      <c r="C157" s="2" t="s">
        <v>60</v>
      </c>
      <c r="D157" s="2" t="s">
        <v>54</v>
      </c>
      <c r="E157" s="2" t="s">
        <v>55</v>
      </c>
      <c r="F157" s="2" t="s">
        <v>24</v>
      </c>
      <c r="G157">
        <v>30</v>
      </c>
      <c r="H157">
        <v>320</v>
      </c>
      <c r="I157">
        <v>9</v>
      </c>
      <c r="J157" s="3">
        <v>1424900</v>
      </c>
      <c r="K157" s="3">
        <v>12824100</v>
      </c>
      <c r="L157" s="2" t="s">
        <v>33</v>
      </c>
      <c r="M157" s="2" t="s">
        <v>26</v>
      </c>
      <c r="N157">
        <v>2023</v>
      </c>
      <c r="O157" s="2" t="s">
        <v>27</v>
      </c>
      <c r="P157" s="2" t="s">
        <v>139</v>
      </c>
      <c r="Q157">
        <v>3</v>
      </c>
      <c r="R157" s="4">
        <v>44986</v>
      </c>
      <c r="S157" s="3">
        <v>1424900</v>
      </c>
      <c r="T157" s="3">
        <v>1.28</v>
      </c>
    </row>
    <row r="158" spans="1:20" hidden="1" x14ac:dyDescent="0.3">
      <c r="A158" s="1">
        <v>44989</v>
      </c>
      <c r="B158" s="2" t="s">
        <v>61</v>
      </c>
      <c r="C158" s="2" t="s">
        <v>127</v>
      </c>
      <c r="D158" s="2" t="s">
        <v>94</v>
      </c>
      <c r="E158" s="2" t="s">
        <v>115</v>
      </c>
      <c r="F158" s="2" t="s">
        <v>72</v>
      </c>
      <c r="G158">
        <v>24</v>
      </c>
      <c r="H158">
        <v>24</v>
      </c>
      <c r="I158">
        <v>150</v>
      </c>
      <c r="J158" s="3">
        <v>1497700</v>
      </c>
      <c r="K158" s="3">
        <v>224655000</v>
      </c>
      <c r="L158" s="2" t="s">
        <v>33</v>
      </c>
      <c r="M158" s="2" t="s">
        <v>26</v>
      </c>
      <c r="N158">
        <v>2023</v>
      </c>
      <c r="O158" s="2" t="s">
        <v>27</v>
      </c>
      <c r="P158" s="2" t="s">
        <v>139</v>
      </c>
      <c r="Q158">
        <v>3</v>
      </c>
      <c r="R158" s="4">
        <v>44986</v>
      </c>
      <c r="S158" s="3">
        <v>1497700</v>
      </c>
      <c r="T158" s="3">
        <v>22.47</v>
      </c>
    </row>
    <row r="159" spans="1:20" hidden="1" x14ac:dyDescent="0.3">
      <c r="A159" s="1">
        <v>44989</v>
      </c>
      <c r="B159" s="2" t="s">
        <v>29</v>
      </c>
      <c r="C159" s="2" t="s">
        <v>65</v>
      </c>
      <c r="D159" s="2" t="s">
        <v>94</v>
      </c>
      <c r="E159" s="2" t="s">
        <v>140</v>
      </c>
      <c r="F159" s="2" t="s">
        <v>24</v>
      </c>
      <c r="G159">
        <v>35</v>
      </c>
      <c r="H159">
        <v>32</v>
      </c>
      <c r="I159">
        <v>161</v>
      </c>
      <c r="J159" s="3">
        <v>2065700</v>
      </c>
      <c r="K159" s="3">
        <v>332577700</v>
      </c>
      <c r="L159" s="2" t="s">
        <v>33</v>
      </c>
      <c r="M159" s="2" t="s">
        <v>77</v>
      </c>
      <c r="N159">
        <v>2023</v>
      </c>
      <c r="O159" s="2" t="s">
        <v>27</v>
      </c>
      <c r="P159" s="2" t="s">
        <v>139</v>
      </c>
      <c r="Q159">
        <v>3</v>
      </c>
      <c r="R159" s="4">
        <v>44986</v>
      </c>
      <c r="S159" s="3">
        <v>2065700</v>
      </c>
      <c r="T159" s="3">
        <v>33.26</v>
      </c>
    </row>
    <row r="160" spans="1:20" hidden="1" x14ac:dyDescent="0.3">
      <c r="A160" s="1">
        <v>44990</v>
      </c>
      <c r="B160" s="2" t="s">
        <v>90</v>
      </c>
      <c r="C160" s="2" t="s">
        <v>128</v>
      </c>
      <c r="D160" s="2" t="s">
        <v>54</v>
      </c>
      <c r="E160" s="2" t="s">
        <v>55</v>
      </c>
      <c r="F160" s="2" t="s">
        <v>39</v>
      </c>
      <c r="G160">
        <v>30</v>
      </c>
      <c r="H160">
        <v>320</v>
      </c>
      <c r="I160">
        <v>47</v>
      </c>
      <c r="J160" s="3">
        <v>1347400</v>
      </c>
      <c r="K160" s="3">
        <v>63327800</v>
      </c>
      <c r="L160" s="2" t="s">
        <v>33</v>
      </c>
      <c r="M160" s="2" t="s">
        <v>26</v>
      </c>
      <c r="N160">
        <v>2023</v>
      </c>
      <c r="O160" s="2" t="s">
        <v>27</v>
      </c>
      <c r="P160" s="2" t="s">
        <v>139</v>
      </c>
      <c r="Q160">
        <v>3</v>
      </c>
      <c r="R160" s="4">
        <v>44986</v>
      </c>
      <c r="S160" s="3">
        <v>1347400</v>
      </c>
      <c r="T160" s="3">
        <v>6.33</v>
      </c>
    </row>
    <row r="161" spans="1:20" hidden="1" x14ac:dyDescent="0.3">
      <c r="A161" s="1">
        <v>44990</v>
      </c>
      <c r="B161" s="2" t="s">
        <v>20</v>
      </c>
      <c r="C161" s="2" t="s">
        <v>21</v>
      </c>
      <c r="D161" s="2" t="s">
        <v>100</v>
      </c>
      <c r="E161" s="2" t="s">
        <v>101</v>
      </c>
      <c r="F161" s="2" t="s">
        <v>24</v>
      </c>
      <c r="G161">
        <v>3</v>
      </c>
      <c r="H161">
        <v>150</v>
      </c>
      <c r="I161">
        <v>164</v>
      </c>
      <c r="J161" s="3">
        <v>131200</v>
      </c>
      <c r="K161" s="3">
        <v>21516800</v>
      </c>
      <c r="L161" s="2" t="s">
        <v>33</v>
      </c>
      <c r="M161" s="2" t="s">
        <v>26</v>
      </c>
      <c r="N161">
        <v>2023</v>
      </c>
      <c r="O161" s="2" t="s">
        <v>27</v>
      </c>
      <c r="P161" s="2" t="s">
        <v>139</v>
      </c>
      <c r="Q161">
        <v>3</v>
      </c>
      <c r="R161" s="4">
        <v>44986</v>
      </c>
      <c r="S161" s="3">
        <v>131200</v>
      </c>
      <c r="T161" s="3">
        <v>2.15</v>
      </c>
    </row>
    <row r="162" spans="1:20" hidden="1" x14ac:dyDescent="0.3">
      <c r="A162" s="1">
        <v>44991</v>
      </c>
      <c r="B162" s="2" t="s">
        <v>35</v>
      </c>
      <c r="C162" s="2" t="s">
        <v>87</v>
      </c>
      <c r="D162" s="2" t="s">
        <v>31</v>
      </c>
      <c r="E162" s="2" t="s">
        <v>32</v>
      </c>
      <c r="F162" s="2" t="s">
        <v>24</v>
      </c>
      <c r="G162">
        <v>4</v>
      </c>
      <c r="H162">
        <v>195</v>
      </c>
      <c r="I162">
        <v>105</v>
      </c>
      <c r="J162" s="3">
        <v>140300</v>
      </c>
      <c r="K162" s="3">
        <v>14731500</v>
      </c>
      <c r="L162" s="2" t="s">
        <v>25</v>
      </c>
      <c r="M162" s="2" t="s">
        <v>26</v>
      </c>
      <c r="N162">
        <v>2023</v>
      </c>
      <c r="O162" s="2" t="s">
        <v>27</v>
      </c>
      <c r="P162" s="2" t="s">
        <v>139</v>
      </c>
      <c r="Q162">
        <v>3</v>
      </c>
      <c r="R162" s="4">
        <v>44986</v>
      </c>
      <c r="S162" s="3">
        <v>140300</v>
      </c>
      <c r="T162" s="3">
        <v>1.47</v>
      </c>
    </row>
    <row r="163" spans="1:20" hidden="1" x14ac:dyDescent="0.3">
      <c r="A163" s="1">
        <v>44991</v>
      </c>
      <c r="B163" s="2" t="s">
        <v>75</v>
      </c>
      <c r="C163" s="2" t="s">
        <v>122</v>
      </c>
      <c r="D163" s="2" t="s">
        <v>50</v>
      </c>
      <c r="E163" s="2" t="s">
        <v>51</v>
      </c>
      <c r="F163" s="2" t="s">
        <v>39</v>
      </c>
      <c r="G163">
        <v>77</v>
      </c>
      <c r="H163">
        <v>528</v>
      </c>
      <c r="I163">
        <v>51</v>
      </c>
      <c r="J163" s="3">
        <v>4617000</v>
      </c>
      <c r="K163" s="3">
        <v>235467000</v>
      </c>
      <c r="L163" s="2" t="s">
        <v>33</v>
      </c>
      <c r="M163" s="2" t="s">
        <v>77</v>
      </c>
      <c r="N163">
        <v>2023</v>
      </c>
      <c r="O163" s="2" t="s">
        <v>27</v>
      </c>
      <c r="P163" s="2" t="s">
        <v>139</v>
      </c>
      <c r="Q163">
        <v>3</v>
      </c>
      <c r="R163" s="4">
        <v>44986</v>
      </c>
      <c r="S163" s="3">
        <v>4617000</v>
      </c>
      <c r="T163" s="3">
        <v>23.55</v>
      </c>
    </row>
    <row r="164" spans="1:20" hidden="1" x14ac:dyDescent="0.3">
      <c r="A164" s="1">
        <v>44991</v>
      </c>
      <c r="B164" s="2" t="s">
        <v>46</v>
      </c>
      <c r="C164" s="2" t="s">
        <v>47</v>
      </c>
      <c r="D164" s="2" t="s">
        <v>42</v>
      </c>
      <c r="E164" s="2" t="s">
        <v>43</v>
      </c>
      <c r="F164" s="2" t="s">
        <v>24</v>
      </c>
      <c r="G164">
        <v>3</v>
      </c>
      <c r="H164">
        <v>135</v>
      </c>
      <c r="I164">
        <v>161</v>
      </c>
      <c r="J164" s="3">
        <v>127600</v>
      </c>
      <c r="K164" s="3">
        <v>20543600</v>
      </c>
      <c r="L164" s="2" t="s">
        <v>33</v>
      </c>
      <c r="M164" s="2" t="s">
        <v>26</v>
      </c>
      <c r="N164">
        <v>2023</v>
      </c>
      <c r="O164" s="2" t="s">
        <v>27</v>
      </c>
      <c r="P164" s="2" t="s">
        <v>139</v>
      </c>
      <c r="Q164">
        <v>3</v>
      </c>
      <c r="R164" s="4">
        <v>44986</v>
      </c>
      <c r="S164" s="3">
        <v>127600</v>
      </c>
      <c r="T164" s="3">
        <v>2.0499999999999998</v>
      </c>
    </row>
    <row r="165" spans="1:20" hidden="1" x14ac:dyDescent="0.3">
      <c r="A165" s="1">
        <v>44992</v>
      </c>
      <c r="B165" s="2" t="s">
        <v>40</v>
      </c>
      <c r="C165" s="2" t="s">
        <v>105</v>
      </c>
      <c r="D165" s="2" t="s">
        <v>63</v>
      </c>
      <c r="E165" s="2" t="s">
        <v>64</v>
      </c>
      <c r="F165" s="2" t="s">
        <v>24</v>
      </c>
      <c r="G165">
        <v>3</v>
      </c>
      <c r="H165">
        <v>127</v>
      </c>
      <c r="I165">
        <v>53</v>
      </c>
      <c r="J165" s="3">
        <v>157200</v>
      </c>
      <c r="K165" s="3">
        <v>8331600</v>
      </c>
      <c r="L165" s="2" t="s">
        <v>33</v>
      </c>
      <c r="M165" s="2" t="s">
        <v>26</v>
      </c>
      <c r="N165">
        <v>2023</v>
      </c>
      <c r="O165" s="2" t="s">
        <v>27</v>
      </c>
      <c r="P165" s="2" t="s">
        <v>139</v>
      </c>
      <c r="Q165">
        <v>3</v>
      </c>
      <c r="R165" s="4">
        <v>44986</v>
      </c>
      <c r="S165" s="3">
        <v>157200</v>
      </c>
      <c r="T165" s="3">
        <v>0.83</v>
      </c>
    </row>
    <row r="166" spans="1:20" hidden="1" x14ac:dyDescent="0.3">
      <c r="A166" s="1">
        <v>44992</v>
      </c>
      <c r="B166" s="2" t="s">
        <v>40</v>
      </c>
      <c r="C166" s="2" t="s">
        <v>78</v>
      </c>
      <c r="D166" s="2" t="s">
        <v>54</v>
      </c>
      <c r="E166" s="2" t="s">
        <v>55</v>
      </c>
      <c r="F166" s="2" t="s">
        <v>24</v>
      </c>
      <c r="G166">
        <v>30</v>
      </c>
      <c r="H166">
        <v>320</v>
      </c>
      <c r="I166">
        <v>3</v>
      </c>
      <c r="J166" s="3">
        <v>1455400</v>
      </c>
      <c r="K166" s="3">
        <v>4366200</v>
      </c>
      <c r="L166" s="2" t="s">
        <v>33</v>
      </c>
      <c r="M166" s="2" t="s">
        <v>97</v>
      </c>
      <c r="N166">
        <v>2023</v>
      </c>
      <c r="O166" s="2" t="s">
        <v>27</v>
      </c>
      <c r="P166" s="2" t="s">
        <v>139</v>
      </c>
      <c r="Q166">
        <v>3</v>
      </c>
      <c r="R166" s="4">
        <v>44986</v>
      </c>
      <c r="S166" s="3">
        <v>1455400</v>
      </c>
      <c r="T166" s="3">
        <v>0.44</v>
      </c>
    </row>
    <row r="167" spans="1:20" hidden="1" x14ac:dyDescent="0.3">
      <c r="A167" s="1">
        <v>44992</v>
      </c>
      <c r="B167" s="2" t="s">
        <v>40</v>
      </c>
      <c r="C167" s="2" t="s">
        <v>41</v>
      </c>
      <c r="D167" s="2" t="s">
        <v>88</v>
      </c>
      <c r="E167" s="2" t="s">
        <v>111</v>
      </c>
      <c r="F167" s="2" t="s">
        <v>24</v>
      </c>
      <c r="G167">
        <v>60</v>
      </c>
      <c r="H167">
        <v>480</v>
      </c>
      <c r="I167">
        <v>35</v>
      </c>
      <c r="J167" s="3">
        <v>2937200</v>
      </c>
      <c r="K167" s="3">
        <v>102802000</v>
      </c>
      <c r="L167" s="2" t="s">
        <v>33</v>
      </c>
      <c r="M167" s="2" t="s">
        <v>77</v>
      </c>
      <c r="N167">
        <v>2023</v>
      </c>
      <c r="O167" s="2" t="s">
        <v>27</v>
      </c>
      <c r="P167" s="2" t="s">
        <v>139</v>
      </c>
      <c r="Q167">
        <v>3</v>
      </c>
      <c r="R167" s="4">
        <v>44986</v>
      </c>
      <c r="S167" s="3">
        <v>2937200</v>
      </c>
      <c r="T167" s="3">
        <v>10.28</v>
      </c>
    </row>
    <row r="168" spans="1:20" hidden="1" x14ac:dyDescent="0.3">
      <c r="A168" s="1">
        <v>44992</v>
      </c>
      <c r="B168" s="2" t="s">
        <v>20</v>
      </c>
      <c r="C168" s="2" t="s">
        <v>125</v>
      </c>
      <c r="D168" s="2" t="s">
        <v>42</v>
      </c>
      <c r="E168" s="2" t="s">
        <v>43</v>
      </c>
      <c r="F168" s="2" t="s">
        <v>24</v>
      </c>
      <c r="G168">
        <v>3</v>
      </c>
      <c r="H168">
        <v>135</v>
      </c>
      <c r="I168">
        <v>72</v>
      </c>
      <c r="J168" s="3">
        <v>119000</v>
      </c>
      <c r="K168" s="3">
        <v>8568000</v>
      </c>
      <c r="L168" s="2" t="s">
        <v>25</v>
      </c>
      <c r="M168" s="2" t="s">
        <v>26</v>
      </c>
      <c r="N168">
        <v>2023</v>
      </c>
      <c r="O168" s="2" t="s">
        <v>27</v>
      </c>
      <c r="P168" s="2" t="s">
        <v>139</v>
      </c>
      <c r="Q168">
        <v>3</v>
      </c>
      <c r="R168" s="4">
        <v>44986</v>
      </c>
      <c r="S168" s="3">
        <v>119000</v>
      </c>
      <c r="T168" s="3">
        <v>0.86</v>
      </c>
    </row>
    <row r="169" spans="1:20" hidden="1" x14ac:dyDescent="0.3">
      <c r="A169" s="1">
        <v>44993</v>
      </c>
      <c r="B169" s="2" t="s">
        <v>35</v>
      </c>
      <c r="C169" s="2" t="s">
        <v>87</v>
      </c>
      <c r="D169" s="2" t="s">
        <v>67</v>
      </c>
      <c r="E169" s="2" t="s">
        <v>118</v>
      </c>
      <c r="F169" s="2" t="s">
        <v>24</v>
      </c>
      <c r="G169">
        <v>84</v>
      </c>
      <c r="H169">
        <v>590</v>
      </c>
      <c r="I169">
        <v>6</v>
      </c>
      <c r="J169" s="3">
        <v>7090700</v>
      </c>
      <c r="K169" s="3">
        <v>42544200</v>
      </c>
      <c r="L169" s="2" t="s">
        <v>33</v>
      </c>
      <c r="M169" s="2" t="s">
        <v>26</v>
      </c>
      <c r="N169">
        <v>2023</v>
      </c>
      <c r="O169" s="2" t="s">
        <v>27</v>
      </c>
      <c r="P169" s="2" t="s">
        <v>139</v>
      </c>
      <c r="Q169">
        <v>3</v>
      </c>
      <c r="R169" s="4">
        <v>44986</v>
      </c>
      <c r="S169" s="3">
        <v>7090700</v>
      </c>
      <c r="T169" s="3">
        <v>4.25</v>
      </c>
    </row>
    <row r="170" spans="1:20" hidden="1" x14ac:dyDescent="0.3">
      <c r="A170" s="1">
        <v>44994</v>
      </c>
      <c r="B170" s="2" t="s">
        <v>75</v>
      </c>
      <c r="C170" s="2" t="s">
        <v>76</v>
      </c>
      <c r="D170" s="2" t="s">
        <v>54</v>
      </c>
      <c r="E170" s="2" t="s">
        <v>55</v>
      </c>
      <c r="F170" s="2" t="s">
        <v>24</v>
      </c>
      <c r="G170">
        <v>30</v>
      </c>
      <c r="H170">
        <v>320</v>
      </c>
      <c r="I170">
        <v>27</v>
      </c>
      <c r="J170" s="3">
        <v>1210500</v>
      </c>
      <c r="K170" s="3">
        <v>32683500</v>
      </c>
      <c r="L170" s="2" t="s">
        <v>33</v>
      </c>
      <c r="M170" s="2" t="s">
        <v>26</v>
      </c>
      <c r="N170">
        <v>2023</v>
      </c>
      <c r="O170" s="2" t="s">
        <v>27</v>
      </c>
      <c r="P170" s="2" t="s">
        <v>139</v>
      </c>
      <c r="Q170">
        <v>3</v>
      </c>
      <c r="R170" s="4">
        <v>44986</v>
      </c>
      <c r="S170" s="3">
        <v>1210500</v>
      </c>
      <c r="T170" s="3">
        <v>3.27</v>
      </c>
    </row>
    <row r="171" spans="1:20" hidden="1" x14ac:dyDescent="0.3">
      <c r="A171" s="1">
        <v>44995</v>
      </c>
      <c r="B171" s="2" t="s">
        <v>108</v>
      </c>
      <c r="C171" s="2" t="s">
        <v>131</v>
      </c>
      <c r="D171" s="2" t="s">
        <v>22</v>
      </c>
      <c r="E171" s="2" t="s">
        <v>23</v>
      </c>
      <c r="F171" s="2" t="s">
        <v>24</v>
      </c>
      <c r="G171">
        <v>82</v>
      </c>
      <c r="H171">
        <v>520</v>
      </c>
      <c r="I171">
        <v>58</v>
      </c>
      <c r="J171" s="3">
        <v>6562200</v>
      </c>
      <c r="K171" s="3">
        <v>380607600</v>
      </c>
      <c r="L171" s="2" t="s">
        <v>33</v>
      </c>
      <c r="M171" s="2" t="s">
        <v>26</v>
      </c>
      <c r="N171">
        <v>2023</v>
      </c>
      <c r="O171" s="2" t="s">
        <v>27</v>
      </c>
      <c r="P171" s="2" t="s">
        <v>139</v>
      </c>
      <c r="Q171">
        <v>3</v>
      </c>
      <c r="R171" s="4">
        <v>44986</v>
      </c>
      <c r="S171" s="3">
        <v>6562200</v>
      </c>
      <c r="T171" s="3">
        <v>38.06</v>
      </c>
    </row>
    <row r="172" spans="1:20" hidden="1" x14ac:dyDescent="0.3">
      <c r="A172" s="1">
        <v>44995</v>
      </c>
      <c r="B172" s="2" t="s">
        <v>44</v>
      </c>
      <c r="C172" s="2" t="s">
        <v>117</v>
      </c>
      <c r="D172" s="2" t="s">
        <v>22</v>
      </c>
      <c r="E172" s="2" t="s">
        <v>23</v>
      </c>
      <c r="F172" s="2" t="s">
        <v>24</v>
      </c>
      <c r="G172">
        <v>82</v>
      </c>
      <c r="H172">
        <v>520</v>
      </c>
      <c r="I172">
        <v>39</v>
      </c>
      <c r="J172" s="3">
        <v>6552800</v>
      </c>
      <c r="K172" s="3">
        <v>255559200</v>
      </c>
      <c r="L172" s="2" t="s">
        <v>33</v>
      </c>
      <c r="M172" s="2" t="s">
        <v>26</v>
      </c>
      <c r="N172">
        <v>2023</v>
      </c>
      <c r="O172" s="2" t="s">
        <v>27</v>
      </c>
      <c r="P172" s="2" t="s">
        <v>139</v>
      </c>
      <c r="Q172">
        <v>3</v>
      </c>
      <c r="R172" s="4">
        <v>44986</v>
      </c>
      <c r="S172" s="3">
        <v>6552800</v>
      </c>
      <c r="T172" s="3">
        <v>25.56</v>
      </c>
    </row>
    <row r="173" spans="1:20" hidden="1" x14ac:dyDescent="0.3">
      <c r="A173" s="1">
        <v>44996</v>
      </c>
      <c r="B173" s="2" t="s">
        <v>46</v>
      </c>
      <c r="C173" s="2" t="s">
        <v>137</v>
      </c>
      <c r="D173" s="2" t="s">
        <v>79</v>
      </c>
      <c r="E173" s="2" t="s">
        <v>80</v>
      </c>
      <c r="F173" s="2" t="s">
        <v>72</v>
      </c>
      <c r="G173">
        <v>69</v>
      </c>
      <c r="H173">
        <v>418</v>
      </c>
      <c r="I173">
        <v>68</v>
      </c>
      <c r="J173" s="3">
        <v>6439100</v>
      </c>
      <c r="K173" s="3">
        <v>437858800</v>
      </c>
      <c r="L173" s="2" t="s">
        <v>25</v>
      </c>
      <c r="M173" s="2" t="s">
        <v>34</v>
      </c>
      <c r="N173">
        <v>2023</v>
      </c>
      <c r="O173" s="2" t="s">
        <v>27</v>
      </c>
      <c r="P173" s="2" t="s">
        <v>139</v>
      </c>
      <c r="Q173">
        <v>3</v>
      </c>
      <c r="R173" s="4">
        <v>44986</v>
      </c>
      <c r="S173" s="3">
        <v>6439100</v>
      </c>
      <c r="T173" s="3">
        <v>43.79</v>
      </c>
    </row>
    <row r="174" spans="1:20" hidden="1" x14ac:dyDescent="0.3">
      <c r="A174" s="1">
        <v>44996</v>
      </c>
      <c r="B174" s="2" t="s">
        <v>75</v>
      </c>
      <c r="C174" s="2" t="s">
        <v>134</v>
      </c>
      <c r="D174" s="2" t="s">
        <v>79</v>
      </c>
      <c r="E174" s="2" t="s">
        <v>80</v>
      </c>
      <c r="F174" s="2" t="s">
        <v>24</v>
      </c>
      <c r="G174">
        <v>69</v>
      </c>
      <c r="H174">
        <v>418</v>
      </c>
      <c r="I174">
        <v>18</v>
      </c>
      <c r="J174" s="3">
        <v>5220400</v>
      </c>
      <c r="K174" s="3">
        <v>93967200</v>
      </c>
      <c r="L174" s="2" t="s">
        <v>25</v>
      </c>
      <c r="M174" s="2" t="s">
        <v>26</v>
      </c>
      <c r="N174">
        <v>2023</v>
      </c>
      <c r="O174" s="2" t="s">
        <v>27</v>
      </c>
      <c r="P174" s="2" t="s">
        <v>139</v>
      </c>
      <c r="Q174">
        <v>3</v>
      </c>
      <c r="R174" s="4">
        <v>44986</v>
      </c>
      <c r="S174" s="3">
        <v>5220400</v>
      </c>
      <c r="T174" s="3">
        <v>9.4</v>
      </c>
    </row>
    <row r="175" spans="1:20" hidden="1" x14ac:dyDescent="0.3">
      <c r="A175" s="1">
        <v>44997</v>
      </c>
      <c r="B175" s="2" t="s">
        <v>59</v>
      </c>
      <c r="C175" s="2" t="s">
        <v>129</v>
      </c>
      <c r="D175" s="2" t="s">
        <v>22</v>
      </c>
      <c r="E175" s="2" t="s">
        <v>23</v>
      </c>
      <c r="F175" s="2" t="s">
        <v>24</v>
      </c>
      <c r="G175">
        <v>82</v>
      </c>
      <c r="H175">
        <v>520</v>
      </c>
      <c r="I175">
        <v>65</v>
      </c>
      <c r="J175" s="3">
        <v>7021800</v>
      </c>
      <c r="K175" s="3">
        <v>456417000</v>
      </c>
      <c r="L175" s="2" t="s">
        <v>25</v>
      </c>
      <c r="M175" s="2" t="s">
        <v>77</v>
      </c>
      <c r="N175">
        <v>2023</v>
      </c>
      <c r="O175" s="2" t="s">
        <v>27</v>
      </c>
      <c r="P175" s="2" t="s">
        <v>139</v>
      </c>
      <c r="Q175">
        <v>3</v>
      </c>
      <c r="R175" s="4">
        <v>44986</v>
      </c>
      <c r="S175" s="3">
        <v>7021800</v>
      </c>
      <c r="T175" s="3">
        <v>45.64</v>
      </c>
    </row>
    <row r="176" spans="1:20" hidden="1" x14ac:dyDescent="0.3">
      <c r="A176" s="1">
        <v>44997</v>
      </c>
      <c r="B176" s="2" t="s">
        <v>40</v>
      </c>
      <c r="C176" s="2" t="s">
        <v>136</v>
      </c>
      <c r="D176" s="2" t="s">
        <v>31</v>
      </c>
      <c r="E176" s="2" t="s">
        <v>32</v>
      </c>
      <c r="F176" s="2" t="s">
        <v>24</v>
      </c>
      <c r="G176">
        <v>4</v>
      </c>
      <c r="H176">
        <v>195</v>
      </c>
      <c r="I176">
        <v>67</v>
      </c>
      <c r="J176" s="3">
        <v>147200</v>
      </c>
      <c r="K176" s="3">
        <v>9862400</v>
      </c>
      <c r="L176" s="2" t="s">
        <v>33</v>
      </c>
      <c r="M176" s="2" t="s">
        <v>26</v>
      </c>
      <c r="N176">
        <v>2023</v>
      </c>
      <c r="O176" s="2" t="s">
        <v>27</v>
      </c>
      <c r="P176" s="2" t="s">
        <v>139</v>
      </c>
      <c r="Q176">
        <v>3</v>
      </c>
      <c r="R176" s="4">
        <v>44986</v>
      </c>
      <c r="S176" s="3">
        <v>147200</v>
      </c>
      <c r="T176" s="3">
        <v>0.99</v>
      </c>
    </row>
    <row r="177" spans="1:20" hidden="1" x14ac:dyDescent="0.3">
      <c r="A177" s="1">
        <v>44997</v>
      </c>
      <c r="B177" s="2" t="s">
        <v>20</v>
      </c>
      <c r="C177" s="2" t="s">
        <v>112</v>
      </c>
      <c r="D177" s="2" t="s">
        <v>82</v>
      </c>
      <c r="E177" s="2" t="s">
        <v>83</v>
      </c>
      <c r="F177" s="2" t="s">
        <v>24</v>
      </c>
      <c r="G177">
        <v>40</v>
      </c>
      <c r="H177">
        <v>39</v>
      </c>
      <c r="I177">
        <v>63</v>
      </c>
      <c r="J177" s="3">
        <v>2456400</v>
      </c>
      <c r="K177" s="3">
        <v>154753200</v>
      </c>
      <c r="L177" s="2" t="s">
        <v>33</v>
      </c>
      <c r="M177" s="2" t="s">
        <v>26</v>
      </c>
      <c r="N177">
        <v>2023</v>
      </c>
      <c r="O177" s="2" t="s">
        <v>27</v>
      </c>
      <c r="P177" s="2" t="s">
        <v>139</v>
      </c>
      <c r="Q177">
        <v>3</v>
      </c>
      <c r="R177" s="4">
        <v>44986</v>
      </c>
      <c r="S177" s="3">
        <v>2456400</v>
      </c>
      <c r="T177" s="3">
        <v>15.48</v>
      </c>
    </row>
    <row r="178" spans="1:20" hidden="1" x14ac:dyDescent="0.3">
      <c r="A178" s="1">
        <v>44998</v>
      </c>
      <c r="B178" s="2" t="s">
        <v>35</v>
      </c>
      <c r="C178" s="2" t="s">
        <v>121</v>
      </c>
      <c r="D178" s="2" t="s">
        <v>88</v>
      </c>
      <c r="E178" s="2" t="s">
        <v>111</v>
      </c>
      <c r="F178" s="2" t="s">
        <v>24</v>
      </c>
      <c r="G178">
        <v>60</v>
      </c>
      <c r="H178">
        <v>480</v>
      </c>
      <c r="I178">
        <v>60</v>
      </c>
      <c r="J178" s="3">
        <v>3137400</v>
      </c>
      <c r="K178" s="3">
        <v>188244000</v>
      </c>
      <c r="L178" s="2" t="s">
        <v>33</v>
      </c>
      <c r="M178" s="2" t="s">
        <v>26</v>
      </c>
      <c r="N178">
        <v>2023</v>
      </c>
      <c r="O178" s="2" t="s">
        <v>27</v>
      </c>
      <c r="P178" s="2" t="s">
        <v>139</v>
      </c>
      <c r="Q178">
        <v>3</v>
      </c>
      <c r="R178" s="4">
        <v>44986</v>
      </c>
      <c r="S178" s="3">
        <v>3137400</v>
      </c>
      <c r="T178" s="3">
        <v>18.82</v>
      </c>
    </row>
    <row r="179" spans="1:20" hidden="1" x14ac:dyDescent="0.3">
      <c r="A179" s="1">
        <v>44998</v>
      </c>
      <c r="B179" s="2" t="s">
        <v>84</v>
      </c>
      <c r="C179" s="2" t="s">
        <v>85</v>
      </c>
      <c r="D179" s="2" t="s">
        <v>100</v>
      </c>
      <c r="E179" s="2" t="s">
        <v>101</v>
      </c>
      <c r="F179" s="2" t="s">
        <v>24</v>
      </c>
      <c r="G179">
        <v>3</v>
      </c>
      <c r="H179">
        <v>150</v>
      </c>
      <c r="I179">
        <v>81</v>
      </c>
      <c r="J179" s="3">
        <v>176200</v>
      </c>
      <c r="K179" s="3">
        <v>14272200</v>
      </c>
      <c r="L179" s="2" t="s">
        <v>33</v>
      </c>
      <c r="M179" s="2" t="s">
        <v>77</v>
      </c>
      <c r="N179">
        <v>2023</v>
      </c>
      <c r="O179" s="2" t="s">
        <v>27</v>
      </c>
      <c r="P179" s="2" t="s">
        <v>139</v>
      </c>
      <c r="Q179">
        <v>3</v>
      </c>
      <c r="R179" s="4">
        <v>44986</v>
      </c>
      <c r="S179" s="3">
        <v>176200</v>
      </c>
      <c r="T179" s="3">
        <v>1.43</v>
      </c>
    </row>
    <row r="180" spans="1:20" hidden="1" x14ac:dyDescent="0.3">
      <c r="A180" s="1">
        <v>44998</v>
      </c>
      <c r="B180" s="2" t="s">
        <v>35</v>
      </c>
      <c r="C180" s="2" t="s">
        <v>121</v>
      </c>
      <c r="D180" s="2" t="s">
        <v>42</v>
      </c>
      <c r="E180" s="2" t="s">
        <v>43</v>
      </c>
      <c r="F180" s="2" t="s">
        <v>24</v>
      </c>
      <c r="G180">
        <v>3</v>
      </c>
      <c r="H180">
        <v>135</v>
      </c>
      <c r="I180">
        <v>124</v>
      </c>
      <c r="J180" s="3">
        <v>106800</v>
      </c>
      <c r="K180" s="3">
        <v>13243200</v>
      </c>
      <c r="L180" s="2" t="s">
        <v>33</v>
      </c>
      <c r="M180" s="2" t="s">
        <v>34</v>
      </c>
      <c r="N180">
        <v>2023</v>
      </c>
      <c r="O180" s="2" t="s">
        <v>27</v>
      </c>
      <c r="P180" s="2" t="s">
        <v>139</v>
      </c>
      <c r="Q180">
        <v>3</v>
      </c>
      <c r="R180" s="4">
        <v>44986</v>
      </c>
      <c r="S180" s="3">
        <v>106800</v>
      </c>
      <c r="T180" s="3">
        <v>1.32</v>
      </c>
    </row>
    <row r="181" spans="1:20" hidden="1" x14ac:dyDescent="0.3">
      <c r="A181" s="1">
        <v>44998</v>
      </c>
      <c r="B181" s="2" t="s">
        <v>46</v>
      </c>
      <c r="C181" s="2" t="s">
        <v>56</v>
      </c>
      <c r="D181" s="2" t="s">
        <v>102</v>
      </c>
      <c r="E181" s="2" t="s">
        <v>103</v>
      </c>
      <c r="F181" s="2" t="s">
        <v>24</v>
      </c>
      <c r="G181">
        <v>5</v>
      </c>
      <c r="H181">
        <v>150</v>
      </c>
      <c r="I181">
        <v>35</v>
      </c>
      <c r="J181" s="3">
        <v>143500</v>
      </c>
      <c r="K181" s="3">
        <v>5022500</v>
      </c>
      <c r="L181" s="2" t="s">
        <v>33</v>
      </c>
      <c r="M181" s="2" t="s">
        <v>77</v>
      </c>
      <c r="N181">
        <v>2023</v>
      </c>
      <c r="O181" s="2" t="s">
        <v>27</v>
      </c>
      <c r="P181" s="2" t="s">
        <v>139</v>
      </c>
      <c r="Q181">
        <v>3</v>
      </c>
      <c r="R181" s="4">
        <v>44986</v>
      </c>
      <c r="S181" s="3">
        <v>143500</v>
      </c>
      <c r="T181" s="3">
        <v>0.5</v>
      </c>
    </row>
    <row r="182" spans="1:20" hidden="1" x14ac:dyDescent="0.3">
      <c r="A182" s="1">
        <v>44999</v>
      </c>
      <c r="B182" s="2" t="s">
        <v>35</v>
      </c>
      <c r="C182" s="2" t="s">
        <v>132</v>
      </c>
      <c r="D182" s="2" t="s">
        <v>50</v>
      </c>
      <c r="E182" s="2" t="s">
        <v>51</v>
      </c>
      <c r="F182" s="2" t="s">
        <v>24</v>
      </c>
      <c r="G182">
        <v>77</v>
      </c>
      <c r="H182">
        <v>528</v>
      </c>
      <c r="I182">
        <v>32</v>
      </c>
      <c r="J182" s="3">
        <v>4505600</v>
      </c>
      <c r="K182" s="3">
        <v>144179200</v>
      </c>
      <c r="L182" s="2" t="s">
        <v>33</v>
      </c>
      <c r="M182" s="2" t="s">
        <v>34</v>
      </c>
      <c r="N182">
        <v>2023</v>
      </c>
      <c r="O182" s="2" t="s">
        <v>27</v>
      </c>
      <c r="P182" s="2" t="s">
        <v>139</v>
      </c>
      <c r="Q182">
        <v>3</v>
      </c>
      <c r="R182" s="4">
        <v>44986</v>
      </c>
      <c r="S182" s="3">
        <v>4505600</v>
      </c>
      <c r="T182" s="3">
        <v>14.42</v>
      </c>
    </row>
    <row r="183" spans="1:20" hidden="1" x14ac:dyDescent="0.3">
      <c r="A183" s="1">
        <v>44999</v>
      </c>
      <c r="B183" s="2" t="s">
        <v>40</v>
      </c>
      <c r="C183" s="2" t="s">
        <v>41</v>
      </c>
      <c r="D183" s="2" t="s">
        <v>37</v>
      </c>
      <c r="E183" s="2" t="s">
        <v>38</v>
      </c>
      <c r="F183" s="2" t="s">
        <v>24</v>
      </c>
      <c r="G183">
        <v>66</v>
      </c>
      <c r="H183">
        <v>423</v>
      </c>
      <c r="I183">
        <v>57</v>
      </c>
      <c r="J183" s="3">
        <v>7388100</v>
      </c>
      <c r="K183" s="3">
        <v>421121700</v>
      </c>
      <c r="L183" s="2" t="s">
        <v>92</v>
      </c>
      <c r="M183" s="2" t="s">
        <v>26</v>
      </c>
      <c r="N183">
        <v>2023</v>
      </c>
      <c r="O183" s="2" t="s">
        <v>27</v>
      </c>
      <c r="P183" s="2" t="s">
        <v>139</v>
      </c>
      <c r="Q183">
        <v>3</v>
      </c>
      <c r="R183" s="4">
        <v>44986</v>
      </c>
      <c r="S183" s="3">
        <v>7388100</v>
      </c>
      <c r="T183" s="3">
        <v>42.11</v>
      </c>
    </row>
    <row r="184" spans="1:20" hidden="1" x14ac:dyDescent="0.3">
      <c r="A184" s="1">
        <v>44999</v>
      </c>
      <c r="B184" s="2" t="s">
        <v>35</v>
      </c>
      <c r="C184" s="2" t="s">
        <v>121</v>
      </c>
      <c r="D184" s="2" t="s">
        <v>31</v>
      </c>
      <c r="E184" s="2" t="s">
        <v>124</v>
      </c>
      <c r="F184" s="2" t="s">
        <v>24</v>
      </c>
      <c r="G184">
        <v>3</v>
      </c>
      <c r="H184">
        <v>151</v>
      </c>
      <c r="I184">
        <v>95</v>
      </c>
      <c r="J184" s="3">
        <v>124100</v>
      </c>
      <c r="K184" s="3">
        <v>11789500</v>
      </c>
      <c r="L184" s="2" t="s">
        <v>25</v>
      </c>
      <c r="M184" s="2" t="s">
        <v>77</v>
      </c>
      <c r="N184">
        <v>2023</v>
      </c>
      <c r="O184" s="2" t="s">
        <v>27</v>
      </c>
      <c r="P184" s="2" t="s">
        <v>139</v>
      </c>
      <c r="Q184">
        <v>3</v>
      </c>
      <c r="R184" s="4">
        <v>44986</v>
      </c>
      <c r="S184" s="3">
        <v>124100</v>
      </c>
      <c r="T184" s="3">
        <v>1.18</v>
      </c>
    </row>
    <row r="185" spans="1:20" hidden="1" x14ac:dyDescent="0.3">
      <c r="A185" s="1">
        <v>44999</v>
      </c>
      <c r="B185" s="2" t="s">
        <v>106</v>
      </c>
      <c r="C185" s="2" t="s">
        <v>119</v>
      </c>
      <c r="D185" s="2" t="s">
        <v>82</v>
      </c>
      <c r="E185" s="2" t="s">
        <v>141</v>
      </c>
      <c r="F185" s="2" t="s">
        <v>24</v>
      </c>
      <c r="G185">
        <v>59</v>
      </c>
      <c r="H185">
        <v>55</v>
      </c>
      <c r="I185">
        <v>28</v>
      </c>
      <c r="J185" s="3">
        <v>2974700</v>
      </c>
      <c r="K185" s="3">
        <v>83291600</v>
      </c>
      <c r="L185" s="2" t="s">
        <v>33</v>
      </c>
      <c r="M185" s="2" t="s">
        <v>77</v>
      </c>
      <c r="N185">
        <v>2023</v>
      </c>
      <c r="O185" s="2" t="s">
        <v>27</v>
      </c>
      <c r="P185" s="2" t="s">
        <v>139</v>
      </c>
      <c r="Q185">
        <v>3</v>
      </c>
      <c r="R185" s="4">
        <v>44986</v>
      </c>
      <c r="S185" s="3">
        <v>2974700</v>
      </c>
      <c r="T185" s="3">
        <v>8.33</v>
      </c>
    </row>
    <row r="186" spans="1:20" hidden="1" x14ac:dyDescent="0.3">
      <c r="A186" s="1">
        <v>44999</v>
      </c>
      <c r="B186" s="2" t="s">
        <v>46</v>
      </c>
      <c r="C186" s="2" t="s">
        <v>110</v>
      </c>
      <c r="D186" s="2" t="s">
        <v>100</v>
      </c>
      <c r="E186" s="2" t="s">
        <v>101</v>
      </c>
      <c r="F186" s="2" t="s">
        <v>24</v>
      </c>
      <c r="G186">
        <v>3</v>
      </c>
      <c r="H186">
        <v>150</v>
      </c>
      <c r="I186">
        <v>179</v>
      </c>
      <c r="J186" s="3">
        <v>148000</v>
      </c>
      <c r="K186" s="3">
        <v>26492000</v>
      </c>
      <c r="L186" s="2" t="s">
        <v>33</v>
      </c>
      <c r="M186" s="2" t="s">
        <v>26</v>
      </c>
      <c r="N186">
        <v>2023</v>
      </c>
      <c r="O186" s="2" t="s">
        <v>27</v>
      </c>
      <c r="P186" s="2" t="s">
        <v>139</v>
      </c>
      <c r="Q186">
        <v>3</v>
      </c>
      <c r="R186" s="4">
        <v>44986</v>
      </c>
      <c r="S186" s="3">
        <v>148000</v>
      </c>
      <c r="T186" s="3">
        <v>2.65</v>
      </c>
    </row>
    <row r="187" spans="1:20" hidden="1" x14ac:dyDescent="0.3">
      <c r="A187" s="1">
        <v>44999</v>
      </c>
      <c r="B187" s="2" t="s">
        <v>59</v>
      </c>
      <c r="C187" s="2" t="s">
        <v>60</v>
      </c>
      <c r="D187" s="2" t="s">
        <v>70</v>
      </c>
      <c r="E187" s="2" t="s">
        <v>74</v>
      </c>
      <c r="F187" s="2" t="s">
        <v>24</v>
      </c>
      <c r="G187">
        <v>25</v>
      </c>
      <c r="H187">
        <v>32</v>
      </c>
      <c r="I187">
        <v>32</v>
      </c>
      <c r="J187" s="3">
        <v>1123200</v>
      </c>
      <c r="K187" s="3">
        <v>35942400</v>
      </c>
      <c r="L187" s="2" t="s">
        <v>33</v>
      </c>
      <c r="M187" s="2" t="s">
        <v>34</v>
      </c>
      <c r="N187">
        <v>2023</v>
      </c>
      <c r="O187" s="2" t="s">
        <v>27</v>
      </c>
      <c r="P187" s="2" t="s">
        <v>139</v>
      </c>
      <c r="Q187">
        <v>3</v>
      </c>
      <c r="R187" s="4">
        <v>44986</v>
      </c>
      <c r="S187" s="3">
        <v>1123200</v>
      </c>
      <c r="T187" s="3">
        <v>3.59</v>
      </c>
    </row>
    <row r="188" spans="1:20" hidden="1" x14ac:dyDescent="0.3">
      <c r="A188" s="1">
        <v>44999</v>
      </c>
      <c r="B188" s="2" t="s">
        <v>46</v>
      </c>
      <c r="C188" s="2" t="s">
        <v>137</v>
      </c>
      <c r="D188" s="2" t="s">
        <v>100</v>
      </c>
      <c r="E188" s="2" t="s">
        <v>101</v>
      </c>
      <c r="F188" s="2" t="s">
        <v>24</v>
      </c>
      <c r="G188">
        <v>3</v>
      </c>
      <c r="H188">
        <v>150</v>
      </c>
      <c r="I188">
        <v>99</v>
      </c>
      <c r="J188" s="3">
        <v>143700</v>
      </c>
      <c r="K188" s="3">
        <v>14226300</v>
      </c>
      <c r="L188" s="2" t="s">
        <v>33</v>
      </c>
      <c r="M188" s="2" t="s">
        <v>26</v>
      </c>
      <c r="N188">
        <v>2023</v>
      </c>
      <c r="O188" s="2" t="s">
        <v>27</v>
      </c>
      <c r="P188" s="2" t="s">
        <v>139</v>
      </c>
      <c r="Q188">
        <v>3</v>
      </c>
      <c r="R188" s="4">
        <v>44986</v>
      </c>
      <c r="S188" s="3">
        <v>143700</v>
      </c>
      <c r="T188" s="3">
        <v>1.42</v>
      </c>
    </row>
    <row r="189" spans="1:20" hidden="1" x14ac:dyDescent="0.3">
      <c r="A189" s="1">
        <v>45000</v>
      </c>
      <c r="B189" s="2" t="s">
        <v>20</v>
      </c>
      <c r="C189" s="2" t="s">
        <v>21</v>
      </c>
      <c r="D189" s="2" t="s">
        <v>50</v>
      </c>
      <c r="E189" s="2" t="s">
        <v>51</v>
      </c>
      <c r="F189" s="2" t="s">
        <v>24</v>
      </c>
      <c r="G189">
        <v>77</v>
      </c>
      <c r="H189">
        <v>528</v>
      </c>
      <c r="I189">
        <v>50</v>
      </c>
      <c r="J189" s="3">
        <v>4982300</v>
      </c>
      <c r="K189" s="3">
        <v>249115000</v>
      </c>
      <c r="L189" s="2" t="s">
        <v>33</v>
      </c>
      <c r="M189" s="2" t="s">
        <v>77</v>
      </c>
      <c r="N189">
        <v>2023</v>
      </c>
      <c r="O189" s="2" t="s">
        <v>27</v>
      </c>
      <c r="P189" s="2" t="s">
        <v>139</v>
      </c>
      <c r="Q189">
        <v>3</v>
      </c>
      <c r="R189" s="4">
        <v>44986</v>
      </c>
      <c r="S189" s="3">
        <v>4982300</v>
      </c>
      <c r="T189" s="3">
        <v>24.91</v>
      </c>
    </row>
    <row r="190" spans="1:20" hidden="1" x14ac:dyDescent="0.3">
      <c r="A190" s="1">
        <v>45001</v>
      </c>
      <c r="B190" s="2" t="s">
        <v>48</v>
      </c>
      <c r="C190" s="2" t="s">
        <v>49</v>
      </c>
      <c r="D190" s="2" t="s">
        <v>31</v>
      </c>
      <c r="E190" s="2" t="s">
        <v>124</v>
      </c>
      <c r="F190" s="2" t="s">
        <v>24</v>
      </c>
      <c r="G190">
        <v>3</v>
      </c>
      <c r="H190">
        <v>151</v>
      </c>
      <c r="I190">
        <v>96</v>
      </c>
      <c r="J190" s="3">
        <v>117400</v>
      </c>
      <c r="K190" s="3">
        <v>11270400</v>
      </c>
      <c r="L190" s="2" t="s">
        <v>33</v>
      </c>
      <c r="M190" s="2" t="s">
        <v>77</v>
      </c>
      <c r="N190">
        <v>2023</v>
      </c>
      <c r="O190" s="2" t="s">
        <v>27</v>
      </c>
      <c r="P190" s="2" t="s">
        <v>139</v>
      </c>
      <c r="Q190">
        <v>3</v>
      </c>
      <c r="R190" s="4">
        <v>44986</v>
      </c>
      <c r="S190" s="3">
        <v>117400</v>
      </c>
      <c r="T190" s="3">
        <v>1.1299999999999999</v>
      </c>
    </row>
    <row r="191" spans="1:20" hidden="1" x14ac:dyDescent="0.3">
      <c r="A191" s="1">
        <v>45001</v>
      </c>
      <c r="B191" s="2" t="s">
        <v>29</v>
      </c>
      <c r="C191" s="2" t="s">
        <v>96</v>
      </c>
      <c r="D191" s="2" t="s">
        <v>88</v>
      </c>
      <c r="E191" s="2" t="s">
        <v>111</v>
      </c>
      <c r="F191" s="2" t="s">
        <v>24</v>
      </c>
      <c r="G191">
        <v>60</v>
      </c>
      <c r="H191">
        <v>480</v>
      </c>
      <c r="I191">
        <v>56</v>
      </c>
      <c r="J191" s="3">
        <v>3490900</v>
      </c>
      <c r="K191" s="3">
        <v>195490400</v>
      </c>
      <c r="L191" s="2" t="s">
        <v>33</v>
      </c>
      <c r="M191" s="2" t="s">
        <v>26</v>
      </c>
      <c r="N191">
        <v>2023</v>
      </c>
      <c r="O191" s="2" t="s">
        <v>27</v>
      </c>
      <c r="P191" s="2" t="s">
        <v>139</v>
      </c>
      <c r="Q191">
        <v>3</v>
      </c>
      <c r="R191" s="4">
        <v>44986</v>
      </c>
      <c r="S191" s="3">
        <v>3490900</v>
      </c>
      <c r="T191" s="3">
        <v>19.55</v>
      </c>
    </row>
    <row r="192" spans="1:20" hidden="1" x14ac:dyDescent="0.3">
      <c r="A192" s="1">
        <v>45002</v>
      </c>
      <c r="B192" s="2" t="s">
        <v>90</v>
      </c>
      <c r="C192" s="2" t="s">
        <v>128</v>
      </c>
      <c r="D192" s="2" t="s">
        <v>88</v>
      </c>
      <c r="E192" s="2" t="s">
        <v>111</v>
      </c>
      <c r="F192" s="2" t="s">
        <v>24</v>
      </c>
      <c r="G192">
        <v>60</v>
      </c>
      <c r="H192">
        <v>480</v>
      </c>
      <c r="I192">
        <v>43</v>
      </c>
      <c r="J192" s="3">
        <v>2815500</v>
      </c>
      <c r="K192" s="3">
        <v>121066500</v>
      </c>
      <c r="L192" s="2" t="s">
        <v>33</v>
      </c>
      <c r="M192" s="2" t="s">
        <v>26</v>
      </c>
      <c r="N192">
        <v>2023</v>
      </c>
      <c r="O192" s="2" t="s">
        <v>27</v>
      </c>
      <c r="P192" s="2" t="s">
        <v>139</v>
      </c>
      <c r="Q192">
        <v>3</v>
      </c>
      <c r="R192" s="4">
        <v>44986</v>
      </c>
      <c r="S192" s="3">
        <v>2815500</v>
      </c>
      <c r="T192" s="3">
        <v>12.11</v>
      </c>
    </row>
    <row r="193" spans="1:20" hidden="1" x14ac:dyDescent="0.3">
      <c r="A193" s="1">
        <v>45002</v>
      </c>
      <c r="B193" s="2" t="s">
        <v>29</v>
      </c>
      <c r="C193" s="2" t="s">
        <v>96</v>
      </c>
      <c r="D193" s="2" t="s">
        <v>100</v>
      </c>
      <c r="E193" s="2" t="s">
        <v>101</v>
      </c>
      <c r="F193" s="2" t="s">
        <v>24</v>
      </c>
      <c r="G193">
        <v>3</v>
      </c>
      <c r="H193">
        <v>150</v>
      </c>
      <c r="I193">
        <v>16</v>
      </c>
      <c r="J193" s="3">
        <v>168500</v>
      </c>
      <c r="K193" s="3">
        <v>2696000</v>
      </c>
      <c r="L193" s="2" t="s">
        <v>33</v>
      </c>
      <c r="M193" s="2" t="s">
        <v>77</v>
      </c>
      <c r="N193">
        <v>2023</v>
      </c>
      <c r="O193" s="2" t="s">
        <v>27</v>
      </c>
      <c r="P193" s="2" t="s">
        <v>139</v>
      </c>
      <c r="Q193">
        <v>3</v>
      </c>
      <c r="R193" s="4">
        <v>44986</v>
      </c>
      <c r="S193" s="3">
        <v>168500</v>
      </c>
      <c r="T193" s="3">
        <v>0.27</v>
      </c>
    </row>
    <row r="194" spans="1:20" hidden="1" x14ac:dyDescent="0.3">
      <c r="A194" s="1">
        <v>45002</v>
      </c>
      <c r="B194" s="2" t="s">
        <v>59</v>
      </c>
      <c r="C194" s="2" t="s">
        <v>60</v>
      </c>
      <c r="D194" s="2" t="s">
        <v>50</v>
      </c>
      <c r="E194" s="2" t="s">
        <v>51</v>
      </c>
      <c r="F194" s="2" t="s">
        <v>24</v>
      </c>
      <c r="G194">
        <v>77</v>
      </c>
      <c r="H194">
        <v>528</v>
      </c>
      <c r="I194">
        <v>66</v>
      </c>
      <c r="J194" s="3">
        <v>4635700</v>
      </c>
      <c r="K194" s="3">
        <v>305956200</v>
      </c>
      <c r="L194" s="2" t="s">
        <v>33</v>
      </c>
      <c r="M194" s="2" t="s">
        <v>26</v>
      </c>
      <c r="N194">
        <v>2023</v>
      </c>
      <c r="O194" s="2" t="s">
        <v>27</v>
      </c>
      <c r="P194" s="2" t="s">
        <v>139</v>
      </c>
      <c r="Q194">
        <v>3</v>
      </c>
      <c r="R194" s="4">
        <v>44986</v>
      </c>
      <c r="S194" s="3">
        <v>4635700</v>
      </c>
      <c r="T194" s="3">
        <v>30.6</v>
      </c>
    </row>
    <row r="195" spans="1:20" hidden="1" x14ac:dyDescent="0.3">
      <c r="A195" s="1">
        <v>45002</v>
      </c>
      <c r="B195" s="2" t="s">
        <v>35</v>
      </c>
      <c r="C195" s="2" t="s">
        <v>132</v>
      </c>
      <c r="D195" s="2" t="s">
        <v>102</v>
      </c>
      <c r="E195" s="2" t="s">
        <v>103</v>
      </c>
      <c r="F195" s="2" t="s">
        <v>24</v>
      </c>
      <c r="G195">
        <v>5</v>
      </c>
      <c r="H195">
        <v>150</v>
      </c>
      <c r="I195">
        <v>137</v>
      </c>
      <c r="J195" s="3">
        <v>187500</v>
      </c>
      <c r="K195" s="3">
        <v>25687500</v>
      </c>
      <c r="L195" s="2" t="s">
        <v>33</v>
      </c>
      <c r="M195" s="2" t="s">
        <v>26</v>
      </c>
      <c r="N195">
        <v>2023</v>
      </c>
      <c r="O195" s="2" t="s">
        <v>27</v>
      </c>
      <c r="P195" s="2" t="s">
        <v>139</v>
      </c>
      <c r="Q195">
        <v>3</v>
      </c>
      <c r="R195" s="4">
        <v>44986</v>
      </c>
      <c r="S195" s="3">
        <v>187500</v>
      </c>
      <c r="T195" s="3">
        <v>2.57</v>
      </c>
    </row>
    <row r="196" spans="1:20" hidden="1" x14ac:dyDescent="0.3">
      <c r="A196" s="1">
        <v>45002</v>
      </c>
      <c r="B196" s="2" t="s">
        <v>59</v>
      </c>
      <c r="C196" s="2" t="s">
        <v>129</v>
      </c>
      <c r="D196" s="2" t="s">
        <v>88</v>
      </c>
      <c r="E196" s="2" t="s">
        <v>111</v>
      </c>
      <c r="F196" s="2" t="s">
        <v>24</v>
      </c>
      <c r="G196">
        <v>60</v>
      </c>
      <c r="H196">
        <v>480</v>
      </c>
      <c r="I196">
        <v>57</v>
      </c>
      <c r="J196" s="3">
        <v>2884700</v>
      </c>
      <c r="K196" s="3">
        <v>164427900</v>
      </c>
      <c r="L196" s="2" t="s">
        <v>33</v>
      </c>
      <c r="M196" s="2" t="s">
        <v>26</v>
      </c>
      <c r="N196">
        <v>2023</v>
      </c>
      <c r="O196" s="2" t="s">
        <v>27</v>
      </c>
      <c r="P196" s="2" t="s">
        <v>139</v>
      </c>
      <c r="Q196">
        <v>3</v>
      </c>
      <c r="R196" s="4">
        <v>44986</v>
      </c>
      <c r="S196" s="3">
        <v>2884700</v>
      </c>
      <c r="T196" s="3">
        <v>16.440000000000001</v>
      </c>
    </row>
    <row r="197" spans="1:20" hidden="1" x14ac:dyDescent="0.3">
      <c r="A197" s="1">
        <v>45002</v>
      </c>
      <c r="B197" s="2" t="s">
        <v>40</v>
      </c>
      <c r="C197" s="2" t="s">
        <v>136</v>
      </c>
      <c r="D197" s="2" t="s">
        <v>57</v>
      </c>
      <c r="E197" s="2" t="s">
        <v>58</v>
      </c>
      <c r="F197" s="2" t="s">
        <v>24</v>
      </c>
      <c r="G197">
        <v>72</v>
      </c>
      <c r="H197">
        <v>488</v>
      </c>
      <c r="I197">
        <v>151</v>
      </c>
      <c r="J197" s="3">
        <v>5659300</v>
      </c>
      <c r="K197" s="3">
        <v>854554300</v>
      </c>
      <c r="L197" s="2" t="s">
        <v>33</v>
      </c>
      <c r="M197" s="2" t="s">
        <v>97</v>
      </c>
      <c r="N197">
        <v>2023</v>
      </c>
      <c r="O197" s="2" t="s">
        <v>27</v>
      </c>
      <c r="P197" s="2" t="s">
        <v>139</v>
      </c>
      <c r="Q197">
        <v>3</v>
      </c>
      <c r="R197" s="4">
        <v>44986</v>
      </c>
      <c r="S197" s="3">
        <v>5659300</v>
      </c>
      <c r="T197" s="3">
        <v>85.46</v>
      </c>
    </row>
    <row r="198" spans="1:20" hidden="1" x14ac:dyDescent="0.3">
      <c r="A198" s="1">
        <v>45002</v>
      </c>
      <c r="B198" s="2" t="s">
        <v>40</v>
      </c>
      <c r="C198" s="2" t="s">
        <v>105</v>
      </c>
      <c r="D198" s="2" t="s">
        <v>67</v>
      </c>
      <c r="E198" s="2" t="s">
        <v>118</v>
      </c>
      <c r="F198" s="2" t="s">
        <v>39</v>
      </c>
      <c r="G198">
        <v>84</v>
      </c>
      <c r="H198">
        <v>590</v>
      </c>
      <c r="I198">
        <v>36</v>
      </c>
      <c r="J198" s="3">
        <v>7141900</v>
      </c>
      <c r="K198" s="3">
        <v>257108400</v>
      </c>
      <c r="L198" s="2" t="s">
        <v>33</v>
      </c>
      <c r="M198" s="2" t="s">
        <v>26</v>
      </c>
      <c r="N198">
        <v>2023</v>
      </c>
      <c r="O198" s="2" t="s">
        <v>27</v>
      </c>
      <c r="P198" s="2" t="s">
        <v>139</v>
      </c>
      <c r="Q198">
        <v>3</v>
      </c>
      <c r="R198" s="4">
        <v>44986</v>
      </c>
      <c r="S198" s="3">
        <v>7141900</v>
      </c>
      <c r="T198" s="3">
        <v>25.71</v>
      </c>
    </row>
    <row r="199" spans="1:20" hidden="1" x14ac:dyDescent="0.3">
      <c r="A199" s="1">
        <v>45003</v>
      </c>
      <c r="B199" s="2" t="s">
        <v>29</v>
      </c>
      <c r="C199" s="2" t="s">
        <v>96</v>
      </c>
      <c r="D199" s="2" t="s">
        <v>50</v>
      </c>
      <c r="E199" s="2" t="s">
        <v>51</v>
      </c>
      <c r="F199" s="2" t="s">
        <v>24</v>
      </c>
      <c r="G199">
        <v>77</v>
      </c>
      <c r="H199">
        <v>528</v>
      </c>
      <c r="I199">
        <v>41</v>
      </c>
      <c r="J199" s="3">
        <v>5710500</v>
      </c>
      <c r="K199" s="3">
        <v>234130500</v>
      </c>
      <c r="L199" s="2" t="s">
        <v>33</v>
      </c>
      <c r="M199" s="2" t="s">
        <v>26</v>
      </c>
      <c r="N199">
        <v>2023</v>
      </c>
      <c r="O199" s="2" t="s">
        <v>27</v>
      </c>
      <c r="P199" s="2" t="s">
        <v>139</v>
      </c>
      <c r="Q199">
        <v>3</v>
      </c>
      <c r="R199" s="4">
        <v>44986</v>
      </c>
      <c r="S199" s="3">
        <v>5710500</v>
      </c>
      <c r="T199" s="3">
        <v>23.41</v>
      </c>
    </row>
    <row r="200" spans="1:20" hidden="1" x14ac:dyDescent="0.3">
      <c r="A200" s="1">
        <v>45003</v>
      </c>
      <c r="B200" s="2" t="s">
        <v>75</v>
      </c>
      <c r="C200" s="2" t="s">
        <v>76</v>
      </c>
      <c r="D200" s="2" t="s">
        <v>57</v>
      </c>
      <c r="E200" s="2" t="s">
        <v>86</v>
      </c>
      <c r="F200" s="2" t="s">
        <v>39</v>
      </c>
      <c r="G200">
        <v>48</v>
      </c>
      <c r="H200">
        <v>39</v>
      </c>
      <c r="I200">
        <v>98</v>
      </c>
      <c r="J200" s="3">
        <v>1965000</v>
      </c>
      <c r="K200" s="3">
        <v>192570000</v>
      </c>
      <c r="L200" s="2" t="s">
        <v>33</v>
      </c>
      <c r="M200" s="2" t="s">
        <v>26</v>
      </c>
      <c r="N200">
        <v>2023</v>
      </c>
      <c r="O200" s="2" t="s">
        <v>27</v>
      </c>
      <c r="P200" s="2" t="s">
        <v>139</v>
      </c>
      <c r="Q200">
        <v>3</v>
      </c>
      <c r="R200" s="4">
        <v>44986</v>
      </c>
      <c r="S200" s="3">
        <v>1965000</v>
      </c>
      <c r="T200" s="3">
        <v>19.260000000000002</v>
      </c>
    </row>
    <row r="201" spans="1:20" hidden="1" x14ac:dyDescent="0.3">
      <c r="A201" s="1">
        <v>45003</v>
      </c>
      <c r="B201" s="2" t="s">
        <v>84</v>
      </c>
      <c r="C201" s="2" t="s">
        <v>93</v>
      </c>
      <c r="D201" s="2" t="s">
        <v>82</v>
      </c>
      <c r="E201" s="2" t="s">
        <v>141</v>
      </c>
      <c r="F201" s="2" t="s">
        <v>24</v>
      </c>
      <c r="G201">
        <v>59</v>
      </c>
      <c r="H201">
        <v>55</v>
      </c>
      <c r="I201">
        <v>120</v>
      </c>
      <c r="J201" s="3">
        <v>2948000</v>
      </c>
      <c r="K201" s="3">
        <v>353760000</v>
      </c>
      <c r="L201" s="2" t="s">
        <v>25</v>
      </c>
      <c r="M201" s="2" t="s">
        <v>77</v>
      </c>
      <c r="N201">
        <v>2023</v>
      </c>
      <c r="O201" s="2" t="s">
        <v>27</v>
      </c>
      <c r="P201" s="2" t="s">
        <v>139</v>
      </c>
      <c r="Q201">
        <v>3</v>
      </c>
      <c r="R201" s="4">
        <v>44986</v>
      </c>
      <c r="S201" s="3">
        <v>2948000</v>
      </c>
      <c r="T201" s="3">
        <v>35.380000000000003</v>
      </c>
    </row>
    <row r="202" spans="1:20" hidden="1" x14ac:dyDescent="0.3">
      <c r="A202" s="1">
        <v>45003</v>
      </c>
      <c r="B202" s="2" t="s">
        <v>75</v>
      </c>
      <c r="C202" s="2" t="s">
        <v>122</v>
      </c>
      <c r="D202" s="2" t="s">
        <v>79</v>
      </c>
      <c r="E202" s="2" t="s">
        <v>80</v>
      </c>
      <c r="F202" s="2" t="s">
        <v>24</v>
      </c>
      <c r="G202">
        <v>69</v>
      </c>
      <c r="H202">
        <v>418</v>
      </c>
      <c r="I202">
        <v>72</v>
      </c>
      <c r="J202" s="3">
        <v>6422900</v>
      </c>
      <c r="K202" s="3">
        <v>462448800</v>
      </c>
      <c r="L202" s="2" t="s">
        <v>33</v>
      </c>
      <c r="M202" s="2" t="s">
        <v>26</v>
      </c>
      <c r="N202">
        <v>2023</v>
      </c>
      <c r="O202" s="2" t="s">
        <v>27</v>
      </c>
      <c r="P202" s="2" t="s">
        <v>139</v>
      </c>
      <c r="Q202">
        <v>3</v>
      </c>
      <c r="R202" s="4">
        <v>44986</v>
      </c>
      <c r="S202" s="3">
        <v>6422900</v>
      </c>
      <c r="T202" s="3">
        <v>46.24</v>
      </c>
    </row>
    <row r="203" spans="1:20" hidden="1" x14ac:dyDescent="0.3">
      <c r="A203" s="1">
        <v>45004</v>
      </c>
      <c r="B203" s="2" t="s">
        <v>59</v>
      </c>
      <c r="C203" s="2" t="s">
        <v>129</v>
      </c>
      <c r="D203" s="2" t="s">
        <v>22</v>
      </c>
      <c r="E203" s="2" t="s">
        <v>23</v>
      </c>
      <c r="F203" s="2" t="s">
        <v>24</v>
      </c>
      <c r="G203">
        <v>82</v>
      </c>
      <c r="H203">
        <v>520</v>
      </c>
      <c r="I203">
        <v>57</v>
      </c>
      <c r="J203" s="3">
        <v>7772700</v>
      </c>
      <c r="K203" s="3">
        <v>443043900</v>
      </c>
      <c r="L203" s="2" t="s">
        <v>33</v>
      </c>
      <c r="M203" s="2" t="s">
        <v>34</v>
      </c>
      <c r="N203">
        <v>2023</v>
      </c>
      <c r="O203" s="2" t="s">
        <v>27</v>
      </c>
      <c r="P203" s="2" t="s">
        <v>139</v>
      </c>
      <c r="Q203">
        <v>3</v>
      </c>
      <c r="R203" s="4">
        <v>44986</v>
      </c>
      <c r="S203" s="3">
        <v>7772700</v>
      </c>
      <c r="T203" s="3">
        <v>44.3</v>
      </c>
    </row>
    <row r="204" spans="1:20" hidden="1" x14ac:dyDescent="0.3">
      <c r="A204" s="1">
        <v>45004</v>
      </c>
      <c r="B204" s="2" t="s">
        <v>29</v>
      </c>
      <c r="C204" s="2" t="s">
        <v>96</v>
      </c>
      <c r="D204" s="2" t="s">
        <v>88</v>
      </c>
      <c r="E204" s="2" t="s">
        <v>111</v>
      </c>
      <c r="F204" s="2" t="s">
        <v>24</v>
      </c>
      <c r="G204">
        <v>60</v>
      </c>
      <c r="H204">
        <v>480</v>
      </c>
      <c r="I204">
        <v>71</v>
      </c>
      <c r="J204" s="3">
        <v>2821800</v>
      </c>
      <c r="K204" s="3">
        <v>200347800</v>
      </c>
      <c r="L204" s="2" t="s">
        <v>33</v>
      </c>
      <c r="M204" s="2" t="s">
        <v>26</v>
      </c>
      <c r="N204">
        <v>2023</v>
      </c>
      <c r="O204" s="2" t="s">
        <v>27</v>
      </c>
      <c r="P204" s="2" t="s">
        <v>139</v>
      </c>
      <c r="Q204">
        <v>3</v>
      </c>
      <c r="R204" s="4">
        <v>44986</v>
      </c>
      <c r="S204" s="3">
        <v>2821800</v>
      </c>
      <c r="T204" s="3">
        <v>20.03</v>
      </c>
    </row>
    <row r="205" spans="1:20" hidden="1" x14ac:dyDescent="0.3">
      <c r="A205" s="1">
        <v>45005</v>
      </c>
      <c r="B205" s="2" t="s">
        <v>106</v>
      </c>
      <c r="C205" s="2" t="s">
        <v>119</v>
      </c>
      <c r="D205" s="2" t="s">
        <v>102</v>
      </c>
      <c r="E205" s="2" t="s">
        <v>103</v>
      </c>
      <c r="F205" s="2" t="s">
        <v>24</v>
      </c>
      <c r="G205">
        <v>5</v>
      </c>
      <c r="H205">
        <v>150</v>
      </c>
      <c r="I205">
        <v>134</v>
      </c>
      <c r="J205" s="3">
        <v>152800</v>
      </c>
      <c r="K205" s="3">
        <v>20475200</v>
      </c>
      <c r="L205" s="2" t="s">
        <v>33</v>
      </c>
      <c r="M205" s="2" t="s">
        <v>97</v>
      </c>
      <c r="N205">
        <v>2023</v>
      </c>
      <c r="O205" s="2" t="s">
        <v>27</v>
      </c>
      <c r="P205" s="2" t="s">
        <v>139</v>
      </c>
      <c r="Q205">
        <v>3</v>
      </c>
      <c r="R205" s="4">
        <v>44986</v>
      </c>
      <c r="S205" s="3">
        <v>152800</v>
      </c>
      <c r="T205" s="3">
        <v>2.0499999999999998</v>
      </c>
    </row>
    <row r="206" spans="1:20" hidden="1" x14ac:dyDescent="0.3">
      <c r="A206" s="1">
        <v>45005</v>
      </c>
      <c r="B206" s="2" t="s">
        <v>106</v>
      </c>
      <c r="C206" s="2" t="s">
        <v>107</v>
      </c>
      <c r="D206" s="2" t="s">
        <v>100</v>
      </c>
      <c r="E206" s="2" t="s">
        <v>101</v>
      </c>
      <c r="F206" s="2" t="s">
        <v>24</v>
      </c>
      <c r="G206">
        <v>3</v>
      </c>
      <c r="H206">
        <v>150</v>
      </c>
      <c r="I206">
        <v>169</v>
      </c>
      <c r="J206" s="3">
        <v>150000</v>
      </c>
      <c r="K206" s="3">
        <v>25350000</v>
      </c>
      <c r="L206" s="2" t="s">
        <v>33</v>
      </c>
      <c r="M206" s="2" t="s">
        <v>77</v>
      </c>
      <c r="N206">
        <v>2023</v>
      </c>
      <c r="O206" s="2" t="s">
        <v>27</v>
      </c>
      <c r="P206" s="2" t="s">
        <v>139</v>
      </c>
      <c r="Q206">
        <v>3</v>
      </c>
      <c r="R206" s="4">
        <v>44986</v>
      </c>
      <c r="S206" s="3">
        <v>150000</v>
      </c>
      <c r="T206" s="3">
        <v>2.54</v>
      </c>
    </row>
    <row r="207" spans="1:20" hidden="1" x14ac:dyDescent="0.3">
      <c r="A207" s="1">
        <v>45005</v>
      </c>
      <c r="B207" s="2" t="s">
        <v>35</v>
      </c>
      <c r="C207" s="2" t="s">
        <v>87</v>
      </c>
      <c r="D207" s="2" t="s">
        <v>94</v>
      </c>
      <c r="E207" s="2" t="s">
        <v>140</v>
      </c>
      <c r="F207" s="2" t="s">
        <v>24</v>
      </c>
      <c r="G207">
        <v>35</v>
      </c>
      <c r="H207">
        <v>32</v>
      </c>
      <c r="I207">
        <v>139</v>
      </c>
      <c r="J207" s="3">
        <v>1683000</v>
      </c>
      <c r="K207" s="3">
        <v>233937000</v>
      </c>
      <c r="L207" s="2" t="s">
        <v>33</v>
      </c>
      <c r="M207" s="2" t="s">
        <v>77</v>
      </c>
      <c r="N207">
        <v>2023</v>
      </c>
      <c r="O207" s="2" t="s">
        <v>27</v>
      </c>
      <c r="P207" s="2" t="s">
        <v>139</v>
      </c>
      <c r="Q207">
        <v>3</v>
      </c>
      <c r="R207" s="4">
        <v>44986</v>
      </c>
      <c r="S207" s="3">
        <v>1683000</v>
      </c>
      <c r="T207" s="3">
        <v>23.39</v>
      </c>
    </row>
    <row r="208" spans="1:20" hidden="1" x14ac:dyDescent="0.3">
      <c r="A208" s="1">
        <v>45005</v>
      </c>
      <c r="B208" s="2" t="s">
        <v>48</v>
      </c>
      <c r="C208" s="2" t="s">
        <v>49</v>
      </c>
      <c r="D208" s="2" t="s">
        <v>79</v>
      </c>
      <c r="E208" s="2" t="s">
        <v>80</v>
      </c>
      <c r="F208" s="2" t="s">
        <v>24</v>
      </c>
      <c r="G208">
        <v>69</v>
      </c>
      <c r="H208">
        <v>418</v>
      </c>
      <c r="I208">
        <v>53</v>
      </c>
      <c r="J208" s="3">
        <v>6467900</v>
      </c>
      <c r="K208" s="3">
        <v>342798700</v>
      </c>
      <c r="L208" s="2" t="s">
        <v>25</v>
      </c>
      <c r="M208" s="2" t="s">
        <v>26</v>
      </c>
      <c r="N208">
        <v>2023</v>
      </c>
      <c r="O208" s="2" t="s">
        <v>27</v>
      </c>
      <c r="P208" s="2" t="s">
        <v>139</v>
      </c>
      <c r="Q208">
        <v>3</v>
      </c>
      <c r="R208" s="4">
        <v>44986</v>
      </c>
      <c r="S208" s="3">
        <v>6467900</v>
      </c>
      <c r="T208" s="3">
        <v>34.28</v>
      </c>
    </row>
    <row r="209" spans="1:20" hidden="1" x14ac:dyDescent="0.3">
      <c r="A209" s="1">
        <v>45006</v>
      </c>
      <c r="B209" s="2" t="s">
        <v>90</v>
      </c>
      <c r="C209" s="2" t="s">
        <v>99</v>
      </c>
      <c r="D209" s="2" t="s">
        <v>94</v>
      </c>
      <c r="E209" s="2" t="s">
        <v>95</v>
      </c>
      <c r="F209" s="2" t="s">
        <v>24</v>
      </c>
      <c r="G209">
        <v>40</v>
      </c>
      <c r="H209">
        <v>30</v>
      </c>
      <c r="I209">
        <v>154</v>
      </c>
      <c r="J209" s="3">
        <v>2196800</v>
      </c>
      <c r="K209" s="3">
        <v>338307200</v>
      </c>
      <c r="L209" s="2" t="s">
        <v>33</v>
      </c>
      <c r="M209" s="2" t="s">
        <v>26</v>
      </c>
      <c r="N209">
        <v>2023</v>
      </c>
      <c r="O209" s="2" t="s">
        <v>27</v>
      </c>
      <c r="P209" s="2" t="s">
        <v>139</v>
      </c>
      <c r="Q209">
        <v>3</v>
      </c>
      <c r="R209" s="4">
        <v>44986</v>
      </c>
      <c r="S209" s="3">
        <v>2196800</v>
      </c>
      <c r="T209" s="3">
        <v>33.83</v>
      </c>
    </row>
    <row r="210" spans="1:20" hidden="1" x14ac:dyDescent="0.3">
      <c r="A210" s="1">
        <v>45006</v>
      </c>
      <c r="B210" s="2" t="s">
        <v>29</v>
      </c>
      <c r="C210" s="2" t="s">
        <v>65</v>
      </c>
      <c r="D210" s="2" t="s">
        <v>37</v>
      </c>
      <c r="E210" s="2" t="s">
        <v>38</v>
      </c>
      <c r="F210" s="2" t="s">
        <v>24</v>
      </c>
      <c r="G210">
        <v>66</v>
      </c>
      <c r="H210">
        <v>423</v>
      </c>
      <c r="I210">
        <v>33</v>
      </c>
      <c r="J210" s="3">
        <v>8528100</v>
      </c>
      <c r="K210" s="3">
        <v>281427300</v>
      </c>
      <c r="L210" s="2" t="s">
        <v>33</v>
      </c>
      <c r="M210" s="2" t="s">
        <v>26</v>
      </c>
      <c r="N210">
        <v>2023</v>
      </c>
      <c r="O210" s="2" t="s">
        <v>27</v>
      </c>
      <c r="P210" s="2" t="s">
        <v>139</v>
      </c>
      <c r="Q210">
        <v>3</v>
      </c>
      <c r="R210" s="4">
        <v>44986</v>
      </c>
      <c r="S210" s="3">
        <v>8528100</v>
      </c>
      <c r="T210" s="3">
        <v>28.14</v>
      </c>
    </row>
    <row r="211" spans="1:20" hidden="1" x14ac:dyDescent="0.3">
      <c r="A211" s="1">
        <v>45007</v>
      </c>
      <c r="B211" s="2" t="s">
        <v>59</v>
      </c>
      <c r="C211" s="2" t="s">
        <v>81</v>
      </c>
      <c r="D211" s="2" t="s">
        <v>94</v>
      </c>
      <c r="E211" s="2" t="s">
        <v>140</v>
      </c>
      <c r="F211" s="2" t="s">
        <v>24</v>
      </c>
      <c r="G211">
        <v>35</v>
      </c>
      <c r="H211">
        <v>32</v>
      </c>
      <c r="I211">
        <v>110</v>
      </c>
      <c r="J211" s="3">
        <v>1607900</v>
      </c>
      <c r="K211" s="3">
        <v>176869000</v>
      </c>
      <c r="L211" s="2" t="s">
        <v>33</v>
      </c>
      <c r="M211" s="2" t="s">
        <v>77</v>
      </c>
      <c r="N211">
        <v>2023</v>
      </c>
      <c r="O211" s="2" t="s">
        <v>27</v>
      </c>
      <c r="P211" s="2" t="s">
        <v>139</v>
      </c>
      <c r="Q211">
        <v>3</v>
      </c>
      <c r="R211" s="4">
        <v>44986</v>
      </c>
      <c r="S211" s="3">
        <v>1607900</v>
      </c>
      <c r="T211" s="3">
        <v>17.690000000000001</v>
      </c>
    </row>
    <row r="212" spans="1:20" hidden="1" x14ac:dyDescent="0.3">
      <c r="A212" s="1">
        <v>45007</v>
      </c>
      <c r="B212" s="2" t="s">
        <v>106</v>
      </c>
      <c r="C212" s="2" t="s">
        <v>120</v>
      </c>
      <c r="D212" s="2" t="s">
        <v>37</v>
      </c>
      <c r="E212" s="2" t="s">
        <v>38</v>
      </c>
      <c r="F212" s="2" t="s">
        <v>24</v>
      </c>
      <c r="G212">
        <v>66</v>
      </c>
      <c r="H212">
        <v>423</v>
      </c>
      <c r="I212">
        <v>27</v>
      </c>
      <c r="J212" s="3">
        <v>7406000</v>
      </c>
      <c r="K212" s="3">
        <v>199962000</v>
      </c>
      <c r="L212" s="2" t="s">
        <v>25</v>
      </c>
      <c r="M212" s="2" t="s">
        <v>26</v>
      </c>
      <c r="N212">
        <v>2023</v>
      </c>
      <c r="O212" s="2" t="s">
        <v>27</v>
      </c>
      <c r="P212" s="2" t="s">
        <v>139</v>
      </c>
      <c r="Q212">
        <v>3</v>
      </c>
      <c r="R212" s="4">
        <v>44986</v>
      </c>
      <c r="S212" s="3">
        <v>7406000</v>
      </c>
      <c r="T212" s="3">
        <v>20</v>
      </c>
    </row>
    <row r="213" spans="1:20" hidden="1" x14ac:dyDescent="0.3">
      <c r="A213" s="1">
        <v>45007</v>
      </c>
      <c r="B213" s="2" t="s">
        <v>75</v>
      </c>
      <c r="C213" s="2" t="s">
        <v>134</v>
      </c>
      <c r="D213" s="2" t="s">
        <v>82</v>
      </c>
      <c r="E213" s="2" t="s">
        <v>83</v>
      </c>
      <c r="F213" s="2" t="s">
        <v>24</v>
      </c>
      <c r="G213">
        <v>40</v>
      </c>
      <c r="H213">
        <v>39</v>
      </c>
      <c r="I213">
        <v>142</v>
      </c>
      <c r="J213" s="3">
        <v>2209800</v>
      </c>
      <c r="K213" s="3">
        <v>313791600</v>
      </c>
      <c r="L213" s="2" t="s">
        <v>33</v>
      </c>
      <c r="M213" s="2" t="s">
        <v>26</v>
      </c>
      <c r="N213">
        <v>2023</v>
      </c>
      <c r="O213" s="2" t="s">
        <v>27</v>
      </c>
      <c r="P213" s="2" t="s">
        <v>139</v>
      </c>
      <c r="Q213">
        <v>3</v>
      </c>
      <c r="R213" s="4">
        <v>44986</v>
      </c>
      <c r="S213" s="3">
        <v>2209800</v>
      </c>
      <c r="T213" s="3">
        <v>31.38</v>
      </c>
    </row>
    <row r="214" spans="1:20" hidden="1" x14ac:dyDescent="0.3">
      <c r="A214" s="1">
        <v>45008</v>
      </c>
      <c r="B214" s="2" t="s">
        <v>108</v>
      </c>
      <c r="C214" s="2" t="s">
        <v>133</v>
      </c>
      <c r="D214" s="2" t="s">
        <v>79</v>
      </c>
      <c r="E214" s="2" t="s">
        <v>80</v>
      </c>
      <c r="F214" s="2" t="s">
        <v>24</v>
      </c>
      <c r="G214">
        <v>69</v>
      </c>
      <c r="H214">
        <v>418</v>
      </c>
      <c r="I214">
        <v>51</v>
      </c>
      <c r="J214" s="3">
        <v>5168000</v>
      </c>
      <c r="K214" s="3">
        <v>263568000</v>
      </c>
      <c r="L214" s="2" t="s">
        <v>33</v>
      </c>
      <c r="M214" s="2" t="s">
        <v>26</v>
      </c>
      <c r="N214">
        <v>2023</v>
      </c>
      <c r="O214" s="2" t="s">
        <v>27</v>
      </c>
      <c r="P214" s="2" t="s">
        <v>139</v>
      </c>
      <c r="Q214">
        <v>3</v>
      </c>
      <c r="R214" s="4">
        <v>44986</v>
      </c>
      <c r="S214" s="3">
        <v>5168000</v>
      </c>
      <c r="T214" s="3">
        <v>26.36</v>
      </c>
    </row>
    <row r="215" spans="1:20" hidden="1" x14ac:dyDescent="0.3">
      <c r="A215" s="1">
        <v>45008</v>
      </c>
      <c r="B215" s="2" t="s">
        <v>90</v>
      </c>
      <c r="C215" s="2" t="s">
        <v>99</v>
      </c>
      <c r="D215" s="2" t="s">
        <v>94</v>
      </c>
      <c r="E215" s="2" t="s">
        <v>140</v>
      </c>
      <c r="F215" s="2" t="s">
        <v>24</v>
      </c>
      <c r="G215">
        <v>35</v>
      </c>
      <c r="H215">
        <v>32</v>
      </c>
      <c r="I215">
        <v>83</v>
      </c>
      <c r="J215" s="3">
        <v>1905400</v>
      </c>
      <c r="K215" s="3">
        <v>158148200</v>
      </c>
      <c r="L215" s="2" t="s">
        <v>33</v>
      </c>
      <c r="M215" s="2" t="s">
        <v>34</v>
      </c>
      <c r="N215">
        <v>2023</v>
      </c>
      <c r="O215" s="2" t="s">
        <v>27</v>
      </c>
      <c r="P215" s="2" t="s">
        <v>139</v>
      </c>
      <c r="Q215">
        <v>3</v>
      </c>
      <c r="R215" s="4">
        <v>44986</v>
      </c>
      <c r="S215" s="3">
        <v>1905400</v>
      </c>
      <c r="T215" s="3">
        <v>15.81</v>
      </c>
    </row>
    <row r="216" spans="1:20" hidden="1" x14ac:dyDescent="0.3">
      <c r="A216" s="1">
        <v>45008</v>
      </c>
      <c r="B216" s="2" t="s">
        <v>48</v>
      </c>
      <c r="C216" s="2" t="s">
        <v>69</v>
      </c>
      <c r="D216" s="2" t="s">
        <v>79</v>
      </c>
      <c r="E216" s="2" t="s">
        <v>80</v>
      </c>
      <c r="F216" s="2" t="s">
        <v>24</v>
      </c>
      <c r="G216">
        <v>69</v>
      </c>
      <c r="H216">
        <v>418</v>
      </c>
      <c r="I216">
        <v>46</v>
      </c>
      <c r="J216" s="3">
        <v>5686600</v>
      </c>
      <c r="K216" s="3">
        <v>261583600</v>
      </c>
      <c r="L216" s="2" t="s">
        <v>33</v>
      </c>
      <c r="M216" s="2" t="s">
        <v>77</v>
      </c>
      <c r="N216">
        <v>2023</v>
      </c>
      <c r="O216" s="2" t="s">
        <v>27</v>
      </c>
      <c r="P216" s="2" t="s">
        <v>139</v>
      </c>
      <c r="Q216">
        <v>3</v>
      </c>
      <c r="R216" s="4">
        <v>44986</v>
      </c>
      <c r="S216" s="3">
        <v>5686600</v>
      </c>
      <c r="T216" s="3">
        <v>26.16</v>
      </c>
    </row>
    <row r="217" spans="1:20" hidden="1" x14ac:dyDescent="0.3">
      <c r="A217" s="1">
        <v>45008</v>
      </c>
      <c r="B217" s="2" t="s">
        <v>29</v>
      </c>
      <c r="C217" s="2" t="s">
        <v>30</v>
      </c>
      <c r="D217" s="2" t="s">
        <v>22</v>
      </c>
      <c r="E217" s="2" t="s">
        <v>23</v>
      </c>
      <c r="F217" s="2" t="s">
        <v>72</v>
      </c>
      <c r="G217">
        <v>82</v>
      </c>
      <c r="H217">
        <v>520</v>
      </c>
      <c r="I217">
        <v>51</v>
      </c>
      <c r="J217" s="3">
        <v>6024400</v>
      </c>
      <c r="K217" s="3">
        <v>307244400</v>
      </c>
      <c r="L217" s="2" t="s">
        <v>33</v>
      </c>
      <c r="M217" s="2" t="s">
        <v>77</v>
      </c>
      <c r="N217">
        <v>2023</v>
      </c>
      <c r="O217" s="2" t="s">
        <v>27</v>
      </c>
      <c r="P217" s="2" t="s">
        <v>139</v>
      </c>
      <c r="Q217">
        <v>3</v>
      </c>
      <c r="R217" s="4">
        <v>44986</v>
      </c>
      <c r="S217" s="3">
        <v>6024400</v>
      </c>
      <c r="T217" s="3">
        <v>30.72</v>
      </c>
    </row>
    <row r="218" spans="1:20" hidden="1" x14ac:dyDescent="0.3">
      <c r="A218" s="1">
        <v>45009</v>
      </c>
      <c r="B218" s="2" t="s">
        <v>90</v>
      </c>
      <c r="C218" s="2" t="s">
        <v>99</v>
      </c>
      <c r="D218" s="2" t="s">
        <v>37</v>
      </c>
      <c r="E218" s="2" t="s">
        <v>38</v>
      </c>
      <c r="F218" s="2" t="s">
        <v>24</v>
      </c>
      <c r="G218">
        <v>66</v>
      </c>
      <c r="H218">
        <v>423</v>
      </c>
      <c r="I218">
        <v>24</v>
      </c>
      <c r="J218" s="3">
        <v>8909500</v>
      </c>
      <c r="K218" s="3">
        <v>213828000</v>
      </c>
      <c r="L218" s="2" t="s">
        <v>33</v>
      </c>
      <c r="M218" s="2" t="s">
        <v>26</v>
      </c>
      <c r="N218">
        <v>2023</v>
      </c>
      <c r="O218" s="2" t="s">
        <v>27</v>
      </c>
      <c r="P218" s="2" t="s">
        <v>139</v>
      </c>
      <c r="Q218">
        <v>3</v>
      </c>
      <c r="R218" s="4">
        <v>44986</v>
      </c>
      <c r="S218" s="3">
        <v>8909500</v>
      </c>
      <c r="T218" s="3">
        <v>21.38</v>
      </c>
    </row>
    <row r="219" spans="1:20" hidden="1" x14ac:dyDescent="0.3">
      <c r="A219" s="1">
        <v>45010</v>
      </c>
      <c r="B219" s="2" t="s">
        <v>84</v>
      </c>
      <c r="C219" s="2" t="s">
        <v>85</v>
      </c>
      <c r="D219" s="2" t="s">
        <v>50</v>
      </c>
      <c r="E219" s="2" t="s">
        <v>51</v>
      </c>
      <c r="F219" s="2" t="s">
        <v>24</v>
      </c>
      <c r="G219">
        <v>77</v>
      </c>
      <c r="H219">
        <v>528</v>
      </c>
      <c r="I219">
        <v>28</v>
      </c>
      <c r="J219" s="3">
        <v>5607700</v>
      </c>
      <c r="K219" s="3">
        <v>157015600</v>
      </c>
      <c r="L219" s="2" t="s">
        <v>33</v>
      </c>
      <c r="M219" s="2" t="s">
        <v>26</v>
      </c>
      <c r="N219">
        <v>2023</v>
      </c>
      <c r="O219" s="2" t="s">
        <v>27</v>
      </c>
      <c r="P219" s="2" t="s">
        <v>139</v>
      </c>
      <c r="Q219">
        <v>3</v>
      </c>
      <c r="R219" s="4">
        <v>44986</v>
      </c>
      <c r="S219" s="3">
        <v>5607700</v>
      </c>
      <c r="T219" s="3">
        <v>15.7</v>
      </c>
    </row>
    <row r="220" spans="1:20" hidden="1" x14ac:dyDescent="0.3">
      <c r="A220" s="1">
        <v>45010</v>
      </c>
      <c r="B220" s="2" t="s">
        <v>75</v>
      </c>
      <c r="C220" s="2" t="s">
        <v>122</v>
      </c>
      <c r="D220" s="2" t="s">
        <v>100</v>
      </c>
      <c r="E220" s="2" t="s">
        <v>101</v>
      </c>
      <c r="F220" s="2" t="s">
        <v>24</v>
      </c>
      <c r="G220">
        <v>3</v>
      </c>
      <c r="H220">
        <v>150</v>
      </c>
      <c r="I220">
        <v>144</v>
      </c>
      <c r="J220" s="3">
        <v>134200</v>
      </c>
      <c r="K220" s="3">
        <v>19324800</v>
      </c>
      <c r="L220" s="2" t="s">
        <v>25</v>
      </c>
      <c r="M220" s="2" t="s">
        <v>26</v>
      </c>
      <c r="N220">
        <v>2023</v>
      </c>
      <c r="O220" s="2" t="s">
        <v>27</v>
      </c>
      <c r="P220" s="2" t="s">
        <v>139</v>
      </c>
      <c r="Q220">
        <v>3</v>
      </c>
      <c r="R220" s="4">
        <v>44986</v>
      </c>
      <c r="S220" s="3">
        <v>134200</v>
      </c>
      <c r="T220" s="3">
        <v>1.93</v>
      </c>
    </row>
    <row r="221" spans="1:20" hidden="1" x14ac:dyDescent="0.3">
      <c r="A221" s="1">
        <v>45011</v>
      </c>
      <c r="B221" s="2" t="s">
        <v>52</v>
      </c>
      <c r="C221" s="2" t="s">
        <v>66</v>
      </c>
      <c r="D221" s="2" t="s">
        <v>31</v>
      </c>
      <c r="E221" s="2" t="s">
        <v>124</v>
      </c>
      <c r="F221" s="2" t="s">
        <v>24</v>
      </c>
      <c r="G221">
        <v>3</v>
      </c>
      <c r="H221">
        <v>151</v>
      </c>
      <c r="I221">
        <v>165</v>
      </c>
      <c r="J221" s="3">
        <v>125900</v>
      </c>
      <c r="K221" s="3">
        <v>20773500</v>
      </c>
      <c r="L221" s="2" t="s">
        <v>33</v>
      </c>
      <c r="M221" s="2" t="s">
        <v>26</v>
      </c>
      <c r="N221">
        <v>2023</v>
      </c>
      <c r="O221" s="2" t="s">
        <v>27</v>
      </c>
      <c r="P221" s="2" t="s">
        <v>139</v>
      </c>
      <c r="Q221">
        <v>3</v>
      </c>
      <c r="R221" s="4">
        <v>44986</v>
      </c>
      <c r="S221" s="3">
        <v>125900</v>
      </c>
      <c r="T221" s="3">
        <v>2.08</v>
      </c>
    </row>
    <row r="222" spans="1:20" hidden="1" x14ac:dyDescent="0.3">
      <c r="A222" s="1">
        <v>45011</v>
      </c>
      <c r="B222" s="2" t="s">
        <v>35</v>
      </c>
      <c r="C222" s="2" t="s">
        <v>87</v>
      </c>
      <c r="D222" s="2" t="s">
        <v>70</v>
      </c>
      <c r="E222" s="2" t="s">
        <v>74</v>
      </c>
      <c r="F222" s="2" t="s">
        <v>72</v>
      </c>
      <c r="G222">
        <v>25</v>
      </c>
      <c r="H222">
        <v>32</v>
      </c>
      <c r="I222">
        <v>121</v>
      </c>
      <c r="J222" s="3">
        <v>1085500</v>
      </c>
      <c r="K222" s="3">
        <v>131345500</v>
      </c>
      <c r="L222" s="2" t="s">
        <v>33</v>
      </c>
      <c r="M222" s="2" t="s">
        <v>26</v>
      </c>
      <c r="N222">
        <v>2023</v>
      </c>
      <c r="O222" s="2" t="s">
        <v>27</v>
      </c>
      <c r="P222" s="2" t="s">
        <v>139</v>
      </c>
      <c r="Q222">
        <v>3</v>
      </c>
      <c r="R222" s="4">
        <v>44986</v>
      </c>
      <c r="S222" s="3">
        <v>1085500</v>
      </c>
      <c r="T222" s="3">
        <v>13.13</v>
      </c>
    </row>
    <row r="223" spans="1:20" hidden="1" x14ac:dyDescent="0.3">
      <c r="A223" s="1">
        <v>45012</v>
      </c>
      <c r="B223" s="2" t="s">
        <v>35</v>
      </c>
      <c r="C223" s="2" t="s">
        <v>132</v>
      </c>
      <c r="D223" s="2" t="s">
        <v>102</v>
      </c>
      <c r="E223" s="2" t="s">
        <v>103</v>
      </c>
      <c r="F223" s="2" t="s">
        <v>24</v>
      </c>
      <c r="G223">
        <v>5</v>
      </c>
      <c r="H223">
        <v>150</v>
      </c>
      <c r="I223">
        <v>22</v>
      </c>
      <c r="J223" s="3">
        <v>151700</v>
      </c>
      <c r="K223" s="3">
        <v>3337400</v>
      </c>
      <c r="L223" s="2" t="s">
        <v>33</v>
      </c>
      <c r="M223" s="2" t="s">
        <v>77</v>
      </c>
      <c r="N223">
        <v>2023</v>
      </c>
      <c r="O223" s="2" t="s">
        <v>27</v>
      </c>
      <c r="P223" s="2" t="s">
        <v>139</v>
      </c>
      <c r="Q223">
        <v>3</v>
      </c>
      <c r="R223" s="4">
        <v>44986</v>
      </c>
      <c r="S223" s="3">
        <v>151700</v>
      </c>
      <c r="T223" s="3">
        <v>0.33</v>
      </c>
    </row>
    <row r="224" spans="1:20" hidden="1" x14ac:dyDescent="0.3">
      <c r="A224" s="1">
        <v>45012</v>
      </c>
      <c r="B224" s="2" t="s">
        <v>46</v>
      </c>
      <c r="C224" s="2" t="s">
        <v>137</v>
      </c>
      <c r="D224" s="2" t="s">
        <v>54</v>
      </c>
      <c r="E224" s="2" t="s">
        <v>55</v>
      </c>
      <c r="F224" s="2" t="s">
        <v>138</v>
      </c>
      <c r="G224">
        <v>30</v>
      </c>
      <c r="H224">
        <v>320</v>
      </c>
      <c r="I224">
        <v>45</v>
      </c>
      <c r="J224" s="3">
        <v>1508600</v>
      </c>
      <c r="K224" s="3">
        <v>67887000</v>
      </c>
      <c r="L224" s="2" t="s">
        <v>33</v>
      </c>
      <c r="M224" s="2" t="s">
        <v>26</v>
      </c>
      <c r="N224">
        <v>2023</v>
      </c>
      <c r="O224" s="2" t="s">
        <v>27</v>
      </c>
      <c r="P224" s="2" t="s">
        <v>139</v>
      </c>
      <c r="Q224">
        <v>3</v>
      </c>
      <c r="R224" s="4">
        <v>44986</v>
      </c>
      <c r="S224" s="3">
        <v>1508600</v>
      </c>
      <c r="T224" s="3">
        <v>6.79</v>
      </c>
    </row>
    <row r="225" spans="1:20" hidden="1" x14ac:dyDescent="0.3">
      <c r="A225" s="1">
        <v>45013</v>
      </c>
      <c r="B225" s="2" t="s">
        <v>35</v>
      </c>
      <c r="C225" s="2" t="s">
        <v>87</v>
      </c>
      <c r="D225" s="2" t="s">
        <v>63</v>
      </c>
      <c r="E225" s="2" t="s">
        <v>64</v>
      </c>
      <c r="F225" s="2" t="s">
        <v>24</v>
      </c>
      <c r="G225">
        <v>3</v>
      </c>
      <c r="H225">
        <v>127</v>
      </c>
      <c r="I225">
        <v>150</v>
      </c>
      <c r="J225" s="3">
        <v>189000</v>
      </c>
      <c r="K225" s="3">
        <v>28350000</v>
      </c>
      <c r="L225" s="2" t="s">
        <v>25</v>
      </c>
      <c r="M225" s="2" t="s">
        <v>26</v>
      </c>
      <c r="N225">
        <v>2023</v>
      </c>
      <c r="O225" s="2" t="s">
        <v>27</v>
      </c>
      <c r="P225" s="2" t="s">
        <v>139</v>
      </c>
      <c r="Q225">
        <v>3</v>
      </c>
      <c r="R225" s="4">
        <v>44986</v>
      </c>
      <c r="S225" s="3">
        <v>189000</v>
      </c>
      <c r="T225" s="3">
        <v>2.84</v>
      </c>
    </row>
    <row r="226" spans="1:20" hidden="1" x14ac:dyDescent="0.3">
      <c r="A226" s="1">
        <v>45013</v>
      </c>
      <c r="B226" s="2" t="s">
        <v>44</v>
      </c>
      <c r="C226" s="2" t="s">
        <v>117</v>
      </c>
      <c r="D226" s="2" t="s">
        <v>70</v>
      </c>
      <c r="E226" s="2" t="s">
        <v>71</v>
      </c>
      <c r="F226" s="2" t="s">
        <v>24</v>
      </c>
      <c r="G226">
        <v>50</v>
      </c>
      <c r="H226">
        <v>46</v>
      </c>
      <c r="I226">
        <v>115</v>
      </c>
      <c r="J226" s="3">
        <v>2300600</v>
      </c>
      <c r="K226" s="3">
        <v>264569000</v>
      </c>
      <c r="L226" s="2" t="s">
        <v>33</v>
      </c>
      <c r="M226" s="2" t="s">
        <v>26</v>
      </c>
      <c r="N226">
        <v>2023</v>
      </c>
      <c r="O226" s="2" t="s">
        <v>27</v>
      </c>
      <c r="P226" s="2" t="s">
        <v>139</v>
      </c>
      <c r="Q226">
        <v>3</v>
      </c>
      <c r="R226" s="4">
        <v>44986</v>
      </c>
      <c r="S226" s="3">
        <v>2300600</v>
      </c>
      <c r="T226" s="3">
        <v>26.46</v>
      </c>
    </row>
    <row r="227" spans="1:20" hidden="1" x14ac:dyDescent="0.3">
      <c r="A227" s="1">
        <v>45013</v>
      </c>
      <c r="B227" s="2" t="s">
        <v>46</v>
      </c>
      <c r="C227" s="2" t="s">
        <v>47</v>
      </c>
      <c r="D227" s="2" t="s">
        <v>88</v>
      </c>
      <c r="E227" s="2" t="s">
        <v>89</v>
      </c>
      <c r="F227" s="2" t="s">
        <v>24</v>
      </c>
      <c r="G227">
        <v>82</v>
      </c>
      <c r="H227">
        <v>580</v>
      </c>
      <c r="I227">
        <v>61</v>
      </c>
      <c r="J227" s="3">
        <v>5548700</v>
      </c>
      <c r="K227" s="3">
        <v>338470700</v>
      </c>
      <c r="L227" s="2" t="s">
        <v>33</v>
      </c>
      <c r="M227" s="2" t="s">
        <v>26</v>
      </c>
      <c r="N227">
        <v>2023</v>
      </c>
      <c r="O227" s="2" t="s">
        <v>27</v>
      </c>
      <c r="P227" s="2" t="s">
        <v>139</v>
      </c>
      <c r="Q227">
        <v>3</v>
      </c>
      <c r="R227" s="4">
        <v>44986</v>
      </c>
      <c r="S227" s="3">
        <v>5548700</v>
      </c>
      <c r="T227" s="3">
        <v>33.85</v>
      </c>
    </row>
    <row r="228" spans="1:20" hidden="1" x14ac:dyDescent="0.3">
      <c r="A228" s="1">
        <v>45014</v>
      </c>
      <c r="B228" s="2" t="s">
        <v>108</v>
      </c>
      <c r="C228" s="2" t="s">
        <v>133</v>
      </c>
      <c r="D228" s="2" t="s">
        <v>37</v>
      </c>
      <c r="E228" s="2" t="s">
        <v>38</v>
      </c>
      <c r="F228" s="2" t="s">
        <v>24</v>
      </c>
      <c r="G228">
        <v>66</v>
      </c>
      <c r="H228">
        <v>423</v>
      </c>
      <c r="I228">
        <v>9</v>
      </c>
      <c r="J228" s="3">
        <v>7610900</v>
      </c>
      <c r="K228" s="3">
        <v>68498100</v>
      </c>
      <c r="L228" s="2" t="s">
        <v>25</v>
      </c>
      <c r="M228" s="2" t="s">
        <v>77</v>
      </c>
      <c r="N228">
        <v>2023</v>
      </c>
      <c r="O228" s="2" t="s">
        <v>27</v>
      </c>
      <c r="P228" s="2" t="s">
        <v>139</v>
      </c>
      <c r="Q228">
        <v>3</v>
      </c>
      <c r="R228" s="4">
        <v>44986</v>
      </c>
      <c r="S228" s="3">
        <v>7610900</v>
      </c>
      <c r="T228" s="3">
        <v>6.85</v>
      </c>
    </row>
    <row r="229" spans="1:20" hidden="1" x14ac:dyDescent="0.3">
      <c r="A229" s="1">
        <v>45014</v>
      </c>
      <c r="B229" s="2" t="s">
        <v>29</v>
      </c>
      <c r="C229" s="2" t="s">
        <v>96</v>
      </c>
      <c r="D229" s="2" t="s">
        <v>88</v>
      </c>
      <c r="E229" s="2" t="s">
        <v>89</v>
      </c>
      <c r="F229" s="2" t="s">
        <v>24</v>
      </c>
      <c r="G229">
        <v>82</v>
      </c>
      <c r="H229">
        <v>580</v>
      </c>
      <c r="I229">
        <v>49</v>
      </c>
      <c r="J229" s="3">
        <v>5221400</v>
      </c>
      <c r="K229" s="3">
        <v>255848600</v>
      </c>
      <c r="L229" s="2" t="s">
        <v>33</v>
      </c>
      <c r="M229" s="2" t="s">
        <v>26</v>
      </c>
      <c r="N229">
        <v>2023</v>
      </c>
      <c r="O229" s="2" t="s">
        <v>27</v>
      </c>
      <c r="P229" s="2" t="s">
        <v>139</v>
      </c>
      <c r="Q229">
        <v>3</v>
      </c>
      <c r="R229" s="4">
        <v>44986</v>
      </c>
      <c r="S229" s="3">
        <v>5221400</v>
      </c>
      <c r="T229" s="3">
        <v>25.58</v>
      </c>
    </row>
    <row r="230" spans="1:20" hidden="1" x14ac:dyDescent="0.3">
      <c r="A230" s="1">
        <v>45014</v>
      </c>
      <c r="B230" s="2" t="s">
        <v>29</v>
      </c>
      <c r="C230" s="2" t="s">
        <v>104</v>
      </c>
      <c r="D230" s="2" t="s">
        <v>67</v>
      </c>
      <c r="E230" s="2" t="s">
        <v>68</v>
      </c>
      <c r="F230" s="2" t="s">
        <v>72</v>
      </c>
      <c r="G230">
        <v>66</v>
      </c>
      <c r="H230">
        <v>440</v>
      </c>
      <c r="I230">
        <v>7</v>
      </c>
      <c r="J230" s="3">
        <v>5286200</v>
      </c>
      <c r="K230" s="3">
        <v>37003400</v>
      </c>
      <c r="L230" s="2" t="s">
        <v>33</v>
      </c>
      <c r="M230" s="2" t="s">
        <v>26</v>
      </c>
      <c r="N230">
        <v>2023</v>
      </c>
      <c r="O230" s="2" t="s">
        <v>27</v>
      </c>
      <c r="P230" s="2" t="s">
        <v>139</v>
      </c>
      <c r="Q230">
        <v>3</v>
      </c>
      <c r="R230" s="4">
        <v>44986</v>
      </c>
      <c r="S230" s="3">
        <v>5286200</v>
      </c>
      <c r="T230" s="3">
        <v>3.7</v>
      </c>
    </row>
    <row r="231" spans="1:20" hidden="1" x14ac:dyDescent="0.3">
      <c r="A231" s="1">
        <v>45014</v>
      </c>
      <c r="B231" s="2" t="s">
        <v>35</v>
      </c>
      <c r="C231" s="2" t="s">
        <v>121</v>
      </c>
      <c r="D231" s="2" t="s">
        <v>37</v>
      </c>
      <c r="E231" s="2" t="s">
        <v>38</v>
      </c>
      <c r="F231" s="2" t="s">
        <v>39</v>
      </c>
      <c r="G231">
        <v>66</v>
      </c>
      <c r="H231">
        <v>423</v>
      </c>
      <c r="I231">
        <v>24</v>
      </c>
      <c r="J231" s="3">
        <v>8699400</v>
      </c>
      <c r="K231" s="3">
        <v>208785600</v>
      </c>
      <c r="L231" s="2" t="s">
        <v>33</v>
      </c>
      <c r="M231" s="2" t="s">
        <v>77</v>
      </c>
      <c r="N231">
        <v>2023</v>
      </c>
      <c r="O231" s="2" t="s">
        <v>27</v>
      </c>
      <c r="P231" s="2" t="s">
        <v>139</v>
      </c>
      <c r="Q231">
        <v>3</v>
      </c>
      <c r="R231" s="4">
        <v>44986</v>
      </c>
      <c r="S231" s="3">
        <v>8699400</v>
      </c>
      <c r="T231" s="3">
        <v>20.88</v>
      </c>
    </row>
    <row r="232" spans="1:20" hidden="1" x14ac:dyDescent="0.3">
      <c r="A232" s="1">
        <v>45014</v>
      </c>
      <c r="B232" s="2" t="s">
        <v>48</v>
      </c>
      <c r="C232" s="2" t="s">
        <v>73</v>
      </c>
      <c r="D232" s="2" t="s">
        <v>82</v>
      </c>
      <c r="E232" s="2" t="s">
        <v>83</v>
      </c>
      <c r="F232" s="2" t="s">
        <v>39</v>
      </c>
      <c r="G232">
        <v>40</v>
      </c>
      <c r="H232">
        <v>39</v>
      </c>
      <c r="I232">
        <v>59</v>
      </c>
      <c r="J232" s="3">
        <v>2545800</v>
      </c>
      <c r="K232" s="3">
        <v>150202200</v>
      </c>
      <c r="L232" s="2" t="s">
        <v>33</v>
      </c>
      <c r="M232" s="2" t="s">
        <v>26</v>
      </c>
      <c r="N232">
        <v>2023</v>
      </c>
      <c r="O232" s="2" t="s">
        <v>27</v>
      </c>
      <c r="P232" s="2" t="s">
        <v>139</v>
      </c>
      <c r="Q232">
        <v>3</v>
      </c>
      <c r="R232" s="4">
        <v>44986</v>
      </c>
      <c r="S232" s="3">
        <v>2545800</v>
      </c>
      <c r="T232" s="3">
        <v>15.02</v>
      </c>
    </row>
    <row r="233" spans="1:20" hidden="1" x14ac:dyDescent="0.3">
      <c r="A233" s="1">
        <v>45015</v>
      </c>
      <c r="B233" s="2" t="s">
        <v>44</v>
      </c>
      <c r="C233" s="2" t="s">
        <v>142</v>
      </c>
      <c r="D233" s="2" t="s">
        <v>31</v>
      </c>
      <c r="E233" s="2" t="s">
        <v>124</v>
      </c>
      <c r="F233" s="2" t="s">
        <v>24</v>
      </c>
      <c r="G233">
        <v>3</v>
      </c>
      <c r="H233">
        <v>151</v>
      </c>
      <c r="I233">
        <v>175</v>
      </c>
      <c r="J233" s="3">
        <v>103200</v>
      </c>
      <c r="K233" s="3">
        <v>18060000</v>
      </c>
      <c r="L233" s="2" t="s">
        <v>33</v>
      </c>
      <c r="M233" s="2" t="s">
        <v>26</v>
      </c>
      <c r="N233">
        <v>2023</v>
      </c>
      <c r="O233" s="2" t="s">
        <v>27</v>
      </c>
      <c r="P233" s="2" t="s">
        <v>139</v>
      </c>
      <c r="Q233">
        <v>3</v>
      </c>
      <c r="R233" s="4">
        <v>44986</v>
      </c>
      <c r="S233" s="3">
        <v>103200</v>
      </c>
      <c r="T233" s="3">
        <v>1.81</v>
      </c>
    </row>
    <row r="234" spans="1:20" hidden="1" x14ac:dyDescent="0.3">
      <c r="A234" s="1">
        <v>45015</v>
      </c>
      <c r="B234" s="2" t="s">
        <v>75</v>
      </c>
      <c r="C234" s="2" t="s">
        <v>122</v>
      </c>
      <c r="D234" s="2" t="s">
        <v>57</v>
      </c>
      <c r="E234" s="2" t="s">
        <v>58</v>
      </c>
      <c r="F234" s="2" t="s">
        <v>24</v>
      </c>
      <c r="G234">
        <v>72</v>
      </c>
      <c r="H234">
        <v>488</v>
      </c>
      <c r="I234">
        <v>19</v>
      </c>
      <c r="J234" s="3">
        <v>5087400</v>
      </c>
      <c r="K234" s="3">
        <v>96660600</v>
      </c>
      <c r="L234" s="2" t="s">
        <v>25</v>
      </c>
      <c r="M234" s="2" t="s">
        <v>34</v>
      </c>
      <c r="N234">
        <v>2023</v>
      </c>
      <c r="O234" s="2" t="s">
        <v>27</v>
      </c>
      <c r="P234" s="2" t="s">
        <v>139</v>
      </c>
      <c r="Q234">
        <v>3</v>
      </c>
      <c r="R234" s="4">
        <v>44986</v>
      </c>
      <c r="S234" s="3">
        <v>5087400</v>
      </c>
      <c r="T234" s="3">
        <v>9.67</v>
      </c>
    </row>
    <row r="235" spans="1:20" hidden="1" x14ac:dyDescent="0.3">
      <c r="A235" s="1">
        <v>45015</v>
      </c>
      <c r="B235" s="2" t="s">
        <v>90</v>
      </c>
      <c r="C235" s="2" t="s">
        <v>128</v>
      </c>
      <c r="D235" s="2" t="s">
        <v>22</v>
      </c>
      <c r="E235" s="2" t="s">
        <v>23</v>
      </c>
      <c r="F235" s="2" t="s">
        <v>39</v>
      </c>
      <c r="G235">
        <v>82</v>
      </c>
      <c r="H235">
        <v>520</v>
      </c>
      <c r="I235">
        <v>3</v>
      </c>
      <c r="J235" s="3">
        <v>5840700</v>
      </c>
      <c r="K235" s="3">
        <v>17522100</v>
      </c>
      <c r="L235" s="2" t="s">
        <v>33</v>
      </c>
      <c r="M235" s="2" t="s">
        <v>26</v>
      </c>
      <c r="N235">
        <v>2023</v>
      </c>
      <c r="O235" s="2" t="s">
        <v>27</v>
      </c>
      <c r="P235" s="2" t="s">
        <v>139</v>
      </c>
      <c r="Q235">
        <v>3</v>
      </c>
      <c r="R235" s="4">
        <v>44986</v>
      </c>
      <c r="S235" s="3">
        <v>5840700</v>
      </c>
      <c r="T235" s="3">
        <v>1.75</v>
      </c>
    </row>
    <row r="236" spans="1:20" hidden="1" x14ac:dyDescent="0.3">
      <c r="A236" s="1">
        <v>45015</v>
      </c>
      <c r="B236" s="2" t="s">
        <v>20</v>
      </c>
      <c r="C236" s="2" t="s">
        <v>112</v>
      </c>
      <c r="D236" s="2" t="s">
        <v>63</v>
      </c>
      <c r="E236" s="2" t="s">
        <v>64</v>
      </c>
      <c r="F236" s="2" t="s">
        <v>24</v>
      </c>
      <c r="G236">
        <v>3</v>
      </c>
      <c r="H236">
        <v>127</v>
      </c>
      <c r="I236">
        <v>20</v>
      </c>
      <c r="J236" s="3">
        <v>183000</v>
      </c>
      <c r="K236" s="3">
        <v>3660000</v>
      </c>
      <c r="L236" s="2" t="s">
        <v>25</v>
      </c>
      <c r="M236" s="2" t="s">
        <v>26</v>
      </c>
      <c r="N236">
        <v>2023</v>
      </c>
      <c r="O236" s="2" t="s">
        <v>27</v>
      </c>
      <c r="P236" s="2" t="s">
        <v>139</v>
      </c>
      <c r="Q236">
        <v>3</v>
      </c>
      <c r="R236" s="4">
        <v>44986</v>
      </c>
      <c r="S236" s="3">
        <v>183000</v>
      </c>
      <c r="T236" s="3">
        <v>0.37</v>
      </c>
    </row>
    <row r="237" spans="1:20" hidden="1" x14ac:dyDescent="0.3">
      <c r="A237" s="1">
        <v>45016</v>
      </c>
      <c r="B237" s="2" t="s">
        <v>48</v>
      </c>
      <c r="C237" s="2" t="s">
        <v>98</v>
      </c>
      <c r="D237" s="2" t="s">
        <v>54</v>
      </c>
      <c r="E237" s="2" t="s">
        <v>55</v>
      </c>
      <c r="F237" s="2" t="s">
        <v>24</v>
      </c>
      <c r="G237">
        <v>30</v>
      </c>
      <c r="H237">
        <v>320</v>
      </c>
      <c r="I237">
        <v>28</v>
      </c>
      <c r="J237" s="3">
        <v>1645200</v>
      </c>
      <c r="K237" s="3">
        <v>46065600</v>
      </c>
      <c r="L237" s="2" t="s">
        <v>33</v>
      </c>
      <c r="M237" s="2" t="s">
        <v>26</v>
      </c>
      <c r="N237">
        <v>2023</v>
      </c>
      <c r="O237" s="2" t="s">
        <v>27</v>
      </c>
      <c r="P237" s="2" t="s">
        <v>139</v>
      </c>
      <c r="Q237">
        <v>3</v>
      </c>
      <c r="R237" s="4">
        <v>44986</v>
      </c>
      <c r="S237" s="3">
        <v>1645200</v>
      </c>
      <c r="T237" s="3">
        <v>4.6100000000000003</v>
      </c>
    </row>
    <row r="238" spans="1:20" hidden="1" x14ac:dyDescent="0.3">
      <c r="A238" s="1">
        <v>45016</v>
      </c>
      <c r="B238" s="2" t="s">
        <v>84</v>
      </c>
      <c r="C238" s="2" t="s">
        <v>126</v>
      </c>
      <c r="D238" s="2" t="s">
        <v>79</v>
      </c>
      <c r="E238" s="2" t="s">
        <v>80</v>
      </c>
      <c r="F238" s="2" t="s">
        <v>24</v>
      </c>
      <c r="G238">
        <v>69</v>
      </c>
      <c r="H238">
        <v>418</v>
      </c>
      <c r="I238">
        <v>79</v>
      </c>
      <c r="J238" s="3">
        <v>6455300</v>
      </c>
      <c r="K238" s="3">
        <v>509968700</v>
      </c>
      <c r="L238" s="2" t="s">
        <v>33</v>
      </c>
      <c r="M238" s="2" t="s">
        <v>26</v>
      </c>
      <c r="N238">
        <v>2023</v>
      </c>
      <c r="O238" s="2" t="s">
        <v>27</v>
      </c>
      <c r="P238" s="2" t="s">
        <v>139</v>
      </c>
      <c r="Q238">
        <v>3</v>
      </c>
      <c r="R238" s="4">
        <v>44986</v>
      </c>
      <c r="S238" s="3">
        <v>6455300</v>
      </c>
      <c r="T238" s="3">
        <v>51</v>
      </c>
    </row>
    <row r="239" spans="1:20" hidden="1" x14ac:dyDescent="0.3">
      <c r="A239" s="1">
        <v>45016</v>
      </c>
      <c r="B239" s="2" t="s">
        <v>84</v>
      </c>
      <c r="C239" s="2" t="s">
        <v>85</v>
      </c>
      <c r="D239" s="2" t="s">
        <v>31</v>
      </c>
      <c r="E239" s="2" t="s">
        <v>124</v>
      </c>
      <c r="F239" s="2" t="s">
        <v>24</v>
      </c>
      <c r="G239">
        <v>3</v>
      </c>
      <c r="H239">
        <v>151</v>
      </c>
      <c r="I239">
        <v>139</v>
      </c>
      <c r="J239" s="3">
        <v>120100</v>
      </c>
      <c r="K239" s="3">
        <v>16693900</v>
      </c>
      <c r="L239" s="2" t="s">
        <v>33</v>
      </c>
      <c r="M239" s="2" t="s">
        <v>97</v>
      </c>
      <c r="N239">
        <v>2023</v>
      </c>
      <c r="O239" s="2" t="s">
        <v>27</v>
      </c>
      <c r="P239" s="2" t="s">
        <v>139</v>
      </c>
      <c r="Q239">
        <v>3</v>
      </c>
      <c r="R239" s="4">
        <v>44986</v>
      </c>
      <c r="S239" s="3">
        <v>120100</v>
      </c>
      <c r="T239" s="3">
        <v>1.67</v>
      </c>
    </row>
    <row r="240" spans="1:20" hidden="1" x14ac:dyDescent="0.3">
      <c r="A240" s="1">
        <v>45017</v>
      </c>
      <c r="B240" s="2" t="s">
        <v>46</v>
      </c>
      <c r="C240" s="2" t="s">
        <v>56</v>
      </c>
      <c r="D240" s="2" t="s">
        <v>31</v>
      </c>
      <c r="E240" s="2" t="s">
        <v>124</v>
      </c>
      <c r="F240" s="2" t="s">
        <v>24</v>
      </c>
      <c r="G240">
        <v>3</v>
      </c>
      <c r="H240">
        <v>151</v>
      </c>
      <c r="I240">
        <v>53</v>
      </c>
      <c r="J240" s="3">
        <v>108600</v>
      </c>
      <c r="K240" s="3">
        <v>5755800</v>
      </c>
      <c r="L240" s="2" t="s">
        <v>33</v>
      </c>
      <c r="M240" s="2" t="s">
        <v>97</v>
      </c>
      <c r="N240">
        <v>2023</v>
      </c>
      <c r="O240" s="2" t="s">
        <v>143</v>
      </c>
      <c r="P240" s="2" t="s">
        <v>144</v>
      </c>
      <c r="Q240">
        <v>4</v>
      </c>
      <c r="R240" s="4">
        <v>45017</v>
      </c>
      <c r="S240" s="3">
        <v>108600</v>
      </c>
      <c r="T240" s="3">
        <v>0.57999999999999996</v>
      </c>
    </row>
    <row r="241" spans="1:20" hidden="1" x14ac:dyDescent="0.3">
      <c r="A241" s="1">
        <v>45017</v>
      </c>
      <c r="B241" s="2" t="s">
        <v>44</v>
      </c>
      <c r="C241" s="2" t="s">
        <v>117</v>
      </c>
      <c r="D241" s="2" t="s">
        <v>102</v>
      </c>
      <c r="E241" s="2" t="s">
        <v>103</v>
      </c>
      <c r="F241" s="2" t="s">
        <v>24</v>
      </c>
      <c r="G241">
        <v>5</v>
      </c>
      <c r="H241">
        <v>150</v>
      </c>
      <c r="I241">
        <v>113</v>
      </c>
      <c r="J241" s="3">
        <v>183700</v>
      </c>
      <c r="K241" s="3">
        <v>20758100</v>
      </c>
      <c r="L241" s="2" t="s">
        <v>33</v>
      </c>
      <c r="M241" s="2" t="s">
        <v>34</v>
      </c>
      <c r="N241">
        <v>2023</v>
      </c>
      <c r="O241" s="2" t="s">
        <v>143</v>
      </c>
      <c r="P241" s="2" t="s">
        <v>144</v>
      </c>
      <c r="Q241">
        <v>4</v>
      </c>
      <c r="R241" s="4">
        <v>45017</v>
      </c>
      <c r="S241" s="3">
        <v>183700</v>
      </c>
      <c r="T241" s="3">
        <v>2.08</v>
      </c>
    </row>
    <row r="242" spans="1:20" hidden="1" x14ac:dyDescent="0.3">
      <c r="A242" s="1">
        <v>45017</v>
      </c>
      <c r="B242" s="2" t="s">
        <v>46</v>
      </c>
      <c r="C242" s="2" t="s">
        <v>137</v>
      </c>
      <c r="D242" s="2" t="s">
        <v>82</v>
      </c>
      <c r="E242" s="2" t="s">
        <v>83</v>
      </c>
      <c r="F242" s="2" t="s">
        <v>72</v>
      </c>
      <c r="G242">
        <v>40</v>
      </c>
      <c r="H242">
        <v>39</v>
      </c>
      <c r="I242">
        <v>150</v>
      </c>
      <c r="J242" s="3">
        <v>2147600</v>
      </c>
      <c r="K242" s="3">
        <v>322140000</v>
      </c>
      <c r="L242" s="2" t="s">
        <v>33</v>
      </c>
      <c r="M242" s="2" t="s">
        <v>77</v>
      </c>
      <c r="N242">
        <v>2023</v>
      </c>
      <c r="O242" s="2" t="s">
        <v>143</v>
      </c>
      <c r="P242" s="2" t="s">
        <v>144</v>
      </c>
      <c r="Q242">
        <v>4</v>
      </c>
      <c r="R242" s="4">
        <v>45017</v>
      </c>
      <c r="S242" s="3">
        <v>2147600</v>
      </c>
      <c r="T242" s="3">
        <v>32.21</v>
      </c>
    </row>
    <row r="243" spans="1:20" hidden="1" x14ac:dyDescent="0.3">
      <c r="A243" s="1">
        <v>45018</v>
      </c>
      <c r="B243" s="2" t="s">
        <v>48</v>
      </c>
      <c r="C243" s="2" t="s">
        <v>69</v>
      </c>
      <c r="D243" s="2" t="s">
        <v>67</v>
      </c>
      <c r="E243" s="2" t="s">
        <v>118</v>
      </c>
      <c r="F243" s="2" t="s">
        <v>24</v>
      </c>
      <c r="G243">
        <v>84</v>
      </c>
      <c r="H243">
        <v>590</v>
      </c>
      <c r="I243">
        <v>49</v>
      </c>
      <c r="J243" s="3">
        <v>7790400</v>
      </c>
      <c r="K243" s="3">
        <v>381729600</v>
      </c>
      <c r="L243" s="2" t="s">
        <v>33</v>
      </c>
      <c r="M243" s="2" t="s">
        <v>26</v>
      </c>
      <c r="N243">
        <v>2023</v>
      </c>
      <c r="O243" s="2" t="s">
        <v>143</v>
      </c>
      <c r="P243" s="2" t="s">
        <v>144</v>
      </c>
      <c r="Q243">
        <v>4</v>
      </c>
      <c r="R243" s="4">
        <v>45017</v>
      </c>
      <c r="S243" s="3">
        <v>7790400</v>
      </c>
      <c r="T243" s="3">
        <v>38.17</v>
      </c>
    </row>
    <row r="244" spans="1:20" hidden="1" x14ac:dyDescent="0.3">
      <c r="A244" s="1">
        <v>45019</v>
      </c>
      <c r="B244" s="2" t="s">
        <v>35</v>
      </c>
      <c r="C244" s="2" t="s">
        <v>132</v>
      </c>
      <c r="D244" s="2" t="s">
        <v>94</v>
      </c>
      <c r="E244" s="2" t="s">
        <v>140</v>
      </c>
      <c r="F244" s="2" t="s">
        <v>24</v>
      </c>
      <c r="G244">
        <v>35</v>
      </c>
      <c r="H244">
        <v>32</v>
      </c>
      <c r="I244">
        <v>75</v>
      </c>
      <c r="J244" s="3">
        <v>1817900</v>
      </c>
      <c r="K244" s="3">
        <v>136342500</v>
      </c>
      <c r="L244" s="2" t="s">
        <v>33</v>
      </c>
      <c r="M244" s="2" t="s">
        <v>77</v>
      </c>
      <c r="N244">
        <v>2023</v>
      </c>
      <c r="O244" s="2" t="s">
        <v>143</v>
      </c>
      <c r="P244" s="2" t="s">
        <v>144</v>
      </c>
      <c r="Q244">
        <v>4</v>
      </c>
      <c r="R244" s="4">
        <v>45017</v>
      </c>
      <c r="S244" s="3">
        <v>1817900</v>
      </c>
      <c r="T244" s="3">
        <v>13.63</v>
      </c>
    </row>
    <row r="245" spans="1:20" hidden="1" x14ac:dyDescent="0.3">
      <c r="A245" s="1">
        <v>45019</v>
      </c>
      <c r="B245" s="2" t="s">
        <v>106</v>
      </c>
      <c r="C245" s="2" t="s">
        <v>107</v>
      </c>
      <c r="D245" s="2" t="s">
        <v>63</v>
      </c>
      <c r="E245" s="2" t="s">
        <v>64</v>
      </c>
      <c r="F245" s="2" t="s">
        <v>24</v>
      </c>
      <c r="G245">
        <v>3</v>
      </c>
      <c r="H245">
        <v>127</v>
      </c>
      <c r="I245">
        <v>111</v>
      </c>
      <c r="J245" s="3">
        <v>184200</v>
      </c>
      <c r="K245" s="3">
        <v>20446200</v>
      </c>
      <c r="L245" s="2" t="s">
        <v>33</v>
      </c>
      <c r="M245" s="2" t="s">
        <v>77</v>
      </c>
      <c r="N245">
        <v>2023</v>
      </c>
      <c r="O245" s="2" t="s">
        <v>143</v>
      </c>
      <c r="P245" s="2" t="s">
        <v>144</v>
      </c>
      <c r="Q245">
        <v>4</v>
      </c>
      <c r="R245" s="4">
        <v>45017</v>
      </c>
      <c r="S245" s="3">
        <v>184200</v>
      </c>
      <c r="T245" s="3">
        <v>2.04</v>
      </c>
    </row>
    <row r="246" spans="1:20" hidden="1" x14ac:dyDescent="0.3">
      <c r="A246" s="1">
        <v>45019</v>
      </c>
      <c r="B246" s="2" t="s">
        <v>84</v>
      </c>
      <c r="C246" s="2" t="s">
        <v>126</v>
      </c>
      <c r="D246" s="2" t="s">
        <v>42</v>
      </c>
      <c r="E246" s="2" t="s">
        <v>43</v>
      </c>
      <c r="F246" s="2" t="s">
        <v>24</v>
      </c>
      <c r="G246">
        <v>3</v>
      </c>
      <c r="H246">
        <v>135</v>
      </c>
      <c r="I246">
        <v>73</v>
      </c>
      <c r="J246" s="3">
        <v>127900</v>
      </c>
      <c r="K246" s="3">
        <v>9336700</v>
      </c>
      <c r="L246" s="2" t="s">
        <v>25</v>
      </c>
      <c r="M246" s="2" t="s">
        <v>26</v>
      </c>
      <c r="N246">
        <v>2023</v>
      </c>
      <c r="O246" s="2" t="s">
        <v>143</v>
      </c>
      <c r="P246" s="2" t="s">
        <v>144</v>
      </c>
      <c r="Q246">
        <v>4</v>
      </c>
      <c r="R246" s="4">
        <v>45017</v>
      </c>
      <c r="S246" s="3">
        <v>127900</v>
      </c>
      <c r="T246" s="3">
        <v>0.93</v>
      </c>
    </row>
    <row r="247" spans="1:20" hidden="1" x14ac:dyDescent="0.3">
      <c r="A247" s="1">
        <v>45019</v>
      </c>
      <c r="B247" s="2" t="s">
        <v>29</v>
      </c>
      <c r="C247" s="2" t="s">
        <v>96</v>
      </c>
      <c r="D247" s="2" t="s">
        <v>22</v>
      </c>
      <c r="E247" s="2" t="s">
        <v>23</v>
      </c>
      <c r="F247" s="2" t="s">
        <v>24</v>
      </c>
      <c r="G247">
        <v>82</v>
      </c>
      <c r="H247">
        <v>520</v>
      </c>
      <c r="I247">
        <v>66</v>
      </c>
      <c r="J247" s="3">
        <v>7642300</v>
      </c>
      <c r="K247" s="3">
        <v>504391800</v>
      </c>
      <c r="L247" s="2" t="s">
        <v>25</v>
      </c>
      <c r="M247" s="2" t="s">
        <v>26</v>
      </c>
      <c r="N247">
        <v>2023</v>
      </c>
      <c r="O247" s="2" t="s">
        <v>143</v>
      </c>
      <c r="P247" s="2" t="s">
        <v>144</v>
      </c>
      <c r="Q247">
        <v>4</v>
      </c>
      <c r="R247" s="4">
        <v>45017</v>
      </c>
      <c r="S247" s="3">
        <v>7642300</v>
      </c>
      <c r="T247" s="3">
        <v>50.44</v>
      </c>
    </row>
    <row r="248" spans="1:20" hidden="1" x14ac:dyDescent="0.3">
      <c r="A248" s="1">
        <v>45019</v>
      </c>
      <c r="B248" s="2" t="s">
        <v>48</v>
      </c>
      <c r="C248" s="2" t="s">
        <v>73</v>
      </c>
      <c r="D248" s="2" t="s">
        <v>42</v>
      </c>
      <c r="E248" s="2" t="s">
        <v>43</v>
      </c>
      <c r="F248" s="2" t="s">
        <v>24</v>
      </c>
      <c r="G248">
        <v>3</v>
      </c>
      <c r="H248">
        <v>135</v>
      </c>
      <c r="I248">
        <v>44</v>
      </c>
      <c r="J248" s="3">
        <v>131400</v>
      </c>
      <c r="K248" s="3">
        <v>5781600</v>
      </c>
      <c r="L248" s="2" t="s">
        <v>25</v>
      </c>
      <c r="M248" s="2" t="s">
        <v>34</v>
      </c>
      <c r="N248">
        <v>2023</v>
      </c>
      <c r="O248" s="2" t="s">
        <v>143</v>
      </c>
      <c r="P248" s="2" t="s">
        <v>144</v>
      </c>
      <c r="Q248">
        <v>4</v>
      </c>
      <c r="R248" s="4">
        <v>45017</v>
      </c>
      <c r="S248" s="3">
        <v>131400</v>
      </c>
      <c r="T248" s="3">
        <v>0.57999999999999996</v>
      </c>
    </row>
    <row r="249" spans="1:20" hidden="1" x14ac:dyDescent="0.3">
      <c r="A249" s="1">
        <v>45020</v>
      </c>
      <c r="B249" s="2" t="s">
        <v>46</v>
      </c>
      <c r="C249" s="2" t="s">
        <v>47</v>
      </c>
      <c r="D249" s="2" t="s">
        <v>88</v>
      </c>
      <c r="E249" s="2" t="s">
        <v>89</v>
      </c>
      <c r="F249" s="2" t="s">
        <v>72</v>
      </c>
      <c r="G249">
        <v>82</v>
      </c>
      <c r="H249">
        <v>580</v>
      </c>
      <c r="I249">
        <v>23</v>
      </c>
      <c r="J249" s="3">
        <v>5697200</v>
      </c>
      <c r="K249" s="3">
        <v>131035600</v>
      </c>
      <c r="L249" s="2" t="s">
        <v>25</v>
      </c>
      <c r="M249" s="2" t="s">
        <v>26</v>
      </c>
      <c r="N249">
        <v>2023</v>
      </c>
      <c r="O249" s="2" t="s">
        <v>143</v>
      </c>
      <c r="P249" s="2" t="s">
        <v>144</v>
      </c>
      <c r="Q249">
        <v>4</v>
      </c>
      <c r="R249" s="4">
        <v>45017</v>
      </c>
      <c r="S249" s="3">
        <v>5697200</v>
      </c>
      <c r="T249" s="3">
        <v>13.1</v>
      </c>
    </row>
    <row r="250" spans="1:20" hidden="1" x14ac:dyDescent="0.3">
      <c r="A250" s="1">
        <v>45020</v>
      </c>
      <c r="B250" s="2" t="s">
        <v>90</v>
      </c>
      <c r="C250" s="2" t="s">
        <v>114</v>
      </c>
      <c r="D250" s="2" t="s">
        <v>54</v>
      </c>
      <c r="E250" s="2" t="s">
        <v>55</v>
      </c>
      <c r="F250" s="2" t="s">
        <v>24</v>
      </c>
      <c r="G250">
        <v>30</v>
      </c>
      <c r="H250">
        <v>320</v>
      </c>
      <c r="I250">
        <v>77</v>
      </c>
      <c r="J250" s="3">
        <v>1376800</v>
      </c>
      <c r="K250" s="3">
        <v>106013600</v>
      </c>
      <c r="L250" s="2" t="s">
        <v>25</v>
      </c>
      <c r="M250" s="2" t="s">
        <v>77</v>
      </c>
      <c r="N250">
        <v>2023</v>
      </c>
      <c r="O250" s="2" t="s">
        <v>143</v>
      </c>
      <c r="P250" s="2" t="s">
        <v>144</v>
      </c>
      <c r="Q250">
        <v>4</v>
      </c>
      <c r="R250" s="4">
        <v>45017</v>
      </c>
      <c r="S250" s="3">
        <v>1376800</v>
      </c>
      <c r="T250" s="3">
        <v>10.6</v>
      </c>
    </row>
    <row r="251" spans="1:20" hidden="1" x14ac:dyDescent="0.3">
      <c r="A251" s="1">
        <v>45020</v>
      </c>
      <c r="B251" s="2" t="s">
        <v>75</v>
      </c>
      <c r="C251" s="2" t="s">
        <v>134</v>
      </c>
      <c r="D251" s="2" t="s">
        <v>57</v>
      </c>
      <c r="E251" s="2" t="s">
        <v>86</v>
      </c>
      <c r="F251" s="2" t="s">
        <v>24</v>
      </c>
      <c r="G251">
        <v>48</v>
      </c>
      <c r="H251">
        <v>39</v>
      </c>
      <c r="I251">
        <v>94</v>
      </c>
      <c r="J251" s="3">
        <v>2279300</v>
      </c>
      <c r="K251" s="3">
        <v>214254200</v>
      </c>
      <c r="L251" s="2" t="s">
        <v>33</v>
      </c>
      <c r="M251" s="2" t="s">
        <v>26</v>
      </c>
      <c r="N251">
        <v>2023</v>
      </c>
      <c r="O251" s="2" t="s">
        <v>143</v>
      </c>
      <c r="P251" s="2" t="s">
        <v>144</v>
      </c>
      <c r="Q251">
        <v>4</v>
      </c>
      <c r="R251" s="4">
        <v>45017</v>
      </c>
      <c r="S251" s="3">
        <v>2279300</v>
      </c>
      <c r="T251" s="3">
        <v>21.43</v>
      </c>
    </row>
    <row r="252" spans="1:20" hidden="1" x14ac:dyDescent="0.3">
      <c r="A252" s="1">
        <v>45020</v>
      </c>
      <c r="B252" s="2" t="s">
        <v>29</v>
      </c>
      <c r="C252" s="2" t="s">
        <v>104</v>
      </c>
      <c r="D252" s="2" t="s">
        <v>88</v>
      </c>
      <c r="E252" s="2" t="s">
        <v>111</v>
      </c>
      <c r="F252" s="2" t="s">
        <v>24</v>
      </c>
      <c r="G252">
        <v>60</v>
      </c>
      <c r="H252">
        <v>480</v>
      </c>
      <c r="I252">
        <v>77</v>
      </c>
      <c r="J252" s="3">
        <v>3562700</v>
      </c>
      <c r="K252" s="3">
        <v>274327900</v>
      </c>
      <c r="L252" s="2" t="s">
        <v>33</v>
      </c>
      <c r="M252" s="2" t="s">
        <v>77</v>
      </c>
      <c r="N252">
        <v>2023</v>
      </c>
      <c r="O252" s="2" t="s">
        <v>143</v>
      </c>
      <c r="P252" s="2" t="s">
        <v>144</v>
      </c>
      <c r="Q252">
        <v>4</v>
      </c>
      <c r="R252" s="4">
        <v>45017</v>
      </c>
      <c r="S252" s="3">
        <v>3562700</v>
      </c>
      <c r="T252" s="3">
        <v>27.43</v>
      </c>
    </row>
    <row r="253" spans="1:20" hidden="1" x14ac:dyDescent="0.3">
      <c r="A253" s="1">
        <v>45021</v>
      </c>
      <c r="B253" s="2" t="s">
        <v>40</v>
      </c>
      <c r="C253" s="2" t="s">
        <v>105</v>
      </c>
      <c r="D253" s="2" t="s">
        <v>63</v>
      </c>
      <c r="E253" s="2" t="s">
        <v>64</v>
      </c>
      <c r="F253" s="2" t="s">
        <v>24</v>
      </c>
      <c r="G253">
        <v>3</v>
      </c>
      <c r="H253">
        <v>127</v>
      </c>
      <c r="I253">
        <v>90</v>
      </c>
      <c r="J253" s="3">
        <v>140800</v>
      </c>
      <c r="K253" s="3">
        <v>12672000</v>
      </c>
      <c r="L253" s="2" t="s">
        <v>33</v>
      </c>
      <c r="M253" s="2" t="s">
        <v>77</v>
      </c>
      <c r="N253">
        <v>2023</v>
      </c>
      <c r="O253" s="2" t="s">
        <v>143</v>
      </c>
      <c r="P253" s="2" t="s">
        <v>144</v>
      </c>
      <c r="Q253">
        <v>4</v>
      </c>
      <c r="R253" s="4">
        <v>45017</v>
      </c>
      <c r="S253" s="3">
        <v>140800</v>
      </c>
      <c r="T253" s="3">
        <v>1.27</v>
      </c>
    </row>
    <row r="254" spans="1:20" hidden="1" x14ac:dyDescent="0.3">
      <c r="A254" s="1">
        <v>45021</v>
      </c>
      <c r="B254" s="2" t="s">
        <v>48</v>
      </c>
      <c r="C254" s="2" t="s">
        <v>98</v>
      </c>
      <c r="D254" s="2" t="s">
        <v>22</v>
      </c>
      <c r="E254" s="2" t="s">
        <v>23</v>
      </c>
      <c r="F254" s="2" t="s">
        <v>24</v>
      </c>
      <c r="G254">
        <v>82</v>
      </c>
      <c r="H254">
        <v>520</v>
      </c>
      <c r="I254">
        <v>6</v>
      </c>
      <c r="J254" s="3">
        <v>7081700</v>
      </c>
      <c r="K254" s="3">
        <v>42490200</v>
      </c>
      <c r="L254" s="2" t="s">
        <v>33</v>
      </c>
      <c r="M254" s="2" t="s">
        <v>34</v>
      </c>
      <c r="N254">
        <v>2023</v>
      </c>
      <c r="O254" s="2" t="s">
        <v>143</v>
      </c>
      <c r="P254" s="2" t="s">
        <v>144</v>
      </c>
      <c r="Q254">
        <v>4</v>
      </c>
      <c r="R254" s="4">
        <v>45017</v>
      </c>
      <c r="S254" s="3">
        <v>7081700</v>
      </c>
      <c r="T254" s="3">
        <v>4.25</v>
      </c>
    </row>
    <row r="255" spans="1:20" hidden="1" x14ac:dyDescent="0.3">
      <c r="A255" s="1">
        <v>45021</v>
      </c>
      <c r="B255" s="2" t="s">
        <v>46</v>
      </c>
      <c r="C255" s="2" t="s">
        <v>110</v>
      </c>
      <c r="D255" s="2" t="s">
        <v>31</v>
      </c>
      <c r="E255" s="2" t="s">
        <v>124</v>
      </c>
      <c r="F255" s="2" t="s">
        <v>24</v>
      </c>
      <c r="G255">
        <v>3</v>
      </c>
      <c r="H255">
        <v>151</v>
      </c>
      <c r="I255">
        <v>15</v>
      </c>
      <c r="J255" s="3">
        <v>96100</v>
      </c>
      <c r="K255" s="3">
        <v>1441500</v>
      </c>
      <c r="L255" s="2" t="s">
        <v>33</v>
      </c>
      <c r="M255" s="2" t="s">
        <v>77</v>
      </c>
      <c r="N255">
        <v>2023</v>
      </c>
      <c r="O255" s="2" t="s">
        <v>143</v>
      </c>
      <c r="P255" s="2" t="s">
        <v>144</v>
      </c>
      <c r="Q255">
        <v>4</v>
      </c>
      <c r="R255" s="4">
        <v>45017</v>
      </c>
      <c r="S255" s="3">
        <v>96100</v>
      </c>
      <c r="T255" s="3">
        <v>0.14000000000000001</v>
      </c>
    </row>
    <row r="256" spans="1:20" hidden="1" x14ac:dyDescent="0.3">
      <c r="A256" s="1">
        <v>45021</v>
      </c>
      <c r="B256" s="2" t="s">
        <v>108</v>
      </c>
      <c r="C256" s="2" t="s">
        <v>131</v>
      </c>
      <c r="D256" s="2" t="s">
        <v>100</v>
      </c>
      <c r="E256" s="2" t="s">
        <v>101</v>
      </c>
      <c r="F256" s="2" t="s">
        <v>24</v>
      </c>
      <c r="G256">
        <v>3</v>
      </c>
      <c r="H256">
        <v>150</v>
      </c>
      <c r="I256">
        <v>23</v>
      </c>
      <c r="J256" s="3">
        <v>133900</v>
      </c>
      <c r="K256" s="3">
        <v>3079700</v>
      </c>
      <c r="L256" s="2" t="s">
        <v>25</v>
      </c>
      <c r="M256" s="2" t="s">
        <v>77</v>
      </c>
      <c r="N256">
        <v>2023</v>
      </c>
      <c r="O256" s="2" t="s">
        <v>143</v>
      </c>
      <c r="P256" s="2" t="s">
        <v>144</v>
      </c>
      <c r="Q256">
        <v>4</v>
      </c>
      <c r="R256" s="4">
        <v>45017</v>
      </c>
      <c r="S256" s="3">
        <v>133900</v>
      </c>
      <c r="T256" s="3">
        <v>0.31</v>
      </c>
    </row>
    <row r="257" spans="1:20" hidden="1" x14ac:dyDescent="0.3">
      <c r="A257" s="1">
        <v>45022</v>
      </c>
      <c r="B257" s="2" t="s">
        <v>46</v>
      </c>
      <c r="C257" s="2" t="s">
        <v>47</v>
      </c>
      <c r="D257" s="2" t="s">
        <v>42</v>
      </c>
      <c r="E257" s="2" t="s">
        <v>43</v>
      </c>
      <c r="F257" s="2" t="s">
        <v>24</v>
      </c>
      <c r="G257">
        <v>3</v>
      </c>
      <c r="H257">
        <v>135</v>
      </c>
      <c r="I257">
        <v>41</v>
      </c>
      <c r="J257" s="3">
        <v>103100</v>
      </c>
      <c r="K257" s="3">
        <v>4227100</v>
      </c>
      <c r="L257" s="2" t="s">
        <v>25</v>
      </c>
      <c r="M257" s="2" t="s">
        <v>26</v>
      </c>
      <c r="N257">
        <v>2023</v>
      </c>
      <c r="O257" s="2" t="s">
        <v>143</v>
      </c>
      <c r="P257" s="2" t="s">
        <v>144</v>
      </c>
      <c r="Q257">
        <v>4</v>
      </c>
      <c r="R257" s="4">
        <v>45017</v>
      </c>
      <c r="S257" s="3">
        <v>103100</v>
      </c>
      <c r="T257" s="3">
        <v>0.42</v>
      </c>
    </row>
    <row r="258" spans="1:20" hidden="1" x14ac:dyDescent="0.3">
      <c r="A258" s="1">
        <v>45022</v>
      </c>
      <c r="B258" s="2" t="s">
        <v>20</v>
      </c>
      <c r="C258" s="2" t="s">
        <v>112</v>
      </c>
      <c r="D258" s="2" t="s">
        <v>94</v>
      </c>
      <c r="E258" s="2" t="s">
        <v>115</v>
      </c>
      <c r="F258" s="2" t="s">
        <v>72</v>
      </c>
      <c r="G258">
        <v>24</v>
      </c>
      <c r="H258">
        <v>24</v>
      </c>
      <c r="I258">
        <v>17</v>
      </c>
      <c r="J258" s="3">
        <v>1491600</v>
      </c>
      <c r="K258" s="3">
        <v>25357200</v>
      </c>
      <c r="L258" s="2" t="s">
        <v>33</v>
      </c>
      <c r="M258" s="2" t="s">
        <v>26</v>
      </c>
      <c r="N258">
        <v>2023</v>
      </c>
      <c r="O258" s="2" t="s">
        <v>143</v>
      </c>
      <c r="P258" s="2" t="s">
        <v>144</v>
      </c>
      <c r="Q258">
        <v>4</v>
      </c>
      <c r="R258" s="4">
        <v>45017</v>
      </c>
      <c r="S258" s="3">
        <v>1491600</v>
      </c>
      <c r="T258" s="3">
        <v>2.54</v>
      </c>
    </row>
    <row r="259" spans="1:20" hidden="1" x14ac:dyDescent="0.3">
      <c r="A259" s="1">
        <v>45023</v>
      </c>
      <c r="B259" s="2" t="s">
        <v>46</v>
      </c>
      <c r="C259" s="2" t="s">
        <v>137</v>
      </c>
      <c r="D259" s="2" t="s">
        <v>67</v>
      </c>
      <c r="E259" s="2" t="s">
        <v>118</v>
      </c>
      <c r="F259" s="2" t="s">
        <v>24</v>
      </c>
      <c r="G259">
        <v>84</v>
      </c>
      <c r="H259">
        <v>590</v>
      </c>
      <c r="I259">
        <v>25</v>
      </c>
      <c r="J259" s="3">
        <v>7825900</v>
      </c>
      <c r="K259" s="3">
        <v>195647500</v>
      </c>
      <c r="L259" s="2" t="s">
        <v>33</v>
      </c>
      <c r="M259" s="2" t="s">
        <v>26</v>
      </c>
      <c r="N259">
        <v>2023</v>
      </c>
      <c r="O259" s="2" t="s">
        <v>143</v>
      </c>
      <c r="P259" s="2" t="s">
        <v>144</v>
      </c>
      <c r="Q259">
        <v>4</v>
      </c>
      <c r="R259" s="4">
        <v>45017</v>
      </c>
      <c r="S259" s="3">
        <v>7825900</v>
      </c>
      <c r="T259" s="3">
        <v>19.559999999999999</v>
      </c>
    </row>
    <row r="260" spans="1:20" hidden="1" x14ac:dyDescent="0.3">
      <c r="A260" s="1">
        <v>45023</v>
      </c>
      <c r="B260" s="2" t="s">
        <v>48</v>
      </c>
      <c r="C260" s="2" t="s">
        <v>98</v>
      </c>
      <c r="D260" s="2" t="s">
        <v>50</v>
      </c>
      <c r="E260" s="2" t="s">
        <v>51</v>
      </c>
      <c r="F260" s="2" t="s">
        <v>24</v>
      </c>
      <c r="G260">
        <v>77</v>
      </c>
      <c r="H260">
        <v>528</v>
      </c>
      <c r="I260">
        <v>70</v>
      </c>
      <c r="J260" s="3">
        <v>4383300</v>
      </c>
      <c r="K260" s="3">
        <v>306831000</v>
      </c>
      <c r="L260" s="2" t="s">
        <v>33</v>
      </c>
      <c r="M260" s="2" t="s">
        <v>26</v>
      </c>
      <c r="N260">
        <v>2023</v>
      </c>
      <c r="O260" s="2" t="s">
        <v>143</v>
      </c>
      <c r="P260" s="2" t="s">
        <v>144</v>
      </c>
      <c r="Q260">
        <v>4</v>
      </c>
      <c r="R260" s="4">
        <v>45017</v>
      </c>
      <c r="S260" s="3">
        <v>4383300</v>
      </c>
      <c r="T260" s="3">
        <v>30.68</v>
      </c>
    </row>
    <row r="261" spans="1:20" hidden="1" x14ac:dyDescent="0.3">
      <c r="A261" s="1">
        <v>45023</v>
      </c>
      <c r="B261" s="2" t="s">
        <v>35</v>
      </c>
      <c r="C261" s="2" t="s">
        <v>87</v>
      </c>
      <c r="D261" s="2" t="s">
        <v>22</v>
      </c>
      <c r="E261" s="2" t="s">
        <v>23</v>
      </c>
      <c r="F261" s="2" t="s">
        <v>24</v>
      </c>
      <c r="G261">
        <v>82</v>
      </c>
      <c r="H261">
        <v>520</v>
      </c>
      <c r="I261">
        <v>8</v>
      </c>
      <c r="J261" s="3">
        <v>6512400</v>
      </c>
      <c r="K261" s="3">
        <v>52099200</v>
      </c>
      <c r="L261" s="2" t="s">
        <v>33</v>
      </c>
      <c r="M261" s="2" t="s">
        <v>26</v>
      </c>
      <c r="N261">
        <v>2023</v>
      </c>
      <c r="O261" s="2" t="s">
        <v>143</v>
      </c>
      <c r="P261" s="2" t="s">
        <v>144</v>
      </c>
      <c r="Q261">
        <v>4</v>
      </c>
      <c r="R261" s="4">
        <v>45017</v>
      </c>
      <c r="S261" s="3">
        <v>6512400</v>
      </c>
      <c r="T261" s="3">
        <v>5.21</v>
      </c>
    </row>
    <row r="262" spans="1:20" hidden="1" x14ac:dyDescent="0.3">
      <c r="A262" s="1">
        <v>45023</v>
      </c>
      <c r="B262" s="2" t="s">
        <v>108</v>
      </c>
      <c r="C262" s="2" t="s">
        <v>133</v>
      </c>
      <c r="D262" s="2" t="s">
        <v>57</v>
      </c>
      <c r="E262" s="2" t="s">
        <v>58</v>
      </c>
      <c r="F262" s="2" t="s">
        <v>72</v>
      </c>
      <c r="G262">
        <v>72</v>
      </c>
      <c r="H262">
        <v>488</v>
      </c>
      <c r="I262">
        <v>36</v>
      </c>
      <c r="J262" s="3">
        <v>4587500</v>
      </c>
      <c r="K262" s="3">
        <v>165150000</v>
      </c>
      <c r="L262" s="2" t="s">
        <v>33</v>
      </c>
      <c r="M262" s="2" t="s">
        <v>77</v>
      </c>
      <c r="N262">
        <v>2023</v>
      </c>
      <c r="O262" s="2" t="s">
        <v>143</v>
      </c>
      <c r="P262" s="2" t="s">
        <v>144</v>
      </c>
      <c r="Q262">
        <v>4</v>
      </c>
      <c r="R262" s="4">
        <v>45017</v>
      </c>
      <c r="S262" s="3">
        <v>4587500</v>
      </c>
      <c r="T262" s="3">
        <v>16.52</v>
      </c>
    </row>
    <row r="263" spans="1:20" hidden="1" x14ac:dyDescent="0.3">
      <c r="A263" s="1">
        <v>45023</v>
      </c>
      <c r="B263" s="2" t="s">
        <v>40</v>
      </c>
      <c r="C263" s="2" t="s">
        <v>105</v>
      </c>
      <c r="D263" s="2" t="s">
        <v>42</v>
      </c>
      <c r="E263" s="2" t="s">
        <v>43</v>
      </c>
      <c r="F263" s="2" t="s">
        <v>24</v>
      </c>
      <c r="G263">
        <v>3</v>
      </c>
      <c r="H263">
        <v>135</v>
      </c>
      <c r="I263">
        <v>38</v>
      </c>
      <c r="J263" s="3">
        <v>129800</v>
      </c>
      <c r="K263" s="3">
        <v>4932400</v>
      </c>
      <c r="L263" s="2" t="s">
        <v>33</v>
      </c>
      <c r="M263" s="2" t="s">
        <v>26</v>
      </c>
      <c r="N263">
        <v>2023</v>
      </c>
      <c r="O263" s="2" t="s">
        <v>143</v>
      </c>
      <c r="P263" s="2" t="s">
        <v>144</v>
      </c>
      <c r="Q263">
        <v>4</v>
      </c>
      <c r="R263" s="4">
        <v>45017</v>
      </c>
      <c r="S263" s="3">
        <v>129800</v>
      </c>
      <c r="T263" s="3">
        <v>0.49</v>
      </c>
    </row>
    <row r="264" spans="1:20" hidden="1" x14ac:dyDescent="0.3">
      <c r="A264" s="1">
        <v>45023</v>
      </c>
      <c r="B264" s="2" t="s">
        <v>90</v>
      </c>
      <c r="C264" s="2" t="s">
        <v>114</v>
      </c>
      <c r="D264" s="2" t="s">
        <v>88</v>
      </c>
      <c r="E264" s="2" t="s">
        <v>89</v>
      </c>
      <c r="F264" s="2" t="s">
        <v>24</v>
      </c>
      <c r="G264">
        <v>82</v>
      </c>
      <c r="H264">
        <v>580</v>
      </c>
      <c r="I264">
        <v>75</v>
      </c>
      <c r="J264" s="3">
        <v>4502200</v>
      </c>
      <c r="K264" s="3">
        <v>337665000</v>
      </c>
      <c r="L264" s="2" t="s">
        <v>33</v>
      </c>
      <c r="M264" s="2" t="s">
        <v>26</v>
      </c>
      <c r="N264">
        <v>2023</v>
      </c>
      <c r="O264" s="2" t="s">
        <v>143</v>
      </c>
      <c r="P264" s="2" t="s">
        <v>144</v>
      </c>
      <c r="Q264">
        <v>4</v>
      </c>
      <c r="R264" s="4">
        <v>45017</v>
      </c>
      <c r="S264" s="3">
        <v>4502200</v>
      </c>
      <c r="T264" s="3">
        <v>33.770000000000003</v>
      </c>
    </row>
    <row r="265" spans="1:20" hidden="1" x14ac:dyDescent="0.3">
      <c r="A265" s="1">
        <v>45024</v>
      </c>
      <c r="B265" s="2" t="s">
        <v>46</v>
      </c>
      <c r="C265" s="2" t="s">
        <v>56</v>
      </c>
      <c r="D265" s="2" t="s">
        <v>22</v>
      </c>
      <c r="E265" s="2" t="s">
        <v>23</v>
      </c>
      <c r="F265" s="2" t="s">
        <v>72</v>
      </c>
      <c r="G265">
        <v>82</v>
      </c>
      <c r="H265">
        <v>520</v>
      </c>
      <c r="I265">
        <v>59</v>
      </c>
      <c r="J265" s="3">
        <v>5899200</v>
      </c>
      <c r="K265" s="3">
        <v>348052800</v>
      </c>
      <c r="L265" s="2" t="s">
        <v>33</v>
      </c>
      <c r="M265" s="2" t="s">
        <v>34</v>
      </c>
      <c r="N265">
        <v>2023</v>
      </c>
      <c r="O265" s="2" t="s">
        <v>143</v>
      </c>
      <c r="P265" s="2" t="s">
        <v>144</v>
      </c>
      <c r="Q265">
        <v>4</v>
      </c>
      <c r="R265" s="4">
        <v>45017</v>
      </c>
      <c r="S265" s="3">
        <v>5899200</v>
      </c>
      <c r="T265" s="3">
        <v>34.81</v>
      </c>
    </row>
    <row r="266" spans="1:20" hidden="1" x14ac:dyDescent="0.3">
      <c r="A266" s="1">
        <v>45024</v>
      </c>
      <c r="B266" s="2" t="s">
        <v>40</v>
      </c>
      <c r="C266" s="2" t="s">
        <v>41</v>
      </c>
      <c r="D266" s="2" t="s">
        <v>102</v>
      </c>
      <c r="E266" s="2" t="s">
        <v>103</v>
      </c>
      <c r="F266" s="2" t="s">
        <v>24</v>
      </c>
      <c r="G266">
        <v>5</v>
      </c>
      <c r="H266">
        <v>150</v>
      </c>
      <c r="I266">
        <v>29</v>
      </c>
      <c r="J266" s="3">
        <v>148400</v>
      </c>
      <c r="K266" s="3">
        <v>4303600</v>
      </c>
      <c r="L266" s="2" t="s">
        <v>33</v>
      </c>
      <c r="M266" s="2" t="s">
        <v>97</v>
      </c>
      <c r="N266">
        <v>2023</v>
      </c>
      <c r="O266" s="2" t="s">
        <v>143</v>
      </c>
      <c r="P266" s="2" t="s">
        <v>144</v>
      </c>
      <c r="Q266">
        <v>4</v>
      </c>
      <c r="R266" s="4">
        <v>45017</v>
      </c>
      <c r="S266" s="3">
        <v>148400</v>
      </c>
      <c r="T266" s="3">
        <v>0.43</v>
      </c>
    </row>
    <row r="267" spans="1:20" hidden="1" x14ac:dyDescent="0.3">
      <c r="A267" s="1">
        <v>45025</v>
      </c>
      <c r="B267" s="2" t="s">
        <v>108</v>
      </c>
      <c r="C267" s="2" t="s">
        <v>131</v>
      </c>
      <c r="D267" s="2" t="s">
        <v>88</v>
      </c>
      <c r="E267" s="2" t="s">
        <v>89</v>
      </c>
      <c r="F267" s="2" t="s">
        <v>39</v>
      </c>
      <c r="G267">
        <v>82</v>
      </c>
      <c r="H267">
        <v>580</v>
      </c>
      <c r="I267">
        <v>48</v>
      </c>
      <c r="J267" s="3">
        <v>5062300</v>
      </c>
      <c r="K267" s="3">
        <v>242990400</v>
      </c>
      <c r="L267" s="2" t="s">
        <v>92</v>
      </c>
      <c r="M267" s="2" t="s">
        <v>97</v>
      </c>
      <c r="N267">
        <v>2023</v>
      </c>
      <c r="O267" s="2" t="s">
        <v>143</v>
      </c>
      <c r="P267" s="2" t="s">
        <v>144</v>
      </c>
      <c r="Q267">
        <v>4</v>
      </c>
      <c r="R267" s="4">
        <v>45017</v>
      </c>
      <c r="S267" s="3">
        <v>5062300</v>
      </c>
      <c r="T267" s="3">
        <v>24.3</v>
      </c>
    </row>
    <row r="268" spans="1:20" hidden="1" x14ac:dyDescent="0.3">
      <c r="A268" s="1">
        <v>45025</v>
      </c>
      <c r="B268" s="2" t="s">
        <v>29</v>
      </c>
      <c r="C268" s="2" t="s">
        <v>30</v>
      </c>
      <c r="D268" s="2" t="s">
        <v>67</v>
      </c>
      <c r="E268" s="2" t="s">
        <v>118</v>
      </c>
      <c r="F268" s="2" t="s">
        <v>24</v>
      </c>
      <c r="G268">
        <v>84</v>
      </c>
      <c r="H268">
        <v>590</v>
      </c>
      <c r="I268">
        <v>26</v>
      </c>
      <c r="J268" s="3">
        <v>7501800</v>
      </c>
      <c r="K268" s="3">
        <v>195046800</v>
      </c>
      <c r="L268" s="2" t="s">
        <v>33</v>
      </c>
      <c r="M268" s="2" t="s">
        <v>34</v>
      </c>
      <c r="N268">
        <v>2023</v>
      </c>
      <c r="O268" s="2" t="s">
        <v>143</v>
      </c>
      <c r="P268" s="2" t="s">
        <v>144</v>
      </c>
      <c r="Q268">
        <v>4</v>
      </c>
      <c r="R268" s="4">
        <v>45017</v>
      </c>
      <c r="S268" s="3">
        <v>7501800</v>
      </c>
      <c r="T268" s="3">
        <v>19.5</v>
      </c>
    </row>
    <row r="269" spans="1:20" hidden="1" x14ac:dyDescent="0.3">
      <c r="A269" s="1">
        <v>45025</v>
      </c>
      <c r="B269" s="2" t="s">
        <v>20</v>
      </c>
      <c r="C269" s="2" t="s">
        <v>112</v>
      </c>
      <c r="D269" s="2" t="s">
        <v>50</v>
      </c>
      <c r="E269" s="2" t="s">
        <v>51</v>
      </c>
      <c r="F269" s="2" t="s">
        <v>39</v>
      </c>
      <c r="G269">
        <v>77</v>
      </c>
      <c r="H269">
        <v>528</v>
      </c>
      <c r="I269">
        <v>67</v>
      </c>
      <c r="J269" s="3">
        <v>5719500</v>
      </c>
      <c r="K269" s="3">
        <v>383206500</v>
      </c>
      <c r="L269" s="2" t="s">
        <v>33</v>
      </c>
      <c r="M269" s="2" t="s">
        <v>97</v>
      </c>
      <c r="N269">
        <v>2023</v>
      </c>
      <c r="O269" s="2" t="s">
        <v>143</v>
      </c>
      <c r="P269" s="2" t="s">
        <v>144</v>
      </c>
      <c r="Q269">
        <v>4</v>
      </c>
      <c r="R269" s="4">
        <v>45017</v>
      </c>
      <c r="S269" s="3">
        <v>5719500</v>
      </c>
      <c r="T269" s="3">
        <v>38.32</v>
      </c>
    </row>
    <row r="270" spans="1:20" hidden="1" x14ac:dyDescent="0.3">
      <c r="A270" s="1">
        <v>45025</v>
      </c>
      <c r="B270" s="2" t="s">
        <v>48</v>
      </c>
      <c r="C270" s="2" t="s">
        <v>49</v>
      </c>
      <c r="D270" s="2" t="s">
        <v>88</v>
      </c>
      <c r="E270" s="2" t="s">
        <v>111</v>
      </c>
      <c r="F270" s="2" t="s">
        <v>24</v>
      </c>
      <c r="G270">
        <v>60</v>
      </c>
      <c r="H270">
        <v>480</v>
      </c>
      <c r="I270">
        <v>64</v>
      </c>
      <c r="J270" s="3">
        <v>3252300</v>
      </c>
      <c r="K270" s="3">
        <v>208147200</v>
      </c>
      <c r="L270" s="2" t="s">
        <v>25</v>
      </c>
      <c r="M270" s="2" t="s">
        <v>77</v>
      </c>
      <c r="N270">
        <v>2023</v>
      </c>
      <c r="O270" s="2" t="s">
        <v>143</v>
      </c>
      <c r="P270" s="2" t="s">
        <v>144</v>
      </c>
      <c r="Q270">
        <v>4</v>
      </c>
      <c r="R270" s="4">
        <v>45017</v>
      </c>
      <c r="S270" s="3">
        <v>3252300</v>
      </c>
      <c r="T270" s="3">
        <v>20.81</v>
      </c>
    </row>
    <row r="271" spans="1:20" hidden="1" x14ac:dyDescent="0.3">
      <c r="A271" s="1">
        <v>45025</v>
      </c>
      <c r="B271" s="2" t="s">
        <v>20</v>
      </c>
      <c r="C271" s="2" t="s">
        <v>125</v>
      </c>
      <c r="D271" s="2" t="s">
        <v>102</v>
      </c>
      <c r="E271" s="2" t="s">
        <v>103</v>
      </c>
      <c r="F271" s="2" t="s">
        <v>24</v>
      </c>
      <c r="G271">
        <v>5</v>
      </c>
      <c r="H271">
        <v>150</v>
      </c>
      <c r="I271">
        <v>39</v>
      </c>
      <c r="J271" s="3">
        <v>175700</v>
      </c>
      <c r="K271" s="3">
        <v>6852300</v>
      </c>
      <c r="L271" s="2" t="s">
        <v>33</v>
      </c>
      <c r="M271" s="2" t="s">
        <v>77</v>
      </c>
      <c r="N271">
        <v>2023</v>
      </c>
      <c r="O271" s="2" t="s">
        <v>143</v>
      </c>
      <c r="P271" s="2" t="s">
        <v>144</v>
      </c>
      <c r="Q271">
        <v>4</v>
      </c>
      <c r="R271" s="4">
        <v>45017</v>
      </c>
      <c r="S271" s="3">
        <v>175700</v>
      </c>
      <c r="T271" s="3">
        <v>0.69</v>
      </c>
    </row>
    <row r="272" spans="1:20" hidden="1" x14ac:dyDescent="0.3">
      <c r="A272" s="1">
        <v>45025</v>
      </c>
      <c r="B272" s="2" t="s">
        <v>40</v>
      </c>
      <c r="C272" s="2" t="s">
        <v>136</v>
      </c>
      <c r="D272" s="2" t="s">
        <v>42</v>
      </c>
      <c r="E272" s="2" t="s">
        <v>43</v>
      </c>
      <c r="F272" s="2" t="s">
        <v>24</v>
      </c>
      <c r="G272">
        <v>3</v>
      </c>
      <c r="H272">
        <v>135</v>
      </c>
      <c r="I272">
        <v>55</v>
      </c>
      <c r="J272" s="3">
        <v>121700</v>
      </c>
      <c r="K272" s="3">
        <v>6693500</v>
      </c>
      <c r="L272" s="2" t="s">
        <v>25</v>
      </c>
      <c r="M272" s="2" t="s">
        <v>26</v>
      </c>
      <c r="N272">
        <v>2023</v>
      </c>
      <c r="O272" s="2" t="s">
        <v>143</v>
      </c>
      <c r="P272" s="2" t="s">
        <v>144</v>
      </c>
      <c r="Q272">
        <v>4</v>
      </c>
      <c r="R272" s="4">
        <v>45017</v>
      </c>
      <c r="S272" s="3">
        <v>121700</v>
      </c>
      <c r="T272" s="3">
        <v>0.67</v>
      </c>
    </row>
    <row r="273" spans="1:20" hidden="1" x14ac:dyDescent="0.3">
      <c r="A273" s="1">
        <v>45025</v>
      </c>
      <c r="B273" s="2" t="s">
        <v>20</v>
      </c>
      <c r="C273" s="2" t="s">
        <v>21</v>
      </c>
      <c r="D273" s="2" t="s">
        <v>57</v>
      </c>
      <c r="E273" s="2" t="s">
        <v>86</v>
      </c>
      <c r="F273" s="2" t="s">
        <v>24</v>
      </c>
      <c r="G273">
        <v>48</v>
      </c>
      <c r="H273">
        <v>39</v>
      </c>
      <c r="I273">
        <v>62</v>
      </c>
      <c r="J273" s="3">
        <v>2070200</v>
      </c>
      <c r="K273" s="3">
        <v>128352400</v>
      </c>
      <c r="L273" s="2" t="s">
        <v>25</v>
      </c>
      <c r="M273" s="2" t="s">
        <v>77</v>
      </c>
      <c r="N273">
        <v>2023</v>
      </c>
      <c r="O273" s="2" t="s">
        <v>143</v>
      </c>
      <c r="P273" s="2" t="s">
        <v>144</v>
      </c>
      <c r="Q273">
        <v>4</v>
      </c>
      <c r="R273" s="4">
        <v>45017</v>
      </c>
      <c r="S273" s="3">
        <v>2070200</v>
      </c>
      <c r="T273" s="3">
        <v>12.84</v>
      </c>
    </row>
    <row r="274" spans="1:20" hidden="1" x14ac:dyDescent="0.3">
      <c r="A274" s="1">
        <v>45026</v>
      </c>
      <c r="B274" s="2" t="s">
        <v>106</v>
      </c>
      <c r="C274" s="2" t="s">
        <v>107</v>
      </c>
      <c r="D274" s="2" t="s">
        <v>67</v>
      </c>
      <c r="E274" s="2" t="s">
        <v>118</v>
      </c>
      <c r="F274" s="2" t="s">
        <v>24</v>
      </c>
      <c r="G274">
        <v>84</v>
      </c>
      <c r="H274">
        <v>590</v>
      </c>
      <c r="I274">
        <v>4</v>
      </c>
      <c r="J274" s="3">
        <v>7275100</v>
      </c>
      <c r="K274" s="3">
        <v>29100400</v>
      </c>
      <c r="L274" s="2" t="s">
        <v>33</v>
      </c>
      <c r="M274" s="2" t="s">
        <v>34</v>
      </c>
      <c r="N274">
        <v>2023</v>
      </c>
      <c r="O274" s="2" t="s">
        <v>143</v>
      </c>
      <c r="P274" s="2" t="s">
        <v>144</v>
      </c>
      <c r="Q274">
        <v>4</v>
      </c>
      <c r="R274" s="4">
        <v>45017</v>
      </c>
      <c r="S274" s="3">
        <v>7275100</v>
      </c>
      <c r="T274" s="3">
        <v>2.91</v>
      </c>
    </row>
    <row r="275" spans="1:20" hidden="1" x14ac:dyDescent="0.3">
      <c r="A275" s="1">
        <v>45026</v>
      </c>
      <c r="B275" s="2" t="s">
        <v>106</v>
      </c>
      <c r="C275" s="2" t="s">
        <v>107</v>
      </c>
      <c r="D275" s="2" t="s">
        <v>63</v>
      </c>
      <c r="E275" s="2" t="s">
        <v>64</v>
      </c>
      <c r="F275" s="2" t="s">
        <v>24</v>
      </c>
      <c r="G275">
        <v>3</v>
      </c>
      <c r="H275">
        <v>127</v>
      </c>
      <c r="I275">
        <v>134</v>
      </c>
      <c r="J275" s="3">
        <v>185600</v>
      </c>
      <c r="K275" s="3">
        <v>24870400</v>
      </c>
      <c r="L275" s="2" t="s">
        <v>33</v>
      </c>
      <c r="M275" s="2" t="s">
        <v>26</v>
      </c>
      <c r="N275">
        <v>2023</v>
      </c>
      <c r="O275" s="2" t="s">
        <v>143</v>
      </c>
      <c r="P275" s="2" t="s">
        <v>144</v>
      </c>
      <c r="Q275">
        <v>4</v>
      </c>
      <c r="R275" s="4">
        <v>45017</v>
      </c>
      <c r="S275" s="3">
        <v>185600</v>
      </c>
      <c r="T275" s="3">
        <v>2.4900000000000002</v>
      </c>
    </row>
    <row r="276" spans="1:20" hidden="1" x14ac:dyDescent="0.3">
      <c r="A276" s="1">
        <v>45026</v>
      </c>
      <c r="B276" s="2" t="s">
        <v>90</v>
      </c>
      <c r="C276" s="2" t="s">
        <v>114</v>
      </c>
      <c r="D276" s="2" t="s">
        <v>42</v>
      </c>
      <c r="E276" s="2" t="s">
        <v>43</v>
      </c>
      <c r="F276" s="2" t="s">
        <v>24</v>
      </c>
      <c r="G276">
        <v>3</v>
      </c>
      <c r="H276">
        <v>135</v>
      </c>
      <c r="I276">
        <v>146</v>
      </c>
      <c r="J276" s="3">
        <v>101400</v>
      </c>
      <c r="K276" s="3">
        <v>14804400</v>
      </c>
      <c r="L276" s="2" t="s">
        <v>33</v>
      </c>
      <c r="M276" s="2" t="s">
        <v>77</v>
      </c>
      <c r="N276">
        <v>2023</v>
      </c>
      <c r="O276" s="2" t="s">
        <v>143</v>
      </c>
      <c r="P276" s="2" t="s">
        <v>144</v>
      </c>
      <c r="Q276">
        <v>4</v>
      </c>
      <c r="R276" s="4">
        <v>45017</v>
      </c>
      <c r="S276" s="3">
        <v>101400</v>
      </c>
      <c r="T276" s="3">
        <v>1.48</v>
      </c>
    </row>
    <row r="277" spans="1:20" hidden="1" x14ac:dyDescent="0.3">
      <c r="A277" s="1">
        <v>45026</v>
      </c>
      <c r="B277" s="2" t="s">
        <v>29</v>
      </c>
      <c r="C277" s="2" t="s">
        <v>104</v>
      </c>
      <c r="D277" s="2" t="s">
        <v>31</v>
      </c>
      <c r="E277" s="2" t="s">
        <v>124</v>
      </c>
      <c r="F277" s="2" t="s">
        <v>24</v>
      </c>
      <c r="G277">
        <v>3</v>
      </c>
      <c r="H277">
        <v>151</v>
      </c>
      <c r="I277">
        <v>23</v>
      </c>
      <c r="J277" s="3">
        <v>93000</v>
      </c>
      <c r="K277" s="3">
        <v>2139000</v>
      </c>
      <c r="L277" s="2" t="s">
        <v>25</v>
      </c>
      <c r="M277" s="2" t="s">
        <v>97</v>
      </c>
      <c r="N277">
        <v>2023</v>
      </c>
      <c r="O277" s="2" t="s">
        <v>143</v>
      </c>
      <c r="P277" s="2" t="s">
        <v>144</v>
      </c>
      <c r="Q277">
        <v>4</v>
      </c>
      <c r="R277" s="4">
        <v>45017</v>
      </c>
      <c r="S277" s="3">
        <v>93000</v>
      </c>
      <c r="T277" s="3">
        <v>0.21</v>
      </c>
    </row>
    <row r="278" spans="1:20" hidden="1" x14ac:dyDescent="0.3">
      <c r="A278" s="1">
        <v>45027</v>
      </c>
      <c r="B278" s="2" t="s">
        <v>106</v>
      </c>
      <c r="C278" s="2" t="s">
        <v>107</v>
      </c>
      <c r="D278" s="2" t="s">
        <v>57</v>
      </c>
      <c r="E278" s="2" t="s">
        <v>86</v>
      </c>
      <c r="F278" s="2" t="s">
        <v>72</v>
      </c>
      <c r="G278">
        <v>48</v>
      </c>
      <c r="H278">
        <v>39</v>
      </c>
      <c r="I278">
        <v>115</v>
      </c>
      <c r="J278" s="3">
        <v>1952700</v>
      </c>
      <c r="K278" s="3">
        <v>224560500</v>
      </c>
      <c r="L278" s="2" t="s">
        <v>33</v>
      </c>
      <c r="M278" s="2" t="s">
        <v>26</v>
      </c>
      <c r="N278">
        <v>2023</v>
      </c>
      <c r="O278" s="2" t="s">
        <v>143</v>
      </c>
      <c r="P278" s="2" t="s">
        <v>144</v>
      </c>
      <c r="Q278">
        <v>4</v>
      </c>
      <c r="R278" s="4">
        <v>45017</v>
      </c>
      <c r="S278" s="3">
        <v>1952700</v>
      </c>
      <c r="T278" s="3">
        <v>22.46</v>
      </c>
    </row>
    <row r="279" spans="1:20" hidden="1" x14ac:dyDescent="0.3">
      <c r="A279" s="1">
        <v>45027</v>
      </c>
      <c r="B279" s="2" t="s">
        <v>20</v>
      </c>
      <c r="C279" s="2" t="s">
        <v>21</v>
      </c>
      <c r="D279" s="2" t="s">
        <v>94</v>
      </c>
      <c r="E279" s="2" t="s">
        <v>140</v>
      </c>
      <c r="F279" s="2" t="s">
        <v>24</v>
      </c>
      <c r="G279">
        <v>35</v>
      </c>
      <c r="H279">
        <v>32</v>
      </c>
      <c r="I279">
        <v>149</v>
      </c>
      <c r="J279" s="3">
        <v>1995000</v>
      </c>
      <c r="K279" s="3">
        <v>297255000</v>
      </c>
      <c r="L279" s="2" t="s">
        <v>33</v>
      </c>
      <c r="M279" s="2" t="s">
        <v>26</v>
      </c>
      <c r="N279">
        <v>2023</v>
      </c>
      <c r="O279" s="2" t="s">
        <v>143</v>
      </c>
      <c r="P279" s="2" t="s">
        <v>144</v>
      </c>
      <c r="Q279">
        <v>4</v>
      </c>
      <c r="R279" s="4">
        <v>45017</v>
      </c>
      <c r="S279" s="3">
        <v>1995000</v>
      </c>
      <c r="T279" s="3">
        <v>29.73</v>
      </c>
    </row>
    <row r="280" spans="1:20" hidden="1" x14ac:dyDescent="0.3">
      <c r="A280" s="1">
        <v>45027</v>
      </c>
      <c r="B280" s="2" t="s">
        <v>48</v>
      </c>
      <c r="C280" s="2" t="s">
        <v>49</v>
      </c>
      <c r="D280" s="2" t="s">
        <v>31</v>
      </c>
      <c r="E280" s="2" t="s">
        <v>32</v>
      </c>
      <c r="F280" s="2" t="s">
        <v>24</v>
      </c>
      <c r="G280">
        <v>4</v>
      </c>
      <c r="H280">
        <v>195</v>
      </c>
      <c r="I280">
        <v>132</v>
      </c>
      <c r="J280" s="3">
        <v>142100</v>
      </c>
      <c r="K280" s="3">
        <v>18757200</v>
      </c>
      <c r="L280" s="2" t="s">
        <v>25</v>
      </c>
      <c r="M280" s="2" t="s">
        <v>26</v>
      </c>
      <c r="N280">
        <v>2023</v>
      </c>
      <c r="O280" s="2" t="s">
        <v>143</v>
      </c>
      <c r="P280" s="2" t="s">
        <v>144</v>
      </c>
      <c r="Q280">
        <v>4</v>
      </c>
      <c r="R280" s="4">
        <v>45017</v>
      </c>
      <c r="S280" s="3">
        <v>142100</v>
      </c>
      <c r="T280" s="3">
        <v>1.88</v>
      </c>
    </row>
    <row r="281" spans="1:20" hidden="1" x14ac:dyDescent="0.3">
      <c r="A281" s="1">
        <v>45027</v>
      </c>
      <c r="B281" s="2" t="s">
        <v>35</v>
      </c>
      <c r="C281" s="2" t="s">
        <v>121</v>
      </c>
      <c r="D281" s="2" t="s">
        <v>102</v>
      </c>
      <c r="E281" s="2" t="s">
        <v>103</v>
      </c>
      <c r="F281" s="2" t="s">
        <v>24</v>
      </c>
      <c r="G281">
        <v>5</v>
      </c>
      <c r="H281">
        <v>150</v>
      </c>
      <c r="I281">
        <v>51</v>
      </c>
      <c r="J281" s="3">
        <v>186500</v>
      </c>
      <c r="K281" s="3">
        <v>9511500</v>
      </c>
      <c r="L281" s="2" t="s">
        <v>33</v>
      </c>
      <c r="M281" s="2" t="s">
        <v>77</v>
      </c>
      <c r="N281">
        <v>2023</v>
      </c>
      <c r="O281" s="2" t="s">
        <v>143</v>
      </c>
      <c r="P281" s="2" t="s">
        <v>144</v>
      </c>
      <c r="Q281">
        <v>4</v>
      </c>
      <c r="R281" s="4">
        <v>45017</v>
      </c>
      <c r="S281" s="3">
        <v>186500</v>
      </c>
      <c r="T281" s="3">
        <v>0.95</v>
      </c>
    </row>
    <row r="282" spans="1:20" hidden="1" x14ac:dyDescent="0.3">
      <c r="A282" s="1">
        <v>45028</v>
      </c>
      <c r="B282" s="2" t="s">
        <v>90</v>
      </c>
      <c r="C282" s="2" t="s">
        <v>99</v>
      </c>
      <c r="D282" s="2" t="s">
        <v>37</v>
      </c>
      <c r="E282" s="2" t="s">
        <v>38</v>
      </c>
      <c r="F282" s="2" t="s">
        <v>24</v>
      </c>
      <c r="G282">
        <v>66</v>
      </c>
      <c r="H282">
        <v>423</v>
      </c>
      <c r="I282">
        <v>70</v>
      </c>
      <c r="J282" s="3">
        <v>7240900</v>
      </c>
      <c r="K282" s="3">
        <v>506863000</v>
      </c>
      <c r="L282" s="2" t="s">
        <v>25</v>
      </c>
      <c r="M282" s="2" t="s">
        <v>77</v>
      </c>
      <c r="N282">
        <v>2023</v>
      </c>
      <c r="O282" s="2" t="s">
        <v>143</v>
      </c>
      <c r="P282" s="2" t="s">
        <v>144</v>
      </c>
      <c r="Q282">
        <v>4</v>
      </c>
      <c r="R282" s="4">
        <v>45017</v>
      </c>
      <c r="S282" s="3">
        <v>7240900</v>
      </c>
      <c r="T282" s="3">
        <v>50.69</v>
      </c>
    </row>
    <row r="283" spans="1:20" hidden="1" x14ac:dyDescent="0.3">
      <c r="A283" s="1">
        <v>45028</v>
      </c>
      <c r="B283" s="2" t="s">
        <v>40</v>
      </c>
      <c r="C283" s="2" t="s">
        <v>41</v>
      </c>
      <c r="D283" s="2" t="s">
        <v>70</v>
      </c>
      <c r="E283" s="2" t="s">
        <v>74</v>
      </c>
      <c r="F283" s="2" t="s">
        <v>24</v>
      </c>
      <c r="G283">
        <v>25</v>
      </c>
      <c r="H283">
        <v>32</v>
      </c>
      <c r="I283">
        <v>67</v>
      </c>
      <c r="J283" s="3">
        <v>1080900</v>
      </c>
      <c r="K283" s="3">
        <v>72420300</v>
      </c>
      <c r="L283" s="2" t="s">
        <v>33</v>
      </c>
      <c r="M283" s="2" t="s">
        <v>34</v>
      </c>
      <c r="N283">
        <v>2023</v>
      </c>
      <c r="O283" s="2" t="s">
        <v>143</v>
      </c>
      <c r="P283" s="2" t="s">
        <v>144</v>
      </c>
      <c r="Q283">
        <v>4</v>
      </c>
      <c r="R283" s="4">
        <v>45017</v>
      </c>
      <c r="S283" s="3">
        <v>1080900</v>
      </c>
      <c r="T283" s="3">
        <v>7.24</v>
      </c>
    </row>
    <row r="284" spans="1:20" hidden="1" x14ac:dyDescent="0.3">
      <c r="A284" s="1">
        <v>45028</v>
      </c>
      <c r="B284" s="2" t="s">
        <v>29</v>
      </c>
      <c r="C284" s="2" t="s">
        <v>104</v>
      </c>
      <c r="D284" s="2" t="s">
        <v>57</v>
      </c>
      <c r="E284" s="2" t="s">
        <v>58</v>
      </c>
      <c r="F284" s="2" t="s">
        <v>24</v>
      </c>
      <c r="G284">
        <v>72</v>
      </c>
      <c r="H284">
        <v>488</v>
      </c>
      <c r="I284">
        <v>91</v>
      </c>
      <c r="J284" s="3">
        <v>4847200</v>
      </c>
      <c r="K284" s="3">
        <v>441095200</v>
      </c>
      <c r="L284" s="2" t="s">
        <v>25</v>
      </c>
      <c r="M284" s="2" t="s">
        <v>26</v>
      </c>
      <c r="N284">
        <v>2023</v>
      </c>
      <c r="O284" s="2" t="s">
        <v>143</v>
      </c>
      <c r="P284" s="2" t="s">
        <v>144</v>
      </c>
      <c r="Q284">
        <v>4</v>
      </c>
      <c r="R284" s="4">
        <v>45017</v>
      </c>
      <c r="S284" s="3">
        <v>4847200</v>
      </c>
      <c r="T284" s="3">
        <v>44.11</v>
      </c>
    </row>
    <row r="285" spans="1:20" hidden="1" x14ac:dyDescent="0.3">
      <c r="A285" s="1">
        <v>45029</v>
      </c>
      <c r="B285" s="2" t="s">
        <v>59</v>
      </c>
      <c r="C285" s="2" t="s">
        <v>81</v>
      </c>
      <c r="D285" s="2" t="s">
        <v>54</v>
      </c>
      <c r="E285" s="2" t="s">
        <v>55</v>
      </c>
      <c r="F285" s="2" t="s">
        <v>24</v>
      </c>
      <c r="G285">
        <v>30</v>
      </c>
      <c r="H285">
        <v>320</v>
      </c>
      <c r="I285">
        <v>63</v>
      </c>
      <c r="J285" s="3">
        <v>1566000</v>
      </c>
      <c r="K285" s="3">
        <v>98658000</v>
      </c>
      <c r="L285" s="2" t="s">
        <v>33</v>
      </c>
      <c r="M285" s="2" t="s">
        <v>26</v>
      </c>
      <c r="N285">
        <v>2023</v>
      </c>
      <c r="O285" s="2" t="s">
        <v>143</v>
      </c>
      <c r="P285" s="2" t="s">
        <v>144</v>
      </c>
      <c r="Q285">
        <v>4</v>
      </c>
      <c r="R285" s="4">
        <v>45017</v>
      </c>
      <c r="S285" s="3">
        <v>1566000</v>
      </c>
      <c r="T285" s="3">
        <v>9.8699999999999992</v>
      </c>
    </row>
    <row r="286" spans="1:20" hidden="1" x14ac:dyDescent="0.3">
      <c r="A286" s="1">
        <v>45029</v>
      </c>
      <c r="B286" s="2" t="s">
        <v>48</v>
      </c>
      <c r="C286" s="2" t="s">
        <v>98</v>
      </c>
      <c r="D286" s="2" t="s">
        <v>50</v>
      </c>
      <c r="E286" s="2" t="s">
        <v>51</v>
      </c>
      <c r="F286" s="2" t="s">
        <v>39</v>
      </c>
      <c r="G286">
        <v>77</v>
      </c>
      <c r="H286">
        <v>528</v>
      </c>
      <c r="I286">
        <v>29</v>
      </c>
      <c r="J286" s="3">
        <v>4911300</v>
      </c>
      <c r="K286" s="3">
        <v>142427700</v>
      </c>
      <c r="L286" s="2" t="s">
        <v>33</v>
      </c>
      <c r="M286" s="2" t="s">
        <v>77</v>
      </c>
      <c r="N286">
        <v>2023</v>
      </c>
      <c r="O286" s="2" t="s">
        <v>143</v>
      </c>
      <c r="P286" s="2" t="s">
        <v>144</v>
      </c>
      <c r="Q286">
        <v>4</v>
      </c>
      <c r="R286" s="4">
        <v>45017</v>
      </c>
      <c r="S286" s="3">
        <v>4911300</v>
      </c>
      <c r="T286" s="3">
        <v>14.24</v>
      </c>
    </row>
    <row r="287" spans="1:20" hidden="1" x14ac:dyDescent="0.3">
      <c r="A287" s="1">
        <v>45029</v>
      </c>
      <c r="B287" s="2" t="s">
        <v>84</v>
      </c>
      <c r="C287" s="2" t="s">
        <v>85</v>
      </c>
      <c r="D287" s="2" t="s">
        <v>70</v>
      </c>
      <c r="E287" s="2" t="s">
        <v>74</v>
      </c>
      <c r="F287" s="2" t="s">
        <v>39</v>
      </c>
      <c r="G287">
        <v>25</v>
      </c>
      <c r="H287">
        <v>32</v>
      </c>
      <c r="I287">
        <v>36</v>
      </c>
      <c r="J287" s="3">
        <v>1290100</v>
      </c>
      <c r="K287" s="3">
        <v>46443600</v>
      </c>
      <c r="L287" s="2" t="s">
        <v>33</v>
      </c>
      <c r="M287" s="2" t="s">
        <v>77</v>
      </c>
      <c r="N287">
        <v>2023</v>
      </c>
      <c r="O287" s="2" t="s">
        <v>143</v>
      </c>
      <c r="P287" s="2" t="s">
        <v>144</v>
      </c>
      <c r="Q287">
        <v>4</v>
      </c>
      <c r="R287" s="4">
        <v>45017</v>
      </c>
      <c r="S287" s="3">
        <v>1290100</v>
      </c>
      <c r="T287" s="3">
        <v>4.6399999999999997</v>
      </c>
    </row>
    <row r="288" spans="1:20" hidden="1" x14ac:dyDescent="0.3">
      <c r="A288" s="1">
        <v>45029</v>
      </c>
      <c r="B288" s="2" t="s">
        <v>40</v>
      </c>
      <c r="C288" s="2" t="s">
        <v>136</v>
      </c>
      <c r="D288" s="2" t="s">
        <v>42</v>
      </c>
      <c r="E288" s="2" t="s">
        <v>43</v>
      </c>
      <c r="F288" s="2" t="s">
        <v>24</v>
      </c>
      <c r="G288">
        <v>3</v>
      </c>
      <c r="H288">
        <v>135</v>
      </c>
      <c r="I288">
        <v>103</v>
      </c>
      <c r="J288" s="3">
        <v>107800</v>
      </c>
      <c r="K288" s="3">
        <v>11103400</v>
      </c>
      <c r="L288" s="2" t="s">
        <v>33</v>
      </c>
      <c r="M288" s="2" t="s">
        <v>77</v>
      </c>
      <c r="N288">
        <v>2023</v>
      </c>
      <c r="O288" s="2" t="s">
        <v>143</v>
      </c>
      <c r="P288" s="2" t="s">
        <v>144</v>
      </c>
      <c r="Q288">
        <v>4</v>
      </c>
      <c r="R288" s="4">
        <v>45017</v>
      </c>
      <c r="S288" s="3">
        <v>107800</v>
      </c>
      <c r="T288" s="3">
        <v>1.1100000000000001</v>
      </c>
    </row>
    <row r="289" spans="1:20" hidden="1" x14ac:dyDescent="0.3">
      <c r="A289" s="1">
        <v>45030</v>
      </c>
      <c r="B289" s="2" t="s">
        <v>90</v>
      </c>
      <c r="C289" s="2" t="s">
        <v>114</v>
      </c>
      <c r="D289" s="2" t="s">
        <v>67</v>
      </c>
      <c r="E289" s="2" t="s">
        <v>68</v>
      </c>
      <c r="F289" s="2" t="s">
        <v>24</v>
      </c>
      <c r="G289">
        <v>66</v>
      </c>
      <c r="H289">
        <v>440</v>
      </c>
      <c r="I289">
        <v>16</v>
      </c>
      <c r="J289" s="3">
        <v>6522000</v>
      </c>
      <c r="K289" s="3">
        <v>104352000</v>
      </c>
      <c r="L289" s="2" t="s">
        <v>33</v>
      </c>
      <c r="M289" s="2" t="s">
        <v>26</v>
      </c>
      <c r="N289">
        <v>2023</v>
      </c>
      <c r="O289" s="2" t="s">
        <v>143</v>
      </c>
      <c r="P289" s="2" t="s">
        <v>144</v>
      </c>
      <c r="Q289">
        <v>4</v>
      </c>
      <c r="R289" s="4">
        <v>45017</v>
      </c>
      <c r="S289" s="3">
        <v>6522000</v>
      </c>
      <c r="T289" s="3">
        <v>10.44</v>
      </c>
    </row>
    <row r="290" spans="1:20" hidden="1" x14ac:dyDescent="0.3">
      <c r="A290" s="1">
        <v>45030</v>
      </c>
      <c r="B290" s="2" t="s">
        <v>59</v>
      </c>
      <c r="C290" s="2" t="s">
        <v>135</v>
      </c>
      <c r="D290" s="2" t="s">
        <v>22</v>
      </c>
      <c r="E290" s="2" t="s">
        <v>23</v>
      </c>
      <c r="F290" s="2" t="s">
        <v>24</v>
      </c>
      <c r="G290">
        <v>82</v>
      </c>
      <c r="H290">
        <v>520</v>
      </c>
      <c r="I290">
        <v>35</v>
      </c>
      <c r="J290" s="3">
        <v>7324400</v>
      </c>
      <c r="K290" s="3">
        <v>256354000</v>
      </c>
      <c r="L290" s="2" t="s">
        <v>33</v>
      </c>
      <c r="M290" s="2" t="s">
        <v>26</v>
      </c>
      <c r="N290">
        <v>2023</v>
      </c>
      <c r="O290" s="2" t="s">
        <v>143</v>
      </c>
      <c r="P290" s="2" t="s">
        <v>144</v>
      </c>
      <c r="Q290">
        <v>4</v>
      </c>
      <c r="R290" s="4">
        <v>45017</v>
      </c>
      <c r="S290" s="3">
        <v>7324400</v>
      </c>
      <c r="T290" s="3">
        <v>25.64</v>
      </c>
    </row>
    <row r="291" spans="1:20" hidden="1" x14ac:dyDescent="0.3">
      <c r="A291" s="1">
        <v>45030</v>
      </c>
      <c r="B291" s="2" t="s">
        <v>40</v>
      </c>
      <c r="C291" s="2" t="s">
        <v>136</v>
      </c>
      <c r="D291" s="2" t="s">
        <v>57</v>
      </c>
      <c r="E291" s="2" t="s">
        <v>86</v>
      </c>
      <c r="F291" s="2" t="s">
        <v>24</v>
      </c>
      <c r="G291">
        <v>48</v>
      </c>
      <c r="H291">
        <v>39</v>
      </c>
      <c r="I291">
        <v>141</v>
      </c>
      <c r="J291" s="3">
        <v>2343300</v>
      </c>
      <c r="K291" s="3">
        <v>330405300</v>
      </c>
      <c r="L291" s="2" t="s">
        <v>33</v>
      </c>
      <c r="M291" s="2" t="s">
        <v>26</v>
      </c>
      <c r="N291">
        <v>2023</v>
      </c>
      <c r="O291" s="2" t="s">
        <v>143</v>
      </c>
      <c r="P291" s="2" t="s">
        <v>144</v>
      </c>
      <c r="Q291">
        <v>4</v>
      </c>
      <c r="R291" s="4">
        <v>45017</v>
      </c>
      <c r="S291" s="3">
        <v>2343300</v>
      </c>
      <c r="T291" s="3">
        <v>33.04</v>
      </c>
    </row>
    <row r="292" spans="1:20" hidden="1" x14ac:dyDescent="0.3">
      <c r="A292" s="1">
        <v>45030</v>
      </c>
      <c r="B292" s="2" t="s">
        <v>90</v>
      </c>
      <c r="C292" s="2" t="s">
        <v>128</v>
      </c>
      <c r="D292" s="2" t="s">
        <v>100</v>
      </c>
      <c r="E292" s="2" t="s">
        <v>101</v>
      </c>
      <c r="F292" s="2" t="s">
        <v>24</v>
      </c>
      <c r="G292">
        <v>3</v>
      </c>
      <c r="H292">
        <v>150</v>
      </c>
      <c r="I292">
        <v>48</v>
      </c>
      <c r="J292" s="3">
        <v>165400</v>
      </c>
      <c r="K292" s="3">
        <v>7939200</v>
      </c>
      <c r="L292" s="2" t="s">
        <v>33</v>
      </c>
      <c r="M292" s="2" t="s">
        <v>34</v>
      </c>
      <c r="N292">
        <v>2023</v>
      </c>
      <c r="O292" s="2" t="s">
        <v>143</v>
      </c>
      <c r="P292" s="2" t="s">
        <v>144</v>
      </c>
      <c r="Q292">
        <v>4</v>
      </c>
      <c r="R292" s="4">
        <v>45017</v>
      </c>
      <c r="S292" s="3">
        <v>165400</v>
      </c>
      <c r="T292" s="3">
        <v>0.79</v>
      </c>
    </row>
    <row r="293" spans="1:20" hidden="1" x14ac:dyDescent="0.3">
      <c r="A293" s="1">
        <v>45030</v>
      </c>
      <c r="B293" s="2" t="s">
        <v>20</v>
      </c>
      <c r="C293" s="2" t="s">
        <v>21</v>
      </c>
      <c r="D293" s="2" t="s">
        <v>82</v>
      </c>
      <c r="E293" s="2" t="s">
        <v>141</v>
      </c>
      <c r="F293" s="2" t="s">
        <v>24</v>
      </c>
      <c r="G293">
        <v>59</v>
      </c>
      <c r="H293">
        <v>55</v>
      </c>
      <c r="I293">
        <v>108</v>
      </c>
      <c r="J293" s="3">
        <v>2291300</v>
      </c>
      <c r="K293" s="3">
        <v>247460400</v>
      </c>
      <c r="L293" s="2" t="s">
        <v>92</v>
      </c>
      <c r="M293" s="2" t="s">
        <v>26</v>
      </c>
      <c r="N293">
        <v>2023</v>
      </c>
      <c r="O293" s="2" t="s">
        <v>143</v>
      </c>
      <c r="P293" s="2" t="s">
        <v>144</v>
      </c>
      <c r="Q293">
        <v>4</v>
      </c>
      <c r="R293" s="4">
        <v>45017</v>
      </c>
      <c r="S293" s="3">
        <v>2291300</v>
      </c>
      <c r="T293" s="3">
        <v>24.75</v>
      </c>
    </row>
    <row r="294" spans="1:20" hidden="1" x14ac:dyDescent="0.3">
      <c r="A294" s="1">
        <v>45031</v>
      </c>
      <c r="B294" s="2" t="s">
        <v>48</v>
      </c>
      <c r="C294" s="2" t="s">
        <v>69</v>
      </c>
      <c r="D294" s="2" t="s">
        <v>54</v>
      </c>
      <c r="E294" s="2" t="s">
        <v>55</v>
      </c>
      <c r="F294" s="2" t="s">
        <v>24</v>
      </c>
      <c r="G294">
        <v>30</v>
      </c>
      <c r="H294">
        <v>320</v>
      </c>
      <c r="I294">
        <v>23</v>
      </c>
      <c r="J294" s="3">
        <v>1620400</v>
      </c>
      <c r="K294" s="3">
        <v>37269200</v>
      </c>
      <c r="L294" s="2" t="s">
        <v>25</v>
      </c>
      <c r="M294" s="2" t="s">
        <v>97</v>
      </c>
      <c r="N294">
        <v>2023</v>
      </c>
      <c r="O294" s="2" t="s">
        <v>143</v>
      </c>
      <c r="P294" s="2" t="s">
        <v>144</v>
      </c>
      <c r="Q294">
        <v>4</v>
      </c>
      <c r="R294" s="4">
        <v>45017</v>
      </c>
      <c r="S294" s="3">
        <v>1620400</v>
      </c>
      <c r="T294" s="3">
        <v>3.73</v>
      </c>
    </row>
    <row r="295" spans="1:20" hidden="1" x14ac:dyDescent="0.3">
      <c r="A295" s="1">
        <v>45032</v>
      </c>
      <c r="B295" s="2" t="s">
        <v>108</v>
      </c>
      <c r="C295" s="2" t="s">
        <v>131</v>
      </c>
      <c r="D295" s="2" t="s">
        <v>22</v>
      </c>
      <c r="E295" s="2" t="s">
        <v>23</v>
      </c>
      <c r="F295" s="2" t="s">
        <v>24</v>
      </c>
      <c r="G295">
        <v>82</v>
      </c>
      <c r="H295">
        <v>520</v>
      </c>
      <c r="I295">
        <v>36</v>
      </c>
      <c r="J295" s="3">
        <v>7767500</v>
      </c>
      <c r="K295" s="3">
        <v>279630000</v>
      </c>
      <c r="L295" s="2" t="s">
        <v>33</v>
      </c>
      <c r="M295" s="2" t="s">
        <v>26</v>
      </c>
      <c r="N295">
        <v>2023</v>
      </c>
      <c r="O295" s="2" t="s">
        <v>143</v>
      </c>
      <c r="P295" s="2" t="s">
        <v>144</v>
      </c>
      <c r="Q295">
        <v>4</v>
      </c>
      <c r="R295" s="4">
        <v>45017</v>
      </c>
      <c r="S295" s="3">
        <v>7767500</v>
      </c>
      <c r="T295" s="3">
        <v>27.96</v>
      </c>
    </row>
    <row r="296" spans="1:20" hidden="1" x14ac:dyDescent="0.3">
      <c r="A296" s="1">
        <v>45032</v>
      </c>
      <c r="B296" s="2" t="s">
        <v>59</v>
      </c>
      <c r="C296" s="2" t="s">
        <v>81</v>
      </c>
      <c r="D296" s="2" t="s">
        <v>54</v>
      </c>
      <c r="E296" s="2" t="s">
        <v>55</v>
      </c>
      <c r="F296" s="2" t="s">
        <v>39</v>
      </c>
      <c r="G296">
        <v>30</v>
      </c>
      <c r="H296">
        <v>320</v>
      </c>
      <c r="I296">
        <v>53</v>
      </c>
      <c r="J296" s="3">
        <v>1503400</v>
      </c>
      <c r="K296" s="3">
        <v>79680200</v>
      </c>
      <c r="L296" s="2" t="s">
        <v>25</v>
      </c>
      <c r="M296" s="2" t="s">
        <v>34</v>
      </c>
      <c r="N296">
        <v>2023</v>
      </c>
      <c r="O296" s="2" t="s">
        <v>143</v>
      </c>
      <c r="P296" s="2" t="s">
        <v>144</v>
      </c>
      <c r="Q296">
        <v>4</v>
      </c>
      <c r="R296" s="4">
        <v>45017</v>
      </c>
      <c r="S296" s="3">
        <v>1503400</v>
      </c>
      <c r="T296" s="3">
        <v>7.97</v>
      </c>
    </row>
    <row r="297" spans="1:20" hidden="1" x14ac:dyDescent="0.3">
      <c r="A297" s="1">
        <v>45032</v>
      </c>
      <c r="B297" s="2" t="s">
        <v>75</v>
      </c>
      <c r="C297" s="2" t="s">
        <v>76</v>
      </c>
      <c r="D297" s="2" t="s">
        <v>88</v>
      </c>
      <c r="E297" s="2" t="s">
        <v>111</v>
      </c>
      <c r="F297" s="2" t="s">
        <v>24</v>
      </c>
      <c r="G297">
        <v>60</v>
      </c>
      <c r="H297">
        <v>480</v>
      </c>
      <c r="I297">
        <v>58</v>
      </c>
      <c r="J297" s="3">
        <v>2947100</v>
      </c>
      <c r="K297" s="3">
        <v>170931800</v>
      </c>
      <c r="L297" s="2" t="s">
        <v>25</v>
      </c>
      <c r="M297" s="2" t="s">
        <v>77</v>
      </c>
      <c r="N297">
        <v>2023</v>
      </c>
      <c r="O297" s="2" t="s">
        <v>143</v>
      </c>
      <c r="P297" s="2" t="s">
        <v>144</v>
      </c>
      <c r="Q297">
        <v>4</v>
      </c>
      <c r="R297" s="4">
        <v>45017</v>
      </c>
      <c r="S297" s="3">
        <v>2947100</v>
      </c>
      <c r="T297" s="3">
        <v>17.09</v>
      </c>
    </row>
    <row r="298" spans="1:20" hidden="1" x14ac:dyDescent="0.3">
      <c r="A298" s="1">
        <v>45032</v>
      </c>
      <c r="B298" s="2" t="s">
        <v>59</v>
      </c>
      <c r="C298" s="2" t="s">
        <v>81</v>
      </c>
      <c r="D298" s="2" t="s">
        <v>63</v>
      </c>
      <c r="E298" s="2" t="s">
        <v>64</v>
      </c>
      <c r="F298" s="2" t="s">
        <v>24</v>
      </c>
      <c r="G298">
        <v>3</v>
      </c>
      <c r="H298">
        <v>127</v>
      </c>
      <c r="I298">
        <v>175</v>
      </c>
      <c r="J298" s="3">
        <v>148600</v>
      </c>
      <c r="K298" s="3">
        <v>26005000</v>
      </c>
      <c r="L298" s="2" t="s">
        <v>33</v>
      </c>
      <c r="M298" s="2" t="s">
        <v>77</v>
      </c>
      <c r="N298">
        <v>2023</v>
      </c>
      <c r="O298" s="2" t="s">
        <v>143</v>
      </c>
      <c r="P298" s="2" t="s">
        <v>144</v>
      </c>
      <c r="Q298">
        <v>4</v>
      </c>
      <c r="R298" s="4">
        <v>45017</v>
      </c>
      <c r="S298" s="3">
        <v>148600</v>
      </c>
      <c r="T298" s="3">
        <v>2.6</v>
      </c>
    </row>
    <row r="299" spans="1:20" hidden="1" x14ac:dyDescent="0.3">
      <c r="A299" s="1">
        <v>45032</v>
      </c>
      <c r="B299" s="2" t="s">
        <v>108</v>
      </c>
      <c r="C299" s="2" t="s">
        <v>109</v>
      </c>
      <c r="D299" s="2" t="s">
        <v>79</v>
      </c>
      <c r="E299" s="2" t="s">
        <v>80</v>
      </c>
      <c r="F299" s="2" t="s">
        <v>72</v>
      </c>
      <c r="G299">
        <v>69</v>
      </c>
      <c r="H299">
        <v>418</v>
      </c>
      <c r="I299">
        <v>71</v>
      </c>
      <c r="J299" s="3">
        <v>6545700</v>
      </c>
      <c r="K299" s="3">
        <v>464744700</v>
      </c>
      <c r="L299" s="2" t="s">
        <v>33</v>
      </c>
      <c r="M299" s="2" t="s">
        <v>26</v>
      </c>
      <c r="N299">
        <v>2023</v>
      </c>
      <c r="O299" s="2" t="s">
        <v>143</v>
      </c>
      <c r="P299" s="2" t="s">
        <v>144</v>
      </c>
      <c r="Q299">
        <v>4</v>
      </c>
      <c r="R299" s="4">
        <v>45017</v>
      </c>
      <c r="S299" s="3">
        <v>6545700</v>
      </c>
      <c r="T299" s="3">
        <v>46.47</v>
      </c>
    </row>
    <row r="300" spans="1:20" hidden="1" x14ac:dyDescent="0.3">
      <c r="A300" s="1">
        <v>45032</v>
      </c>
      <c r="B300" s="2" t="s">
        <v>20</v>
      </c>
      <c r="C300" s="2" t="s">
        <v>21</v>
      </c>
      <c r="D300" s="2" t="s">
        <v>22</v>
      </c>
      <c r="E300" s="2" t="s">
        <v>23</v>
      </c>
      <c r="F300" s="2" t="s">
        <v>24</v>
      </c>
      <c r="G300">
        <v>82</v>
      </c>
      <c r="H300">
        <v>520</v>
      </c>
      <c r="I300">
        <v>44</v>
      </c>
      <c r="J300" s="3">
        <v>7065400</v>
      </c>
      <c r="K300" s="3">
        <v>310877600</v>
      </c>
      <c r="L300" s="2" t="s">
        <v>33</v>
      </c>
      <c r="M300" s="2" t="s">
        <v>34</v>
      </c>
      <c r="N300">
        <v>2023</v>
      </c>
      <c r="O300" s="2" t="s">
        <v>143</v>
      </c>
      <c r="P300" s="2" t="s">
        <v>144</v>
      </c>
      <c r="Q300">
        <v>4</v>
      </c>
      <c r="R300" s="4">
        <v>45017</v>
      </c>
      <c r="S300" s="3">
        <v>7065400</v>
      </c>
      <c r="T300" s="3">
        <v>31.09</v>
      </c>
    </row>
    <row r="301" spans="1:20" hidden="1" x14ac:dyDescent="0.3">
      <c r="A301" s="1">
        <v>45032</v>
      </c>
      <c r="B301" s="2" t="s">
        <v>46</v>
      </c>
      <c r="C301" s="2" t="s">
        <v>56</v>
      </c>
      <c r="D301" s="2" t="s">
        <v>70</v>
      </c>
      <c r="E301" s="2" t="s">
        <v>71</v>
      </c>
      <c r="F301" s="2" t="s">
        <v>72</v>
      </c>
      <c r="G301">
        <v>50</v>
      </c>
      <c r="H301">
        <v>46</v>
      </c>
      <c r="I301">
        <v>98</v>
      </c>
      <c r="J301" s="3">
        <v>2152600</v>
      </c>
      <c r="K301" s="3">
        <v>210954800</v>
      </c>
      <c r="L301" s="2" t="s">
        <v>33</v>
      </c>
      <c r="M301" s="2" t="s">
        <v>77</v>
      </c>
      <c r="N301">
        <v>2023</v>
      </c>
      <c r="O301" s="2" t="s">
        <v>143</v>
      </c>
      <c r="P301" s="2" t="s">
        <v>144</v>
      </c>
      <c r="Q301">
        <v>4</v>
      </c>
      <c r="R301" s="4">
        <v>45017</v>
      </c>
      <c r="S301" s="3">
        <v>2152600</v>
      </c>
      <c r="T301" s="3">
        <v>21.1</v>
      </c>
    </row>
    <row r="302" spans="1:20" hidden="1" x14ac:dyDescent="0.3">
      <c r="A302" s="1">
        <v>45032</v>
      </c>
      <c r="B302" s="2" t="s">
        <v>35</v>
      </c>
      <c r="C302" s="2" t="s">
        <v>36</v>
      </c>
      <c r="D302" s="2" t="s">
        <v>54</v>
      </c>
      <c r="E302" s="2" t="s">
        <v>55</v>
      </c>
      <c r="F302" s="2" t="s">
        <v>24</v>
      </c>
      <c r="G302">
        <v>30</v>
      </c>
      <c r="H302">
        <v>320</v>
      </c>
      <c r="I302">
        <v>15</v>
      </c>
      <c r="J302" s="3">
        <v>1263200</v>
      </c>
      <c r="K302" s="3">
        <v>18948000</v>
      </c>
      <c r="L302" s="2" t="s">
        <v>92</v>
      </c>
      <c r="M302" s="2" t="s">
        <v>34</v>
      </c>
      <c r="N302">
        <v>2023</v>
      </c>
      <c r="O302" s="2" t="s">
        <v>143</v>
      </c>
      <c r="P302" s="2" t="s">
        <v>144</v>
      </c>
      <c r="Q302">
        <v>4</v>
      </c>
      <c r="R302" s="4">
        <v>45017</v>
      </c>
      <c r="S302" s="3">
        <v>1263200</v>
      </c>
      <c r="T302" s="3">
        <v>1.89</v>
      </c>
    </row>
    <row r="303" spans="1:20" hidden="1" x14ac:dyDescent="0.3">
      <c r="A303" s="1">
        <v>45033</v>
      </c>
      <c r="B303" s="2" t="s">
        <v>35</v>
      </c>
      <c r="C303" s="2" t="s">
        <v>121</v>
      </c>
      <c r="D303" s="2" t="s">
        <v>57</v>
      </c>
      <c r="E303" s="2" t="s">
        <v>58</v>
      </c>
      <c r="F303" s="2" t="s">
        <v>24</v>
      </c>
      <c r="G303">
        <v>72</v>
      </c>
      <c r="H303">
        <v>488</v>
      </c>
      <c r="I303">
        <v>47</v>
      </c>
      <c r="J303" s="3">
        <v>5586800</v>
      </c>
      <c r="K303" s="3">
        <v>262579600</v>
      </c>
      <c r="L303" s="2" t="s">
        <v>25</v>
      </c>
      <c r="M303" s="2" t="s">
        <v>26</v>
      </c>
      <c r="N303">
        <v>2023</v>
      </c>
      <c r="O303" s="2" t="s">
        <v>143</v>
      </c>
      <c r="P303" s="2" t="s">
        <v>144</v>
      </c>
      <c r="Q303">
        <v>4</v>
      </c>
      <c r="R303" s="4">
        <v>45017</v>
      </c>
      <c r="S303" s="3">
        <v>5586800</v>
      </c>
      <c r="T303" s="3">
        <v>26.26</v>
      </c>
    </row>
    <row r="304" spans="1:20" hidden="1" x14ac:dyDescent="0.3">
      <c r="A304" s="1">
        <v>45033</v>
      </c>
      <c r="B304" s="2" t="s">
        <v>35</v>
      </c>
      <c r="C304" s="2" t="s">
        <v>132</v>
      </c>
      <c r="D304" s="2" t="s">
        <v>42</v>
      </c>
      <c r="E304" s="2" t="s">
        <v>43</v>
      </c>
      <c r="F304" s="2" t="s">
        <v>24</v>
      </c>
      <c r="G304">
        <v>3</v>
      </c>
      <c r="H304">
        <v>135</v>
      </c>
      <c r="I304">
        <v>144</v>
      </c>
      <c r="J304" s="3">
        <v>111400</v>
      </c>
      <c r="K304" s="3">
        <v>16041600</v>
      </c>
      <c r="L304" s="2" t="s">
        <v>33</v>
      </c>
      <c r="M304" s="2" t="s">
        <v>26</v>
      </c>
      <c r="N304">
        <v>2023</v>
      </c>
      <c r="O304" s="2" t="s">
        <v>143</v>
      </c>
      <c r="P304" s="2" t="s">
        <v>144</v>
      </c>
      <c r="Q304">
        <v>4</v>
      </c>
      <c r="R304" s="4">
        <v>45017</v>
      </c>
      <c r="S304" s="3">
        <v>111400</v>
      </c>
      <c r="T304" s="3">
        <v>1.6</v>
      </c>
    </row>
    <row r="305" spans="1:20" hidden="1" x14ac:dyDescent="0.3">
      <c r="A305" s="1">
        <v>45033</v>
      </c>
      <c r="B305" s="2" t="s">
        <v>46</v>
      </c>
      <c r="C305" s="2" t="s">
        <v>137</v>
      </c>
      <c r="D305" s="2" t="s">
        <v>70</v>
      </c>
      <c r="E305" s="2" t="s">
        <v>71</v>
      </c>
      <c r="F305" s="2" t="s">
        <v>24</v>
      </c>
      <c r="G305">
        <v>50</v>
      </c>
      <c r="H305">
        <v>46</v>
      </c>
      <c r="I305">
        <v>41</v>
      </c>
      <c r="J305" s="3">
        <v>2210700</v>
      </c>
      <c r="K305" s="3">
        <v>90638700</v>
      </c>
      <c r="L305" s="2" t="s">
        <v>33</v>
      </c>
      <c r="M305" s="2" t="s">
        <v>26</v>
      </c>
      <c r="N305">
        <v>2023</v>
      </c>
      <c r="O305" s="2" t="s">
        <v>143</v>
      </c>
      <c r="P305" s="2" t="s">
        <v>144</v>
      </c>
      <c r="Q305">
        <v>4</v>
      </c>
      <c r="R305" s="4">
        <v>45017</v>
      </c>
      <c r="S305" s="3">
        <v>2210700</v>
      </c>
      <c r="T305" s="3">
        <v>9.06</v>
      </c>
    </row>
    <row r="306" spans="1:20" hidden="1" x14ac:dyDescent="0.3">
      <c r="A306" s="1">
        <v>45034</v>
      </c>
      <c r="B306" s="2" t="s">
        <v>46</v>
      </c>
      <c r="C306" s="2" t="s">
        <v>110</v>
      </c>
      <c r="D306" s="2" t="s">
        <v>100</v>
      </c>
      <c r="E306" s="2" t="s">
        <v>101</v>
      </c>
      <c r="F306" s="2" t="s">
        <v>24</v>
      </c>
      <c r="G306">
        <v>3</v>
      </c>
      <c r="H306">
        <v>150</v>
      </c>
      <c r="I306">
        <v>88</v>
      </c>
      <c r="J306" s="3">
        <v>136000</v>
      </c>
      <c r="K306" s="3">
        <v>11968000</v>
      </c>
      <c r="L306" s="2" t="s">
        <v>92</v>
      </c>
      <c r="M306" s="2" t="s">
        <v>34</v>
      </c>
      <c r="N306">
        <v>2023</v>
      </c>
      <c r="O306" s="2" t="s">
        <v>143</v>
      </c>
      <c r="P306" s="2" t="s">
        <v>144</v>
      </c>
      <c r="Q306">
        <v>4</v>
      </c>
      <c r="R306" s="4">
        <v>45017</v>
      </c>
      <c r="S306" s="3">
        <v>136000</v>
      </c>
      <c r="T306" s="3">
        <v>1.2</v>
      </c>
    </row>
    <row r="307" spans="1:20" hidden="1" x14ac:dyDescent="0.3">
      <c r="A307" s="1">
        <v>45034</v>
      </c>
      <c r="B307" s="2" t="s">
        <v>90</v>
      </c>
      <c r="C307" s="2" t="s">
        <v>128</v>
      </c>
      <c r="D307" s="2" t="s">
        <v>22</v>
      </c>
      <c r="E307" s="2" t="s">
        <v>23</v>
      </c>
      <c r="F307" s="2" t="s">
        <v>24</v>
      </c>
      <c r="G307">
        <v>82</v>
      </c>
      <c r="H307">
        <v>520</v>
      </c>
      <c r="I307">
        <v>10</v>
      </c>
      <c r="J307" s="3">
        <v>6667600</v>
      </c>
      <c r="K307" s="3">
        <v>66676000</v>
      </c>
      <c r="L307" s="2" t="s">
        <v>33</v>
      </c>
      <c r="M307" s="2" t="s">
        <v>26</v>
      </c>
      <c r="N307">
        <v>2023</v>
      </c>
      <c r="O307" s="2" t="s">
        <v>143</v>
      </c>
      <c r="P307" s="2" t="s">
        <v>144</v>
      </c>
      <c r="Q307">
        <v>4</v>
      </c>
      <c r="R307" s="4">
        <v>45017</v>
      </c>
      <c r="S307" s="3">
        <v>6667600</v>
      </c>
      <c r="T307" s="3">
        <v>6.67</v>
      </c>
    </row>
    <row r="308" spans="1:20" hidden="1" x14ac:dyDescent="0.3">
      <c r="A308" s="1">
        <v>45034</v>
      </c>
      <c r="B308" s="2" t="s">
        <v>40</v>
      </c>
      <c r="C308" s="2" t="s">
        <v>41</v>
      </c>
      <c r="D308" s="2" t="s">
        <v>94</v>
      </c>
      <c r="E308" s="2" t="s">
        <v>95</v>
      </c>
      <c r="F308" s="2" t="s">
        <v>24</v>
      </c>
      <c r="G308">
        <v>40</v>
      </c>
      <c r="H308">
        <v>30</v>
      </c>
      <c r="I308">
        <v>122</v>
      </c>
      <c r="J308" s="3">
        <v>2601400</v>
      </c>
      <c r="K308" s="3">
        <v>317370800</v>
      </c>
      <c r="L308" s="2" t="s">
        <v>33</v>
      </c>
      <c r="M308" s="2" t="s">
        <v>34</v>
      </c>
      <c r="N308">
        <v>2023</v>
      </c>
      <c r="O308" s="2" t="s">
        <v>143</v>
      </c>
      <c r="P308" s="2" t="s">
        <v>144</v>
      </c>
      <c r="Q308">
        <v>4</v>
      </c>
      <c r="R308" s="4">
        <v>45017</v>
      </c>
      <c r="S308" s="3">
        <v>2601400</v>
      </c>
      <c r="T308" s="3">
        <v>31.74</v>
      </c>
    </row>
    <row r="309" spans="1:20" hidden="1" x14ac:dyDescent="0.3">
      <c r="A309" s="1">
        <v>45034</v>
      </c>
      <c r="B309" s="2" t="s">
        <v>40</v>
      </c>
      <c r="C309" s="2" t="s">
        <v>78</v>
      </c>
      <c r="D309" s="2" t="s">
        <v>94</v>
      </c>
      <c r="E309" s="2" t="s">
        <v>115</v>
      </c>
      <c r="F309" s="2" t="s">
        <v>24</v>
      </c>
      <c r="G309">
        <v>24</v>
      </c>
      <c r="H309">
        <v>24</v>
      </c>
      <c r="I309">
        <v>62</v>
      </c>
      <c r="J309" s="3">
        <v>1411400</v>
      </c>
      <c r="K309" s="3">
        <v>87506800</v>
      </c>
      <c r="L309" s="2" t="s">
        <v>33</v>
      </c>
      <c r="M309" s="2" t="s">
        <v>97</v>
      </c>
      <c r="N309">
        <v>2023</v>
      </c>
      <c r="O309" s="2" t="s">
        <v>143</v>
      </c>
      <c r="P309" s="2" t="s">
        <v>144</v>
      </c>
      <c r="Q309">
        <v>4</v>
      </c>
      <c r="R309" s="4">
        <v>45017</v>
      </c>
      <c r="S309" s="3">
        <v>1411400</v>
      </c>
      <c r="T309" s="3">
        <v>8.75</v>
      </c>
    </row>
    <row r="310" spans="1:20" hidden="1" x14ac:dyDescent="0.3">
      <c r="A310" s="1">
        <v>45035</v>
      </c>
      <c r="B310" s="2" t="s">
        <v>40</v>
      </c>
      <c r="C310" s="2" t="s">
        <v>136</v>
      </c>
      <c r="D310" s="2" t="s">
        <v>70</v>
      </c>
      <c r="E310" s="2" t="s">
        <v>74</v>
      </c>
      <c r="F310" s="2" t="s">
        <v>24</v>
      </c>
      <c r="G310">
        <v>25</v>
      </c>
      <c r="H310">
        <v>32</v>
      </c>
      <c r="I310">
        <v>126</v>
      </c>
      <c r="J310" s="3">
        <v>1197700</v>
      </c>
      <c r="K310" s="3">
        <v>150910200</v>
      </c>
      <c r="L310" s="2" t="s">
        <v>33</v>
      </c>
      <c r="M310" s="2" t="s">
        <v>26</v>
      </c>
      <c r="N310">
        <v>2023</v>
      </c>
      <c r="O310" s="2" t="s">
        <v>143</v>
      </c>
      <c r="P310" s="2" t="s">
        <v>144</v>
      </c>
      <c r="Q310">
        <v>4</v>
      </c>
      <c r="R310" s="4">
        <v>45017</v>
      </c>
      <c r="S310" s="3">
        <v>1197700</v>
      </c>
      <c r="T310" s="3">
        <v>15.09</v>
      </c>
    </row>
    <row r="311" spans="1:20" hidden="1" x14ac:dyDescent="0.3">
      <c r="A311" s="1">
        <v>45035</v>
      </c>
      <c r="B311" s="2" t="s">
        <v>52</v>
      </c>
      <c r="C311" s="2" t="s">
        <v>116</v>
      </c>
      <c r="D311" s="2" t="s">
        <v>50</v>
      </c>
      <c r="E311" s="2" t="s">
        <v>51</v>
      </c>
      <c r="F311" s="2" t="s">
        <v>24</v>
      </c>
      <c r="G311">
        <v>77</v>
      </c>
      <c r="H311">
        <v>528</v>
      </c>
      <c r="I311">
        <v>39</v>
      </c>
      <c r="J311" s="3">
        <v>5166300</v>
      </c>
      <c r="K311" s="3">
        <v>201485700</v>
      </c>
      <c r="L311" s="2" t="s">
        <v>33</v>
      </c>
      <c r="M311" s="2" t="s">
        <v>77</v>
      </c>
      <c r="N311">
        <v>2023</v>
      </c>
      <c r="O311" s="2" t="s">
        <v>143</v>
      </c>
      <c r="P311" s="2" t="s">
        <v>144</v>
      </c>
      <c r="Q311">
        <v>4</v>
      </c>
      <c r="R311" s="4">
        <v>45017</v>
      </c>
      <c r="S311" s="3">
        <v>5166300</v>
      </c>
      <c r="T311" s="3">
        <v>20.149999999999999</v>
      </c>
    </row>
    <row r="312" spans="1:20" hidden="1" x14ac:dyDescent="0.3">
      <c r="A312" s="1">
        <v>45036</v>
      </c>
      <c r="B312" s="2" t="s">
        <v>106</v>
      </c>
      <c r="C312" s="2" t="s">
        <v>107</v>
      </c>
      <c r="D312" s="2" t="s">
        <v>63</v>
      </c>
      <c r="E312" s="2" t="s">
        <v>64</v>
      </c>
      <c r="F312" s="2" t="s">
        <v>24</v>
      </c>
      <c r="G312">
        <v>3</v>
      </c>
      <c r="H312">
        <v>127</v>
      </c>
      <c r="I312">
        <v>140</v>
      </c>
      <c r="J312" s="3">
        <v>148700</v>
      </c>
      <c r="K312" s="3">
        <v>20818000</v>
      </c>
      <c r="L312" s="2" t="s">
        <v>92</v>
      </c>
      <c r="M312" s="2" t="s">
        <v>34</v>
      </c>
      <c r="N312">
        <v>2023</v>
      </c>
      <c r="O312" s="2" t="s">
        <v>143</v>
      </c>
      <c r="P312" s="2" t="s">
        <v>144</v>
      </c>
      <c r="Q312">
        <v>4</v>
      </c>
      <c r="R312" s="4">
        <v>45017</v>
      </c>
      <c r="S312" s="3">
        <v>148700</v>
      </c>
      <c r="T312" s="3">
        <v>2.08</v>
      </c>
    </row>
    <row r="313" spans="1:20" hidden="1" x14ac:dyDescent="0.3">
      <c r="A313" s="1">
        <v>45037</v>
      </c>
      <c r="B313" s="2" t="s">
        <v>35</v>
      </c>
      <c r="C313" s="2" t="s">
        <v>121</v>
      </c>
      <c r="D313" s="2" t="s">
        <v>67</v>
      </c>
      <c r="E313" s="2" t="s">
        <v>118</v>
      </c>
      <c r="F313" s="2" t="s">
        <v>39</v>
      </c>
      <c r="G313">
        <v>84</v>
      </c>
      <c r="H313">
        <v>590</v>
      </c>
      <c r="I313">
        <v>8</v>
      </c>
      <c r="J313" s="3">
        <v>6889400</v>
      </c>
      <c r="K313" s="3">
        <v>55115200</v>
      </c>
      <c r="L313" s="2" t="s">
        <v>25</v>
      </c>
      <c r="M313" s="2" t="s">
        <v>26</v>
      </c>
      <c r="N313">
        <v>2023</v>
      </c>
      <c r="O313" s="2" t="s">
        <v>143</v>
      </c>
      <c r="P313" s="2" t="s">
        <v>144</v>
      </c>
      <c r="Q313">
        <v>4</v>
      </c>
      <c r="R313" s="4">
        <v>45017</v>
      </c>
      <c r="S313" s="3">
        <v>6889400</v>
      </c>
      <c r="T313" s="3">
        <v>5.51</v>
      </c>
    </row>
    <row r="314" spans="1:20" hidden="1" x14ac:dyDescent="0.3">
      <c r="A314" s="1">
        <v>45037</v>
      </c>
      <c r="B314" s="2" t="s">
        <v>29</v>
      </c>
      <c r="C314" s="2" t="s">
        <v>65</v>
      </c>
      <c r="D314" s="2" t="s">
        <v>79</v>
      </c>
      <c r="E314" s="2" t="s">
        <v>80</v>
      </c>
      <c r="F314" s="2" t="s">
        <v>24</v>
      </c>
      <c r="G314">
        <v>69</v>
      </c>
      <c r="H314">
        <v>418</v>
      </c>
      <c r="I314">
        <v>8</v>
      </c>
      <c r="J314" s="3">
        <v>5250100</v>
      </c>
      <c r="K314" s="3">
        <v>42000800</v>
      </c>
      <c r="L314" s="2" t="s">
        <v>25</v>
      </c>
      <c r="M314" s="2" t="s">
        <v>26</v>
      </c>
      <c r="N314">
        <v>2023</v>
      </c>
      <c r="O314" s="2" t="s">
        <v>143</v>
      </c>
      <c r="P314" s="2" t="s">
        <v>144</v>
      </c>
      <c r="Q314">
        <v>4</v>
      </c>
      <c r="R314" s="4">
        <v>45017</v>
      </c>
      <c r="S314" s="3">
        <v>5250100</v>
      </c>
      <c r="T314" s="3">
        <v>4.2</v>
      </c>
    </row>
    <row r="315" spans="1:20" hidden="1" x14ac:dyDescent="0.3">
      <c r="A315" s="1">
        <v>45038</v>
      </c>
      <c r="B315" s="2" t="s">
        <v>108</v>
      </c>
      <c r="C315" s="2" t="s">
        <v>131</v>
      </c>
      <c r="D315" s="2" t="s">
        <v>50</v>
      </c>
      <c r="E315" s="2" t="s">
        <v>51</v>
      </c>
      <c r="F315" s="2" t="s">
        <v>24</v>
      </c>
      <c r="G315">
        <v>77</v>
      </c>
      <c r="H315">
        <v>528</v>
      </c>
      <c r="I315">
        <v>26</v>
      </c>
      <c r="J315" s="3">
        <v>4872500</v>
      </c>
      <c r="K315" s="3">
        <v>126685000</v>
      </c>
      <c r="L315" s="2" t="s">
        <v>25</v>
      </c>
      <c r="M315" s="2" t="s">
        <v>26</v>
      </c>
      <c r="N315">
        <v>2023</v>
      </c>
      <c r="O315" s="2" t="s">
        <v>143</v>
      </c>
      <c r="P315" s="2" t="s">
        <v>144</v>
      </c>
      <c r="Q315">
        <v>4</v>
      </c>
      <c r="R315" s="4">
        <v>45017</v>
      </c>
      <c r="S315" s="3">
        <v>4872500</v>
      </c>
      <c r="T315" s="3">
        <v>12.67</v>
      </c>
    </row>
    <row r="316" spans="1:20" hidden="1" x14ac:dyDescent="0.3">
      <c r="A316" s="1">
        <v>45038</v>
      </c>
      <c r="B316" s="2" t="s">
        <v>29</v>
      </c>
      <c r="C316" s="2" t="s">
        <v>96</v>
      </c>
      <c r="D316" s="2" t="s">
        <v>70</v>
      </c>
      <c r="E316" s="2" t="s">
        <v>71</v>
      </c>
      <c r="F316" s="2" t="s">
        <v>24</v>
      </c>
      <c r="G316">
        <v>50</v>
      </c>
      <c r="H316">
        <v>46</v>
      </c>
      <c r="I316">
        <v>32</v>
      </c>
      <c r="J316" s="3">
        <v>2190000</v>
      </c>
      <c r="K316" s="3">
        <v>70080000</v>
      </c>
      <c r="L316" s="2" t="s">
        <v>92</v>
      </c>
      <c r="M316" s="2" t="s">
        <v>26</v>
      </c>
      <c r="N316">
        <v>2023</v>
      </c>
      <c r="O316" s="2" t="s">
        <v>143</v>
      </c>
      <c r="P316" s="2" t="s">
        <v>144</v>
      </c>
      <c r="Q316">
        <v>4</v>
      </c>
      <c r="R316" s="4">
        <v>45017</v>
      </c>
      <c r="S316" s="3">
        <v>2190000</v>
      </c>
      <c r="T316" s="3">
        <v>7.01</v>
      </c>
    </row>
    <row r="317" spans="1:20" hidden="1" x14ac:dyDescent="0.3">
      <c r="A317" s="1">
        <v>45039</v>
      </c>
      <c r="B317" s="2" t="s">
        <v>20</v>
      </c>
      <c r="C317" s="2" t="s">
        <v>112</v>
      </c>
      <c r="D317" s="2" t="s">
        <v>42</v>
      </c>
      <c r="E317" s="2" t="s">
        <v>43</v>
      </c>
      <c r="F317" s="2" t="s">
        <v>24</v>
      </c>
      <c r="G317">
        <v>3</v>
      </c>
      <c r="H317">
        <v>135</v>
      </c>
      <c r="I317">
        <v>100</v>
      </c>
      <c r="J317" s="3">
        <v>125500</v>
      </c>
      <c r="K317" s="3">
        <v>12550000</v>
      </c>
      <c r="L317" s="2" t="s">
        <v>33</v>
      </c>
      <c r="M317" s="2" t="s">
        <v>26</v>
      </c>
      <c r="N317">
        <v>2023</v>
      </c>
      <c r="O317" s="2" t="s">
        <v>143</v>
      </c>
      <c r="P317" s="2" t="s">
        <v>144</v>
      </c>
      <c r="Q317">
        <v>4</v>
      </c>
      <c r="R317" s="4">
        <v>45017</v>
      </c>
      <c r="S317" s="3">
        <v>125500</v>
      </c>
      <c r="T317" s="3">
        <v>1.26</v>
      </c>
    </row>
    <row r="318" spans="1:20" hidden="1" x14ac:dyDescent="0.3">
      <c r="A318" s="1">
        <v>45039</v>
      </c>
      <c r="B318" s="2" t="s">
        <v>40</v>
      </c>
      <c r="C318" s="2" t="s">
        <v>105</v>
      </c>
      <c r="D318" s="2" t="s">
        <v>67</v>
      </c>
      <c r="E318" s="2" t="s">
        <v>118</v>
      </c>
      <c r="F318" s="2" t="s">
        <v>24</v>
      </c>
      <c r="G318">
        <v>84</v>
      </c>
      <c r="H318">
        <v>590</v>
      </c>
      <c r="I318">
        <v>63</v>
      </c>
      <c r="J318" s="3">
        <v>8001200</v>
      </c>
      <c r="K318" s="3">
        <v>504075600</v>
      </c>
      <c r="L318" s="2" t="s">
        <v>33</v>
      </c>
      <c r="M318" s="2" t="s">
        <v>26</v>
      </c>
      <c r="N318">
        <v>2023</v>
      </c>
      <c r="O318" s="2" t="s">
        <v>143</v>
      </c>
      <c r="P318" s="2" t="s">
        <v>144</v>
      </c>
      <c r="Q318">
        <v>4</v>
      </c>
      <c r="R318" s="4">
        <v>45017</v>
      </c>
      <c r="S318" s="3">
        <v>8001200</v>
      </c>
      <c r="T318" s="3">
        <v>50.41</v>
      </c>
    </row>
    <row r="319" spans="1:20" hidden="1" x14ac:dyDescent="0.3">
      <c r="A319" s="1">
        <v>45040</v>
      </c>
      <c r="B319" s="2" t="s">
        <v>59</v>
      </c>
      <c r="C319" s="2" t="s">
        <v>81</v>
      </c>
      <c r="D319" s="2" t="s">
        <v>22</v>
      </c>
      <c r="E319" s="2" t="s">
        <v>23</v>
      </c>
      <c r="F319" s="2" t="s">
        <v>39</v>
      </c>
      <c r="G319">
        <v>82</v>
      </c>
      <c r="H319">
        <v>520</v>
      </c>
      <c r="I319">
        <v>43</v>
      </c>
      <c r="J319" s="3">
        <v>6040200</v>
      </c>
      <c r="K319" s="3">
        <v>259728600</v>
      </c>
      <c r="L319" s="2" t="s">
        <v>33</v>
      </c>
      <c r="M319" s="2" t="s">
        <v>34</v>
      </c>
      <c r="N319">
        <v>2023</v>
      </c>
      <c r="O319" s="2" t="s">
        <v>143</v>
      </c>
      <c r="P319" s="2" t="s">
        <v>144</v>
      </c>
      <c r="Q319">
        <v>4</v>
      </c>
      <c r="R319" s="4">
        <v>45017</v>
      </c>
      <c r="S319" s="3">
        <v>6040200</v>
      </c>
      <c r="T319" s="3">
        <v>25.97</v>
      </c>
    </row>
    <row r="320" spans="1:20" hidden="1" x14ac:dyDescent="0.3">
      <c r="A320" s="1">
        <v>45040</v>
      </c>
      <c r="B320" s="2" t="s">
        <v>46</v>
      </c>
      <c r="C320" s="2" t="s">
        <v>110</v>
      </c>
      <c r="D320" s="2" t="s">
        <v>31</v>
      </c>
      <c r="E320" s="2" t="s">
        <v>124</v>
      </c>
      <c r="F320" s="2" t="s">
        <v>24</v>
      </c>
      <c r="G320">
        <v>3</v>
      </c>
      <c r="H320">
        <v>151</v>
      </c>
      <c r="I320">
        <v>122</v>
      </c>
      <c r="J320" s="3">
        <v>124600</v>
      </c>
      <c r="K320" s="3">
        <v>15201200</v>
      </c>
      <c r="L320" s="2" t="s">
        <v>33</v>
      </c>
      <c r="M320" s="2" t="s">
        <v>34</v>
      </c>
      <c r="N320">
        <v>2023</v>
      </c>
      <c r="O320" s="2" t="s">
        <v>143</v>
      </c>
      <c r="P320" s="2" t="s">
        <v>144</v>
      </c>
      <c r="Q320">
        <v>4</v>
      </c>
      <c r="R320" s="4">
        <v>45017</v>
      </c>
      <c r="S320" s="3">
        <v>124600</v>
      </c>
      <c r="T320" s="3">
        <v>1.52</v>
      </c>
    </row>
    <row r="321" spans="1:20" hidden="1" x14ac:dyDescent="0.3">
      <c r="A321" s="1">
        <v>45041</v>
      </c>
      <c r="B321" s="2" t="s">
        <v>84</v>
      </c>
      <c r="C321" s="2" t="s">
        <v>93</v>
      </c>
      <c r="D321" s="2" t="s">
        <v>63</v>
      </c>
      <c r="E321" s="2" t="s">
        <v>64</v>
      </c>
      <c r="F321" s="2" t="s">
        <v>24</v>
      </c>
      <c r="G321">
        <v>3</v>
      </c>
      <c r="H321">
        <v>127</v>
      </c>
      <c r="I321">
        <v>141</v>
      </c>
      <c r="J321" s="3">
        <v>142100</v>
      </c>
      <c r="K321" s="3">
        <v>20036100</v>
      </c>
      <c r="L321" s="2" t="s">
        <v>33</v>
      </c>
      <c r="M321" s="2" t="s">
        <v>97</v>
      </c>
      <c r="N321">
        <v>2023</v>
      </c>
      <c r="O321" s="2" t="s">
        <v>143</v>
      </c>
      <c r="P321" s="2" t="s">
        <v>144</v>
      </c>
      <c r="Q321">
        <v>4</v>
      </c>
      <c r="R321" s="4">
        <v>45017</v>
      </c>
      <c r="S321" s="3">
        <v>142100</v>
      </c>
      <c r="T321" s="3">
        <v>2</v>
      </c>
    </row>
    <row r="322" spans="1:20" hidden="1" x14ac:dyDescent="0.3">
      <c r="A322" s="1">
        <v>45041</v>
      </c>
      <c r="B322" s="2" t="s">
        <v>46</v>
      </c>
      <c r="C322" s="2" t="s">
        <v>56</v>
      </c>
      <c r="D322" s="2" t="s">
        <v>79</v>
      </c>
      <c r="E322" s="2" t="s">
        <v>80</v>
      </c>
      <c r="F322" s="2" t="s">
        <v>24</v>
      </c>
      <c r="G322">
        <v>69</v>
      </c>
      <c r="H322">
        <v>418</v>
      </c>
      <c r="I322">
        <v>13</v>
      </c>
      <c r="J322" s="3">
        <v>5181400</v>
      </c>
      <c r="K322" s="3">
        <v>67358200</v>
      </c>
      <c r="L322" s="2" t="s">
        <v>33</v>
      </c>
      <c r="M322" s="2" t="s">
        <v>26</v>
      </c>
      <c r="N322">
        <v>2023</v>
      </c>
      <c r="O322" s="2" t="s">
        <v>143</v>
      </c>
      <c r="P322" s="2" t="s">
        <v>144</v>
      </c>
      <c r="Q322">
        <v>4</v>
      </c>
      <c r="R322" s="4">
        <v>45017</v>
      </c>
      <c r="S322" s="3">
        <v>5181400</v>
      </c>
      <c r="T322" s="3">
        <v>6.74</v>
      </c>
    </row>
    <row r="323" spans="1:20" hidden="1" x14ac:dyDescent="0.3">
      <c r="A323" s="1">
        <v>45041</v>
      </c>
      <c r="B323" s="2" t="s">
        <v>84</v>
      </c>
      <c r="C323" s="2" t="s">
        <v>113</v>
      </c>
      <c r="D323" s="2" t="s">
        <v>79</v>
      </c>
      <c r="E323" s="2" t="s">
        <v>80</v>
      </c>
      <c r="F323" s="2" t="s">
        <v>39</v>
      </c>
      <c r="G323">
        <v>69</v>
      </c>
      <c r="H323">
        <v>418</v>
      </c>
      <c r="I323">
        <v>27</v>
      </c>
      <c r="J323" s="3">
        <v>5774900</v>
      </c>
      <c r="K323" s="3">
        <v>155922300</v>
      </c>
      <c r="L323" s="2" t="s">
        <v>33</v>
      </c>
      <c r="M323" s="2" t="s">
        <v>26</v>
      </c>
      <c r="N323">
        <v>2023</v>
      </c>
      <c r="O323" s="2" t="s">
        <v>143</v>
      </c>
      <c r="P323" s="2" t="s">
        <v>144</v>
      </c>
      <c r="Q323">
        <v>4</v>
      </c>
      <c r="R323" s="4">
        <v>45017</v>
      </c>
      <c r="S323" s="3">
        <v>5774900</v>
      </c>
      <c r="T323" s="3">
        <v>15.59</v>
      </c>
    </row>
    <row r="324" spans="1:20" hidden="1" x14ac:dyDescent="0.3">
      <c r="A324" s="1">
        <v>45042</v>
      </c>
      <c r="B324" s="2" t="s">
        <v>40</v>
      </c>
      <c r="C324" s="2" t="s">
        <v>136</v>
      </c>
      <c r="D324" s="2" t="s">
        <v>94</v>
      </c>
      <c r="E324" s="2" t="s">
        <v>95</v>
      </c>
      <c r="F324" s="2" t="s">
        <v>24</v>
      </c>
      <c r="G324">
        <v>40</v>
      </c>
      <c r="H324">
        <v>30</v>
      </c>
      <c r="I324">
        <v>81</v>
      </c>
      <c r="J324" s="3">
        <v>2238700</v>
      </c>
      <c r="K324" s="3">
        <v>181334700</v>
      </c>
      <c r="L324" s="2" t="s">
        <v>33</v>
      </c>
      <c r="M324" s="2" t="s">
        <v>34</v>
      </c>
      <c r="N324">
        <v>2023</v>
      </c>
      <c r="O324" s="2" t="s">
        <v>143</v>
      </c>
      <c r="P324" s="2" t="s">
        <v>144</v>
      </c>
      <c r="Q324">
        <v>4</v>
      </c>
      <c r="R324" s="4">
        <v>45017</v>
      </c>
      <c r="S324" s="3">
        <v>2238700</v>
      </c>
      <c r="T324" s="3">
        <v>18.13</v>
      </c>
    </row>
    <row r="325" spans="1:20" hidden="1" x14ac:dyDescent="0.3">
      <c r="A325" s="1">
        <v>45042</v>
      </c>
      <c r="B325" s="2" t="s">
        <v>35</v>
      </c>
      <c r="C325" s="2" t="s">
        <v>87</v>
      </c>
      <c r="D325" s="2" t="s">
        <v>67</v>
      </c>
      <c r="E325" s="2" t="s">
        <v>118</v>
      </c>
      <c r="F325" s="2" t="s">
        <v>24</v>
      </c>
      <c r="G325">
        <v>84</v>
      </c>
      <c r="H325">
        <v>590</v>
      </c>
      <c r="I325">
        <v>48</v>
      </c>
      <c r="J325" s="3">
        <v>8754900</v>
      </c>
      <c r="K325" s="3">
        <v>420235200</v>
      </c>
      <c r="L325" s="2" t="s">
        <v>33</v>
      </c>
      <c r="M325" s="2" t="s">
        <v>34</v>
      </c>
      <c r="N325">
        <v>2023</v>
      </c>
      <c r="O325" s="2" t="s">
        <v>143</v>
      </c>
      <c r="P325" s="2" t="s">
        <v>144</v>
      </c>
      <c r="Q325">
        <v>4</v>
      </c>
      <c r="R325" s="4">
        <v>45017</v>
      </c>
      <c r="S325" s="3">
        <v>8754900</v>
      </c>
      <c r="T325" s="3">
        <v>42.02</v>
      </c>
    </row>
    <row r="326" spans="1:20" hidden="1" x14ac:dyDescent="0.3">
      <c r="A326" s="1">
        <v>45042</v>
      </c>
      <c r="B326" s="2" t="s">
        <v>40</v>
      </c>
      <c r="C326" s="2" t="s">
        <v>41</v>
      </c>
      <c r="D326" s="2" t="s">
        <v>57</v>
      </c>
      <c r="E326" s="2" t="s">
        <v>86</v>
      </c>
      <c r="F326" s="2" t="s">
        <v>24</v>
      </c>
      <c r="G326">
        <v>48</v>
      </c>
      <c r="H326">
        <v>39</v>
      </c>
      <c r="I326">
        <v>77</v>
      </c>
      <c r="J326" s="3">
        <v>2241900</v>
      </c>
      <c r="K326" s="3">
        <v>172626300</v>
      </c>
      <c r="L326" s="2" t="s">
        <v>33</v>
      </c>
      <c r="M326" s="2" t="s">
        <v>26</v>
      </c>
      <c r="N326">
        <v>2023</v>
      </c>
      <c r="O326" s="2" t="s">
        <v>143</v>
      </c>
      <c r="P326" s="2" t="s">
        <v>144</v>
      </c>
      <c r="Q326">
        <v>4</v>
      </c>
      <c r="R326" s="4">
        <v>45017</v>
      </c>
      <c r="S326" s="3">
        <v>2241900</v>
      </c>
      <c r="T326" s="3">
        <v>17.260000000000002</v>
      </c>
    </row>
    <row r="327" spans="1:20" hidden="1" x14ac:dyDescent="0.3">
      <c r="A327" s="1">
        <v>45042</v>
      </c>
      <c r="B327" s="2" t="s">
        <v>90</v>
      </c>
      <c r="C327" s="2" t="s">
        <v>99</v>
      </c>
      <c r="D327" s="2" t="s">
        <v>42</v>
      </c>
      <c r="E327" s="2" t="s">
        <v>43</v>
      </c>
      <c r="F327" s="2" t="s">
        <v>24</v>
      </c>
      <c r="G327">
        <v>3</v>
      </c>
      <c r="H327">
        <v>135</v>
      </c>
      <c r="I327">
        <v>86</v>
      </c>
      <c r="J327" s="3">
        <v>118000</v>
      </c>
      <c r="K327" s="3">
        <v>10148000</v>
      </c>
      <c r="L327" s="2" t="s">
        <v>25</v>
      </c>
      <c r="M327" s="2" t="s">
        <v>26</v>
      </c>
      <c r="N327">
        <v>2023</v>
      </c>
      <c r="O327" s="2" t="s">
        <v>143</v>
      </c>
      <c r="P327" s="2" t="s">
        <v>144</v>
      </c>
      <c r="Q327">
        <v>4</v>
      </c>
      <c r="R327" s="4">
        <v>45017</v>
      </c>
      <c r="S327" s="3">
        <v>118000</v>
      </c>
      <c r="T327" s="3">
        <v>1.01</v>
      </c>
    </row>
    <row r="328" spans="1:20" hidden="1" x14ac:dyDescent="0.3">
      <c r="A328" s="1">
        <v>45043</v>
      </c>
      <c r="B328" s="2" t="s">
        <v>40</v>
      </c>
      <c r="C328" s="2" t="s">
        <v>105</v>
      </c>
      <c r="D328" s="2" t="s">
        <v>63</v>
      </c>
      <c r="E328" s="2" t="s">
        <v>64</v>
      </c>
      <c r="F328" s="2" t="s">
        <v>24</v>
      </c>
      <c r="G328">
        <v>3</v>
      </c>
      <c r="H328">
        <v>127</v>
      </c>
      <c r="I328">
        <v>12</v>
      </c>
      <c r="J328" s="3">
        <v>150500</v>
      </c>
      <c r="K328" s="3">
        <v>1806000</v>
      </c>
      <c r="L328" s="2" t="s">
        <v>33</v>
      </c>
      <c r="M328" s="2" t="s">
        <v>26</v>
      </c>
      <c r="N328">
        <v>2023</v>
      </c>
      <c r="O328" s="2" t="s">
        <v>143</v>
      </c>
      <c r="P328" s="2" t="s">
        <v>144</v>
      </c>
      <c r="Q328">
        <v>4</v>
      </c>
      <c r="R328" s="4">
        <v>45017</v>
      </c>
      <c r="S328" s="3">
        <v>150500</v>
      </c>
      <c r="T328" s="3">
        <v>0.18</v>
      </c>
    </row>
    <row r="329" spans="1:20" hidden="1" x14ac:dyDescent="0.3">
      <c r="A329" s="1">
        <v>45043</v>
      </c>
      <c r="B329" s="2" t="s">
        <v>40</v>
      </c>
      <c r="C329" s="2" t="s">
        <v>136</v>
      </c>
      <c r="D329" s="2" t="s">
        <v>79</v>
      </c>
      <c r="E329" s="2" t="s">
        <v>80</v>
      </c>
      <c r="F329" s="2" t="s">
        <v>24</v>
      </c>
      <c r="G329">
        <v>69</v>
      </c>
      <c r="H329">
        <v>418</v>
      </c>
      <c r="I329">
        <v>21</v>
      </c>
      <c r="J329" s="3">
        <v>5515500</v>
      </c>
      <c r="K329" s="3">
        <v>115825500</v>
      </c>
      <c r="L329" s="2" t="s">
        <v>25</v>
      </c>
      <c r="M329" s="2" t="s">
        <v>34</v>
      </c>
      <c r="N329">
        <v>2023</v>
      </c>
      <c r="O329" s="2" t="s">
        <v>143</v>
      </c>
      <c r="P329" s="2" t="s">
        <v>144</v>
      </c>
      <c r="Q329">
        <v>4</v>
      </c>
      <c r="R329" s="4">
        <v>45017</v>
      </c>
      <c r="S329" s="3">
        <v>5515500</v>
      </c>
      <c r="T329" s="3">
        <v>11.58</v>
      </c>
    </row>
    <row r="330" spans="1:20" hidden="1" x14ac:dyDescent="0.3">
      <c r="A330" s="1">
        <v>45044</v>
      </c>
      <c r="B330" s="2" t="s">
        <v>46</v>
      </c>
      <c r="C330" s="2" t="s">
        <v>56</v>
      </c>
      <c r="D330" s="2" t="s">
        <v>102</v>
      </c>
      <c r="E330" s="2" t="s">
        <v>103</v>
      </c>
      <c r="F330" s="2" t="s">
        <v>24</v>
      </c>
      <c r="G330">
        <v>5</v>
      </c>
      <c r="H330">
        <v>150</v>
      </c>
      <c r="I330">
        <v>116</v>
      </c>
      <c r="J330" s="3">
        <v>168600</v>
      </c>
      <c r="K330" s="3">
        <v>19557600</v>
      </c>
      <c r="L330" s="2" t="s">
        <v>33</v>
      </c>
      <c r="M330" s="2" t="s">
        <v>26</v>
      </c>
      <c r="N330">
        <v>2023</v>
      </c>
      <c r="O330" s="2" t="s">
        <v>143</v>
      </c>
      <c r="P330" s="2" t="s">
        <v>144</v>
      </c>
      <c r="Q330">
        <v>4</v>
      </c>
      <c r="R330" s="4">
        <v>45017</v>
      </c>
      <c r="S330" s="3">
        <v>168600</v>
      </c>
      <c r="T330" s="3">
        <v>1.96</v>
      </c>
    </row>
    <row r="331" spans="1:20" hidden="1" x14ac:dyDescent="0.3">
      <c r="A331" s="1">
        <v>45044</v>
      </c>
      <c r="B331" s="2" t="s">
        <v>44</v>
      </c>
      <c r="C331" s="2" t="s">
        <v>117</v>
      </c>
      <c r="D331" s="2" t="s">
        <v>50</v>
      </c>
      <c r="E331" s="2" t="s">
        <v>51</v>
      </c>
      <c r="F331" s="2" t="s">
        <v>72</v>
      </c>
      <c r="G331">
        <v>77</v>
      </c>
      <c r="H331">
        <v>528</v>
      </c>
      <c r="I331">
        <v>52</v>
      </c>
      <c r="J331" s="3">
        <v>5649700</v>
      </c>
      <c r="K331" s="3">
        <v>293784400</v>
      </c>
      <c r="L331" s="2" t="s">
        <v>33</v>
      </c>
      <c r="M331" s="2" t="s">
        <v>34</v>
      </c>
      <c r="N331">
        <v>2023</v>
      </c>
      <c r="O331" s="2" t="s">
        <v>143</v>
      </c>
      <c r="P331" s="2" t="s">
        <v>144</v>
      </c>
      <c r="Q331">
        <v>4</v>
      </c>
      <c r="R331" s="4">
        <v>45017</v>
      </c>
      <c r="S331" s="3">
        <v>5649700</v>
      </c>
      <c r="T331" s="3">
        <v>29.38</v>
      </c>
    </row>
    <row r="332" spans="1:20" hidden="1" x14ac:dyDescent="0.3">
      <c r="A332" s="1">
        <v>45044</v>
      </c>
      <c r="B332" s="2" t="s">
        <v>108</v>
      </c>
      <c r="C332" s="2" t="s">
        <v>109</v>
      </c>
      <c r="D332" s="2" t="s">
        <v>37</v>
      </c>
      <c r="E332" s="2" t="s">
        <v>38</v>
      </c>
      <c r="F332" s="2" t="s">
        <v>24</v>
      </c>
      <c r="G332">
        <v>66</v>
      </c>
      <c r="H332">
        <v>423</v>
      </c>
      <c r="I332">
        <v>3</v>
      </c>
      <c r="J332" s="3">
        <v>9243100</v>
      </c>
      <c r="K332" s="3">
        <v>27729300</v>
      </c>
      <c r="L332" s="2" t="s">
        <v>92</v>
      </c>
      <c r="M332" s="2" t="s">
        <v>77</v>
      </c>
      <c r="N332">
        <v>2023</v>
      </c>
      <c r="O332" s="2" t="s">
        <v>143</v>
      </c>
      <c r="P332" s="2" t="s">
        <v>144</v>
      </c>
      <c r="Q332">
        <v>4</v>
      </c>
      <c r="R332" s="4">
        <v>45017</v>
      </c>
      <c r="S332" s="3">
        <v>9243100</v>
      </c>
      <c r="T332" s="3">
        <v>2.77</v>
      </c>
    </row>
    <row r="333" spans="1:20" hidden="1" x14ac:dyDescent="0.3">
      <c r="A333" s="1">
        <v>45044</v>
      </c>
      <c r="B333" s="2" t="s">
        <v>44</v>
      </c>
      <c r="C333" s="2" t="s">
        <v>142</v>
      </c>
      <c r="D333" s="2" t="s">
        <v>94</v>
      </c>
      <c r="E333" s="2" t="s">
        <v>95</v>
      </c>
      <c r="F333" s="2" t="s">
        <v>24</v>
      </c>
      <c r="G333">
        <v>40</v>
      </c>
      <c r="H333">
        <v>30</v>
      </c>
      <c r="I333">
        <v>138</v>
      </c>
      <c r="J333" s="3">
        <v>2761900</v>
      </c>
      <c r="K333" s="3">
        <v>381142200</v>
      </c>
      <c r="L333" s="2" t="s">
        <v>33</v>
      </c>
      <c r="M333" s="2" t="s">
        <v>26</v>
      </c>
      <c r="N333">
        <v>2023</v>
      </c>
      <c r="O333" s="2" t="s">
        <v>143</v>
      </c>
      <c r="P333" s="2" t="s">
        <v>144</v>
      </c>
      <c r="Q333">
        <v>4</v>
      </c>
      <c r="R333" s="4">
        <v>45017</v>
      </c>
      <c r="S333" s="3">
        <v>2761900</v>
      </c>
      <c r="T333" s="3">
        <v>38.11</v>
      </c>
    </row>
    <row r="334" spans="1:20" hidden="1" x14ac:dyDescent="0.3">
      <c r="A334" s="1">
        <v>45044</v>
      </c>
      <c r="B334" s="2" t="s">
        <v>29</v>
      </c>
      <c r="C334" s="2" t="s">
        <v>30</v>
      </c>
      <c r="D334" s="2" t="s">
        <v>37</v>
      </c>
      <c r="E334" s="2" t="s">
        <v>38</v>
      </c>
      <c r="F334" s="2" t="s">
        <v>24</v>
      </c>
      <c r="G334">
        <v>66</v>
      </c>
      <c r="H334">
        <v>423</v>
      </c>
      <c r="I334">
        <v>64</v>
      </c>
      <c r="J334" s="3">
        <v>8685000</v>
      </c>
      <c r="K334" s="3">
        <v>555840000</v>
      </c>
      <c r="L334" s="2" t="s">
        <v>92</v>
      </c>
      <c r="M334" s="2" t="s">
        <v>26</v>
      </c>
      <c r="N334">
        <v>2023</v>
      </c>
      <c r="O334" s="2" t="s">
        <v>143</v>
      </c>
      <c r="P334" s="2" t="s">
        <v>144</v>
      </c>
      <c r="Q334">
        <v>4</v>
      </c>
      <c r="R334" s="4">
        <v>45017</v>
      </c>
      <c r="S334" s="3">
        <v>8685000</v>
      </c>
      <c r="T334" s="3">
        <v>55.58</v>
      </c>
    </row>
    <row r="335" spans="1:20" hidden="1" x14ac:dyDescent="0.3">
      <c r="A335" s="1">
        <v>45046</v>
      </c>
      <c r="B335" s="2" t="s">
        <v>46</v>
      </c>
      <c r="C335" s="2" t="s">
        <v>137</v>
      </c>
      <c r="D335" s="2" t="s">
        <v>70</v>
      </c>
      <c r="E335" s="2" t="s">
        <v>71</v>
      </c>
      <c r="F335" s="2" t="s">
        <v>24</v>
      </c>
      <c r="G335">
        <v>50</v>
      </c>
      <c r="H335">
        <v>46</v>
      </c>
      <c r="I335">
        <v>167</v>
      </c>
      <c r="J335" s="3">
        <v>2063900</v>
      </c>
      <c r="K335" s="3">
        <v>344671300</v>
      </c>
      <c r="L335" s="2" t="s">
        <v>33</v>
      </c>
      <c r="M335" s="2" t="s">
        <v>34</v>
      </c>
      <c r="N335">
        <v>2023</v>
      </c>
      <c r="O335" s="2" t="s">
        <v>143</v>
      </c>
      <c r="P335" s="2" t="s">
        <v>144</v>
      </c>
      <c r="Q335">
        <v>4</v>
      </c>
      <c r="R335" s="4">
        <v>45017</v>
      </c>
      <c r="S335" s="3">
        <v>2063900</v>
      </c>
      <c r="T335" s="3">
        <v>34.47</v>
      </c>
    </row>
    <row r="336" spans="1:20" hidden="1" x14ac:dyDescent="0.3">
      <c r="A336" s="1">
        <v>45047</v>
      </c>
      <c r="B336" s="2" t="s">
        <v>108</v>
      </c>
      <c r="C336" s="2" t="s">
        <v>123</v>
      </c>
      <c r="D336" s="2" t="s">
        <v>82</v>
      </c>
      <c r="E336" s="2" t="s">
        <v>141</v>
      </c>
      <c r="F336" s="2" t="s">
        <v>138</v>
      </c>
      <c r="G336">
        <v>59</v>
      </c>
      <c r="H336">
        <v>55</v>
      </c>
      <c r="I336">
        <v>151</v>
      </c>
      <c r="J336" s="3">
        <v>2497300</v>
      </c>
      <c r="K336" s="3">
        <v>377092300</v>
      </c>
      <c r="L336" s="2" t="s">
        <v>33</v>
      </c>
      <c r="M336" s="2" t="s">
        <v>26</v>
      </c>
      <c r="N336">
        <v>2023</v>
      </c>
      <c r="O336" s="2" t="s">
        <v>143</v>
      </c>
      <c r="P336" s="2" t="s">
        <v>145</v>
      </c>
      <c r="Q336">
        <v>5</v>
      </c>
      <c r="R336" s="4">
        <v>45047</v>
      </c>
      <c r="S336" s="3">
        <v>2497300</v>
      </c>
      <c r="T336" s="3">
        <v>37.71</v>
      </c>
    </row>
    <row r="337" spans="1:20" hidden="1" x14ac:dyDescent="0.3">
      <c r="A337" s="1">
        <v>45047</v>
      </c>
      <c r="B337" s="2" t="s">
        <v>35</v>
      </c>
      <c r="C337" s="2" t="s">
        <v>36</v>
      </c>
      <c r="D337" s="2" t="s">
        <v>42</v>
      </c>
      <c r="E337" s="2" t="s">
        <v>43</v>
      </c>
      <c r="F337" s="2" t="s">
        <v>24</v>
      </c>
      <c r="G337">
        <v>3</v>
      </c>
      <c r="H337">
        <v>135</v>
      </c>
      <c r="I337">
        <v>172</v>
      </c>
      <c r="J337" s="3">
        <v>122300</v>
      </c>
      <c r="K337" s="3">
        <v>21035600</v>
      </c>
      <c r="L337" s="2" t="s">
        <v>33</v>
      </c>
      <c r="M337" s="2" t="s">
        <v>26</v>
      </c>
      <c r="N337">
        <v>2023</v>
      </c>
      <c r="O337" s="2" t="s">
        <v>143</v>
      </c>
      <c r="P337" s="2" t="s">
        <v>145</v>
      </c>
      <c r="Q337">
        <v>5</v>
      </c>
      <c r="R337" s="4">
        <v>45047</v>
      </c>
      <c r="S337" s="3">
        <v>122300</v>
      </c>
      <c r="T337" s="3">
        <v>2.1</v>
      </c>
    </row>
    <row r="338" spans="1:20" hidden="1" x14ac:dyDescent="0.3">
      <c r="A338" s="1">
        <v>45048</v>
      </c>
      <c r="B338" s="2" t="s">
        <v>29</v>
      </c>
      <c r="C338" s="2" t="s">
        <v>30</v>
      </c>
      <c r="D338" s="2" t="s">
        <v>31</v>
      </c>
      <c r="E338" s="2" t="s">
        <v>124</v>
      </c>
      <c r="F338" s="2" t="s">
        <v>24</v>
      </c>
      <c r="G338">
        <v>3</v>
      </c>
      <c r="H338">
        <v>151</v>
      </c>
      <c r="I338">
        <v>72</v>
      </c>
      <c r="J338" s="3">
        <v>118200</v>
      </c>
      <c r="K338" s="3">
        <v>8510400</v>
      </c>
      <c r="L338" s="2" t="s">
        <v>33</v>
      </c>
      <c r="M338" s="2" t="s">
        <v>26</v>
      </c>
      <c r="N338">
        <v>2023</v>
      </c>
      <c r="O338" s="2" t="s">
        <v>143</v>
      </c>
      <c r="P338" s="2" t="s">
        <v>145</v>
      </c>
      <c r="Q338">
        <v>5</v>
      </c>
      <c r="R338" s="4">
        <v>45047</v>
      </c>
      <c r="S338" s="3">
        <v>118200</v>
      </c>
      <c r="T338" s="3">
        <v>0.85</v>
      </c>
    </row>
    <row r="339" spans="1:20" hidden="1" x14ac:dyDescent="0.3">
      <c r="A339" s="1">
        <v>45048</v>
      </c>
      <c r="B339" s="2" t="s">
        <v>46</v>
      </c>
      <c r="C339" s="2" t="s">
        <v>110</v>
      </c>
      <c r="D339" s="2" t="s">
        <v>63</v>
      </c>
      <c r="E339" s="2" t="s">
        <v>64</v>
      </c>
      <c r="F339" s="2" t="s">
        <v>24</v>
      </c>
      <c r="G339">
        <v>3</v>
      </c>
      <c r="H339">
        <v>127</v>
      </c>
      <c r="I339">
        <v>119</v>
      </c>
      <c r="J339" s="3">
        <v>173700</v>
      </c>
      <c r="K339" s="3">
        <v>20670300</v>
      </c>
      <c r="L339" s="2" t="s">
        <v>25</v>
      </c>
      <c r="M339" s="2" t="s">
        <v>77</v>
      </c>
      <c r="N339">
        <v>2023</v>
      </c>
      <c r="O339" s="2" t="s">
        <v>143</v>
      </c>
      <c r="P339" s="2" t="s">
        <v>145</v>
      </c>
      <c r="Q339">
        <v>5</v>
      </c>
      <c r="R339" s="4">
        <v>45047</v>
      </c>
      <c r="S339" s="3">
        <v>173700</v>
      </c>
      <c r="T339" s="3">
        <v>2.0699999999999998</v>
      </c>
    </row>
    <row r="340" spans="1:20" hidden="1" x14ac:dyDescent="0.3">
      <c r="A340" s="1">
        <v>45048</v>
      </c>
      <c r="B340" s="2" t="s">
        <v>35</v>
      </c>
      <c r="C340" s="2" t="s">
        <v>87</v>
      </c>
      <c r="D340" s="2" t="s">
        <v>22</v>
      </c>
      <c r="E340" s="2" t="s">
        <v>23</v>
      </c>
      <c r="F340" s="2" t="s">
        <v>24</v>
      </c>
      <c r="G340">
        <v>82</v>
      </c>
      <c r="H340">
        <v>520</v>
      </c>
      <c r="I340">
        <v>4</v>
      </c>
      <c r="J340" s="3">
        <v>5816700</v>
      </c>
      <c r="K340" s="3">
        <v>23266800</v>
      </c>
      <c r="L340" s="2" t="s">
        <v>33</v>
      </c>
      <c r="M340" s="2" t="s">
        <v>26</v>
      </c>
      <c r="N340">
        <v>2023</v>
      </c>
      <c r="O340" s="2" t="s">
        <v>143</v>
      </c>
      <c r="P340" s="2" t="s">
        <v>145</v>
      </c>
      <c r="Q340">
        <v>5</v>
      </c>
      <c r="R340" s="4">
        <v>45047</v>
      </c>
      <c r="S340" s="3">
        <v>5816700</v>
      </c>
      <c r="T340" s="3">
        <v>2.33</v>
      </c>
    </row>
    <row r="341" spans="1:20" hidden="1" x14ac:dyDescent="0.3">
      <c r="A341" s="1">
        <v>45048</v>
      </c>
      <c r="B341" s="2" t="s">
        <v>29</v>
      </c>
      <c r="C341" s="2" t="s">
        <v>65</v>
      </c>
      <c r="D341" s="2" t="s">
        <v>31</v>
      </c>
      <c r="E341" s="2" t="s">
        <v>124</v>
      </c>
      <c r="F341" s="2" t="s">
        <v>24</v>
      </c>
      <c r="G341">
        <v>3</v>
      </c>
      <c r="H341">
        <v>151</v>
      </c>
      <c r="I341">
        <v>37</v>
      </c>
      <c r="J341" s="3">
        <v>104100</v>
      </c>
      <c r="K341" s="3">
        <v>3851700</v>
      </c>
      <c r="L341" s="2" t="s">
        <v>33</v>
      </c>
      <c r="M341" s="2" t="s">
        <v>97</v>
      </c>
      <c r="N341">
        <v>2023</v>
      </c>
      <c r="O341" s="2" t="s">
        <v>143</v>
      </c>
      <c r="P341" s="2" t="s">
        <v>145</v>
      </c>
      <c r="Q341">
        <v>5</v>
      </c>
      <c r="R341" s="4">
        <v>45047</v>
      </c>
      <c r="S341" s="3">
        <v>104100</v>
      </c>
      <c r="T341" s="3">
        <v>0.39</v>
      </c>
    </row>
    <row r="342" spans="1:20" hidden="1" x14ac:dyDescent="0.3">
      <c r="A342" s="1">
        <v>45048</v>
      </c>
      <c r="B342" s="2" t="s">
        <v>35</v>
      </c>
      <c r="C342" s="2" t="s">
        <v>121</v>
      </c>
      <c r="D342" s="2" t="s">
        <v>54</v>
      </c>
      <c r="E342" s="2" t="s">
        <v>55</v>
      </c>
      <c r="F342" s="2" t="s">
        <v>24</v>
      </c>
      <c r="G342">
        <v>30</v>
      </c>
      <c r="H342">
        <v>320</v>
      </c>
      <c r="I342">
        <v>19</v>
      </c>
      <c r="J342" s="3">
        <v>1636700</v>
      </c>
      <c r="K342" s="3">
        <v>31097300</v>
      </c>
      <c r="L342" s="2" t="s">
        <v>33</v>
      </c>
      <c r="M342" s="2" t="s">
        <v>26</v>
      </c>
      <c r="N342">
        <v>2023</v>
      </c>
      <c r="O342" s="2" t="s">
        <v>143</v>
      </c>
      <c r="P342" s="2" t="s">
        <v>145</v>
      </c>
      <c r="Q342">
        <v>5</v>
      </c>
      <c r="R342" s="4">
        <v>45047</v>
      </c>
      <c r="S342" s="3">
        <v>1636700</v>
      </c>
      <c r="T342" s="3">
        <v>3.11</v>
      </c>
    </row>
    <row r="343" spans="1:20" hidden="1" x14ac:dyDescent="0.3">
      <c r="A343" s="1">
        <v>45048</v>
      </c>
      <c r="B343" s="2" t="s">
        <v>75</v>
      </c>
      <c r="C343" s="2" t="s">
        <v>76</v>
      </c>
      <c r="D343" s="2" t="s">
        <v>37</v>
      </c>
      <c r="E343" s="2" t="s">
        <v>38</v>
      </c>
      <c r="F343" s="2" t="s">
        <v>24</v>
      </c>
      <c r="G343">
        <v>66</v>
      </c>
      <c r="H343">
        <v>423</v>
      </c>
      <c r="I343">
        <v>19</v>
      </c>
      <c r="J343" s="3">
        <v>7767200</v>
      </c>
      <c r="K343" s="3">
        <v>147576800</v>
      </c>
      <c r="L343" s="2" t="s">
        <v>25</v>
      </c>
      <c r="M343" s="2" t="s">
        <v>97</v>
      </c>
      <c r="N343">
        <v>2023</v>
      </c>
      <c r="O343" s="2" t="s">
        <v>143</v>
      </c>
      <c r="P343" s="2" t="s">
        <v>145</v>
      </c>
      <c r="Q343">
        <v>5</v>
      </c>
      <c r="R343" s="4">
        <v>45047</v>
      </c>
      <c r="S343" s="3">
        <v>7767200</v>
      </c>
      <c r="T343" s="3">
        <v>14.76</v>
      </c>
    </row>
    <row r="344" spans="1:20" hidden="1" x14ac:dyDescent="0.3">
      <c r="A344" s="1">
        <v>45049</v>
      </c>
      <c r="B344" s="2" t="s">
        <v>29</v>
      </c>
      <c r="C344" s="2" t="s">
        <v>104</v>
      </c>
      <c r="D344" s="2" t="s">
        <v>82</v>
      </c>
      <c r="E344" s="2" t="s">
        <v>141</v>
      </c>
      <c r="F344" s="2" t="s">
        <v>24</v>
      </c>
      <c r="G344">
        <v>59</v>
      </c>
      <c r="H344">
        <v>55</v>
      </c>
      <c r="I344">
        <v>44</v>
      </c>
      <c r="J344" s="3">
        <v>2382100</v>
      </c>
      <c r="K344" s="3">
        <v>104812400</v>
      </c>
      <c r="L344" s="2" t="s">
        <v>33</v>
      </c>
      <c r="M344" s="2" t="s">
        <v>26</v>
      </c>
      <c r="N344">
        <v>2023</v>
      </c>
      <c r="O344" s="2" t="s">
        <v>143</v>
      </c>
      <c r="P344" s="2" t="s">
        <v>145</v>
      </c>
      <c r="Q344">
        <v>5</v>
      </c>
      <c r="R344" s="4">
        <v>45047</v>
      </c>
      <c r="S344" s="3">
        <v>2382100</v>
      </c>
      <c r="T344" s="3">
        <v>10.48</v>
      </c>
    </row>
    <row r="345" spans="1:20" hidden="1" x14ac:dyDescent="0.3">
      <c r="A345" s="1">
        <v>45049</v>
      </c>
      <c r="B345" s="2" t="s">
        <v>46</v>
      </c>
      <c r="C345" s="2" t="s">
        <v>110</v>
      </c>
      <c r="D345" s="2" t="s">
        <v>50</v>
      </c>
      <c r="E345" s="2" t="s">
        <v>51</v>
      </c>
      <c r="F345" s="2" t="s">
        <v>72</v>
      </c>
      <c r="G345">
        <v>77</v>
      </c>
      <c r="H345">
        <v>528</v>
      </c>
      <c r="I345">
        <v>72</v>
      </c>
      <c r="J345" s="3">
        <v>4888500</v>
      </c>
      <c r="K345" s="3">
        <v>351972000</v>
      </c>
      <c r="L345" s="2" t="s">
        <v>33</v>
      </c>
      <c r="M345" s="2" t="s">
        <v>34</v>
      </c>
      <c r="N345">
        <v>2023</v>
      </c>
      <c r="O345" s="2" t="s">
        <v>143</v>
      </c>
      <c r="P345" s="2" t="s">
        <v>145</v>
      </c>
      <c r="Q345">
        <v>5</v>
      </c>
      <c r="R345" s="4">
        <v>45047</v>
      </c>
      <c r="S345" s="3">
        <v>4888500</v>
      </c>
      <c r="T345" s="3">
        <v>35.200000000000003</v>
      </c>
    </row>
    <row r="346" spans="1:20" hidden="1" x14ac:dyDescent="0.3">
      <c r="A346" s="1">
        <v>45049</v>
      </c>
      <c r="B346" s="2" t="s">
        <v>40</v>
      </c>
      <c r="C346" s="2" t="s">
        <v>41</v>
      </c>
      <c r="D346" s="2" t="s">
        <v>42</v>
      </c>
      <c r="E346" s="2" t="s">
        <v>43</v>
      </c>
      <c r="F346" s="2" t="s">
        <v>24</v>
      </c>
      <c r="G346">
        <v>3</v>
      </c>
      <c r="H346">
        <v>135</v>
      </c>
      <c r="I346">
        <v>21</v>
      </c>
      <c r="J346" s="3">
        <v>132500</v>
      </c>
      <c r="K346" s="3">
        <v>2782500</v>
      </c>
      <c r="L346" s="2" t="s">
        <v>33</v>
      </c>
      <c r="M346" s="2" t="s">
        <v>77</v>
      </c>
      <c r="N346">
        <v>2023</v>
      </c>
      <c r="O346" s="2" t="s">
        <v>143</v>
      </c>
      <c r="P346" s="2" t="s">
        <v>145</v>
      </c>
      <c r="Q346">
        <v>5</v>
      </c>
      <c r="R346" s="4">
        <v>45047</v>
      </c>
      <c r="S346" s="3">
        <v>132500</v>
      </c>
      <c r="T346" s="3">
        <v>0.28000000000000003</v>
      </c>
    </row>
    <row r="347" spans="1:20" hidden="1" x14ac:dyDescent="0.3">
      <c r="A347" s="1">
        <v>45050</v>
      </c>
      <c r="B347" s="2" t="s">
        <v>84</v>
      </c>
      <c r="C347" s="2" t="s">
        <v>93</v>
      </c>
      <c r="D347" s="2" t="s">
        <v>22</v>
      </c>
      <c r="E347" s="2" t="s">
        <v>23</v>
      </c>
      <c r="F347" s="2" t="s">
        <v>72</v>
      </c>
      <c r="G347">
        <v>82</v>
      </c>
      <c r="H347">
        <v>520</v>
      </c>
      <c r="I347">
        <v>22</v>
      </c>
      <c r="J347" s="3">
        <v>5881600</v>
      </c>
      <c r="K347" s="3">
        <v>129395200</v>
      </c>
      <c r="L347" s="2" t="s">
        <v>33</v>
      </c>
      <c r="M347" s="2" t="s">
        <v>26</v>
      </c>
      <c r="N347">
        <v>2023</v>
      </c>
      <c r="O347" s="2" t="s">
        <v>143</v>
      </c>
      <c r="P347" s="2" t="s">
        <v>145</v>
      </c>
      <c r="Q347">
        <v>5</v>
      </c>
      <c r="R347" s="4">
        <v>45047</v>
      </c>
      <c r="S347" s="3">
        <v>5881600</v>
      </c>
      <c r="T347" s="3">
        <v>12.94</v>
      </c>
    </row>
    <row r="348" spans="1:20" hidden="1" x14ac:dyDescent="0.3">
      <c r="A348" s="1">
        <v>45051</v>
      </c>
      <c r="B348" s="2" t="s">
        <v>106</v>
      </c>
      <c r="C348" s="2" t="s">
        <v>120</v>
      </c>
      <c r="D348" s="2" t="s">
        <v>22</v>
      </c>
      <c r="E348" s="2" t="s">
        <v>23</v>
      </c>
      <c r="F348" s="2" t="s">
        <v>24</v>
      </c>
      <c r="G348">
        <v>82</v>
      </c>
      <c r="H348">
        <v>520</v>
      </c>
      <c r="I348">
        <v>7</v>
      </c>
      <c r="J348" s="3">
        <v>6052300</v>
      </c>
      <c r="K348" s="3">
        <v>42366100</v>
      </c>
      <c r="L348" s="2" t="s">
        <v>25</v>
      </c>
      <c r="M348" s="2" t="s">
        <v>77</v>
      </c>
      <c r="N348">
        <v>2023</v>
      </c>
      <c r="O348" s="2" t="s">
        <v>143</v>
      </c>
      <c r="P348" s="2" t="s">
        <v>145</v>
      </c>
      <c r="Q348">
        <v>5</v>
      </c>
      <c r="R348" s="4">
        <v>45047</v>
      </c>
      <c r="S348" s="3">
        <v>6052300</v>
      </c>
      <c r="T348" s="3">
        <v>4.24</v>
      </c>
    </row>
    <row r="349" spans="1:20" hidden="1" x14ac:dyDescent="0.3">
      <c r="A349" s="1">
        <v>45052</v>
      </c>
      <c r="B349" s="2" t="s">
        <v>20</v>
      </c>
      <c r="C349" s="2" t="s">
        <v>112</v>
      </c>
      <c r="D349" s="2" t="s">
        <v>79</v>
      </c>
      <c r="E349" s="2" t="s">
        <v>80</v>
      </c>
      <c r="F349" s="2" t="s">
        <v>24</v>
      </c>
      <c r="G349">
        <v>69</v>
      </c>
      <c r="H349">
        <v>418</v>
      </c>
      <c r="I349">
        <v>21</v>
      </c>
      <c r="J349" s="3">
        <v>5368900</v>
      </c>
      <c r="K349" s="3">
        <v>112746900</v>
      </c>
      <c r="L349" s="2" t="s">
        <v>25</v>
      </c>
      <c r="M349" s="2" t="s">
        <v>77</v>
      </c>
      <c r="N349">
        <v>2023</v>
      </c>
      <c r="O349" s="2" t="s">
        <v>143</v>
      </c>
      <c r="P349" s="2" t="s">
        <v>145</v>
      </c>
      <c r="Q349">
        <v>5</v>
      </c>
      <c r="R349" s="4">
        <v>45047</v>
      </c>
      <c r="S349" s="3">
        <v>5368900</v>
      </c>
      <c r="T349" s="3">
        <v>11.27</v>
      </c>
    </row>
    <row r="350" spans="1:20" hidden="1" x14ac:dyDescent="0.3">
      <c r="A350" s="1">
        <v>45053</v>
      </c>
      <c r="B350" s="2" t="s">
        <v>29</v>
      </c>
      <c r="C350" s="2" t="s">
        <v>30</v>
      </c>
      <c r="D350" s="2" t="s">
        <v>82</v>
      </c>
      <c r="E350" s="2" t="s">
        <v>83</v>
      </c>
      <c r="F350" s="2" t="s">
        <v>39</v>
      </c>
      <c r="G350">
        <v>40</v>
      </c>
      <c r="H350">
        <v>39</v>
      </c>
      <c r="I350">
        <v>25</v>
      </c>
      <c r="J350" s="3">
        <v>2004300</v>
      </c>
      <c r="K350" s="3">
        <v>50107500</v>
      </c>
      <c r="L350" s="2" t="s">
        <v>92</v>
      </c>
      <c r="M350" s="2" t="s">
        <v>77</v>
      </c>
      <c r="N350">
        <v>2023</v>
      </c>
      <c r="O350" s="2" t="s">
        <v>143</v>
      </c>
      <c r="P350" s="2" t="s">
        <v>145</v>
      </c>
      <c r="Q350">
        <v>5</v>
      </c>
      <c r="R350" s="4">
        <v>45047</v>
      </c>
      <c r="S350" s="3">
        <v>2004300</v>
      </c>
      <c r="T350" s="3">
        <v>5.01</v>
      </c>
    </row>
    <row r="351" spans="1:20" hidden="1" x14ac:dyDescent="0.3">
      <c r="A351" s="1">
        <v>45054</v>
      </c>
      <c r="B351" s="2" t="s">
        <v>90</v>
      </c>
      <c r="C351" s="2" t="s">
        <v>91</v>
      </c>
      <c r="D351" s="2" t="s">
        <v>94</v>
      </c>
      <c r="E351" s="2" t="s">
        <v>115</v>
      </c>
      <c r="F351" s="2" t="s">
        <v>24</v>
      </c>
      <c r="G351">
        <v>24</v>
      </c>
      <c r="H351">
        <v>24</v>
      </c>
      <c r="I351">
        <v>93</v>
      </c>
      <c r="J351" s="3">
        <v>1334000</v>
      </c>
      <c r="K351" s="3">
        <v>124062000</v>
      </c>
      <c r="L351" s="2" t="s">
        <v>33</v>
      </c>
      <c r="M351" s="2" t="s">
        <v>34</v>
      </c>
      <c r="N351">
        <v>2023</v>
      </c>
      <c r="O351" s="2" t="s">
        <v>143</v>
      </c>
      <c r="P351" s="2" t="s">
        <v>145</v>
      </c>
      <c r="Q351">
        <v>5</v>
      </c>
      <c r="R351" s="4">
        <v>45047</v>
      </c>
      <c r="S351" s="3">
        <v>1334000</v>
      </c>
      <c r="T351" s="3">
        <v>12.41</v>
      </c>
    </row>
    <row r="352" spans="1:20" hidden="1" x14ac:dyDescent="0.3">
      <c r="A352" s="1">
        <v>45054</v>
      </c>
      <c r="B352" s="2" t="s">
        <v>90</v>
      </c>
      <c r="C352" s="2" t="s">
        <v>114</v>
      </c>
      <c r="D352" s="2" t="s">
        <v>22</v>
      </c>
      <c r="E352" s="2" t="s">
        <v>23</v>
      </c>
      <c r="F352" s="2" t="s">
        <v>39</v>
      </c>
      <c r="G352">
        <v>82</v>
      </c>
      <c r="H352">
        <v>520</v>
      </c>
      <c r="I352">
        <v>70</v>
      </c>
      <c r="J352" s="3">
        <v>6233900</v>
      </c>
      <c r="K352" s="3">
        <v>436373000</v>
      </c>
      <c r="L352" s="2" t="s">
        <v>33</v>
      </c>
      <c r="M352" s="2" t="s">
        <v>26</v>
      </c>
      <c r="N352">
        <v>2023</v>
      </c>
      <c r="O352" s="2" t="s">
        <v>143</v>
      </c>
      <c r="P352" s="2" t="s">
        <v>145</v>
      </c>
      <c r="Q352">
        <v>5</v>
      </c>
      <c r="R352" s="4">
        <v>45047</v>
      </c>
      <c r="S352" s="3">
        <v>6233900</v>
      </c>
      <c r="T352" s="3">
        <v>43.64</v>
      </c>
    </row>
    <row r="353" spans="1:20" hidden="1" x14ac:dyDescent="0.3">
      <c r="A353" s="1">
        <v>45054</v>
      </c>
      <c r="B353" s="2" t="s">
        <v>48</v>
      </c>
      <c r="C353" s="2" t="s">
        <v>69</v>
      </c>
      <c r="D353" s="2" t="s">
        <v>54</v>
      </c>
      <c r="E353" s="2" t="s">
        <v>55</v>
      </c>
      <c r="F353" s="2" t="s">
        <v>138</v>
      </c>
      <c r="G353">
        <v>30</v>
      </c>
      <c r="H353">
        <v>320</v>
      </c>
      <c r="I353">
        <v>40</v>
      </c>
      <c r="J353" s="3">
        <v>1330000</v>
      </c>
      <c r="K353" s="3">
        <v>53200000</v>
      </c>
      <c r="L353" s="2" t="s">
        <v>33</v>
      </c>
      <c r="M353" s="2" t="s">
        <v>34</v>
      </c>
      <c r="N353">
        <v>2023</v>
      </c>
      <c r="O353" s="2" t="s">
        <v>143</v>
      </c>
      <c r="P353" s="2" t="s">
        <v>145</v>
      </c>
      <c r="Q353">
        <v>5</v>
      </c>
      <c r="R353" s="4">
        <v>45047</v>
      </c>
      <c r="S353" s="3">
        <v>1330000</v>
      </c>
      <c r="T353" s="3">
        <v>5.32</v>
      </c>
    </row>
    <row r="354" spans="1:20" hidden="1" x14ac:dyDescent="0.3">
      <c r="A354" s="1">
        <v>45055</v>
      </c>
      <c r="B354" s="2" t="s">
        <v>40</v>
      </c>
      <c r="C354" s="2" t="s">
        <v>136</v>
      </c>
      <c r="D354" s="2" t="s">
        <v>57</v>
      </c>
      <c r="E354" s="2" t="s">
        <v>86</v>
      </c>
      <c r="F354" s="2" t="s">
        <v>39</v>
      </c>
      <c r="G354">
        <v>48</v>
      </c>
      <c r="H354">
        <v>39</v>
      </c>
      <c r="I354">
        <v>124</v>
      </c>
      <c r="J354" s="3">
        <v>2612300</v>
      </c>
      <c r="K354" s="3">
        <v>323925200</v>
      </c>
      <c r="L354" s="2" t="s">
        <v>33</v>
      </c>
      <c r="M354" s="2" t="s">
        <v>26</v>
      </c>
      <c r="N354">
        <v>2023</v>
      </c>
      <c r="O354" s="2" t="s">
        <v>143</v>
      </c>
      <c r="P354" s="2" t="s">
        <v>145</v>
      </c>
      <c r="Q354">
        <v>5</v>
      </c>
      <c r="R354" s="4">
        <v>45047</v>
      </c>
      <c r="S354" s="3">
        <v>2612300</v>
      </c>
      <c r="T354" s="3">
        <v>32.39</v>
      </c>
    </row>
    <row r="355" spans="1:20" hidden="1" x14ac:dyDescent="0.3">
      <c r="A355" s="1">
        <v>45055</v>
      </c>
      <c r="B355" s="2" t="s">
        <v>40</v>
      </c>
      <c r="C355" s="2" t="s">
        <v>78</v>
      </c>
      <c r="D355" s="2" t="s">
        <v>31</v>
      </c>
      <c r="E355" s="2" t="s">
        <v>124</v>
      </c>
      <c r="F355" s="2" t="s">
        <v>24</v>
      </c>
      <c r="G355">
        <v>3</v>
      </c>
      <c r="H355">
        <v>151</v>
      </c>
      <c r="I355">
        <v>134</v>
      </c>
      <c r="J355" s="3">
        <v>103700</v>
      </c>
      <c r="K355" s="3">
        <v>13895800</v>
      </c>
      <c r="L355" s="2" t="s">
        <v>25</v>
      </c>
      <c r="M355" s="2" t="s">
        <v>77</v>
      </c>
      <c r="N355">
        <v>2023</v>
      </c>
      <c r="O355" s="2" t="s">
        <v>143</v>
      </c>
      <c r="P355" s="2" t="s">
        <v>145</v>
      </c>
      <c r="Q355">
        <v>5</v>
      </c>
      <c r="R355" s="4">
        <v>45047</v>
      </c>
      <c r="S355" s="3">
        <v>103700</v>
      </c>
      <c r="T355" s="3">
        <v>1.39</v>
      </c>
    </row>
    <row r="356" spans="1:20" hidden="1" x14ac:dyDescent="0.3">
      <c r="A356" s="1">
        <v>45055</v>
      </c>
      <c r="B356" s="2" t="s">
        <v>35</v>
      </c>
      <c r="C356" s="2" t="s">
        <v>87</v>
      </c>
      <c r="D356" s="2" t="s">
        <v>50</v>
      </c>
      <c r="E356" s="2" t="s">
        <v>51</v>
      </c>
      <c r="F356" s="2" t="s">
        <v>24</v>
      </c>
      <c r="G356">
        <v>77</v>
      </c>
      <c r="H356">
        <v>528</v>
      </c>
      <c r="I356">
        <v>77</v>
      </c>
      <c r="J356" s="3">
        <v>5670100</v>
      </c>
      <c r="K356" s="3">
        <v>436597700</v>
      </c>
      <c r="L356" s="2" t="s">
        <v>33</v>
      </c>
      <c r="M356" s="2" t="s">
        <v>34</v>
      </c>
      <c r="N356">
        <v>2023</v>
      </c>
      <c r="O356" s="2" t="s">
        <v>143</v>
      </c>
      <c r="P356" s="2" t="s">
        <v>145</v>
      </c>
      <c r="Q356">
        <v>5</v>
      </c>
      <c r="R356" s="4">
        <v>45047</v>
      </c>
      <c r="S356" s="3">
        <v>5670100</v>
      </c>
      <c r="T356" s="3">
        <v>43.66</v>
      </c>
    </row>
    <row r="357" spans="1:20" hidden="1" x14ac:dyDescent="0.3">
      <c r="A357" s="1">
        <v>45055</v>
      </c>
      <c r="B357" s="2" t="s">
        <v>29</v>
      </c>
      <c r="C357" s="2" t="s">
        <v>65</v>
      </c>
      <c r="D357" s="2" t="s">
        <v>70</v>
      </c>
      <c r="E357" s="2" t="s">
        <v>74</v>
      </c>
      <c r="F357" s="2" t="s">
        <v>24</v>
      </c>
      <c r="G357">
        <v>25</v>
      </c>
      <c r="H357">
        <v>32</v>
      </c>
      <c r="I357">
        <v>35</v>
      </c>
      <c r="J357" s="3">
        <v>1294400</v>
      </c>
      <c r="K357" s="3">
        <v>45304000</v>
      </c>
      <c r="L357" s="2" t="s">
        <v>25</v>
      </c>
      <c r="M357" s="2" t="s">
        <v>77</v>
      </c>
      <c r="N357">
        <v>2023</v>
      </c>
      <c r="O357" s="2" t="s">
        <v>143</v>
      </c>
      <c r="P357" s="2" t="s">
        <v>145</v>
      </c>
      <c r="Q357">
        <v>5</v>
      </c>
      <c r="R357" s="4">
        <v>45047</v>
      </c>
      <c r="S357" s="3">
        <v>1294400</v>
      </c>
      <c r="T357" s="3">
        <v>4.53</v>
      </c>
    </row>
    <row r="358" spans="1:20" hidden="1" x14ac:dyDescent="0.3">
      <c r="A358" s="1">
        <v>45055</v>
      </c>
      <c r="B358" s="2" t="s">
        <v>48</v>
      </c>
      <c r="C358" s="2" t="s">
        <v>98</v>
      </c>
      <c r="D358" s="2" t="s">
        <v>88</v>
      </c>
      <c r="E358" s="2" t="s">
        <v>89</v>
      </c>
      <c r="F358" s="2" t="s">
        <v>24</v>
      </c>
      <c r="G358">
        <v>82</v>
      </c>
      <c r="H358">
        <v>580</v>
      </c>
      <c r="I358">
        <v>3</v>
      </c>
      <c r="J358" s="3">
        <v>4857600</v>
      </c>
      <c r="K358" s="3">
        <v>14572800</v>
      </c>
      <c r="L358" s="2" t="s">
        <v>25</v>
      </c>
      <c r="M358" s="2" t="s">
        <v>26</v>
      </c>
      <c r="N358">
        <v>2023</v>
      </c>
      <c r="O358" s="2" t="s">
        <v>143</v>
      </c>
      <c r="P358" s="2" t="s">
        <v>145</v>
      </c>
      <c r="Q358">
        <v>5</v>
      </c>
      <c r="R358" s="4">
        <v>45047</v>
      </c>
      <c r="S358" s="3">
        <v>4857600</v>
      </c>
      <c r="T358" s="3">
        <v>1.46</v>
      </c>
    </row>
    <row r="359" spans="1:20" hidden="1" x14ac:dyDescent="0.3">
      <c r="A359" s="1">
        <v>45055</v>
      </c>
      <c r="B359" s="2" t="s">
        <v>29</v>
      </c>
      <c r="C359" s="2" t="s">
        <v>104</v>
      </c>
      <c r="D359" s="2" t="s">
        <v>37</v>
      </c>
      <c r="E359" s="2" t="s">
        <v>38</v>
      </c>
      <c r="F359" s="2" t="s">
        <v>24</v>
      </c>
      <c r="G359">
        <v>66</v>
      </c>
      <c r="H359">
        <v>423</v>
      </c>
      <c r="I359">
        <v>10</v>
      </c>
      <c r="J359" s="3">
        <v>7033800</v>
      </c>
      <c r="K359" s="3">
        <v>70338000</v>
      </c>
      <c r="L359" s="2" t="s">
        <v>25</v>
      </c>
      <c r="M359" s="2" t="s">
        <v>77</v>
      </c>
      <c r="N359">
        <v>2023</v>
      </c>
      <c r="O359" s="2" t="s">
        <v>143</v>
      </c>
      <c r="P359" s="2" t="s">
        <v>145</v>
      </c>
      <c r="Q359">
        <v>5</v>
      </c>
      <c r="R359" s="4">
        <v>45047</v>
      </c>
      <c r="S359" s="3">
        <v>7033800</v>
      </c>
      <c r="T359" s="3">
        <v>7.03</v>
      </c>
    </row>
    <row r="360" spans="1:20" hidden="1" x14ac:dyDescent="0.3">
      <c r="A360" s="1">
        <v>45056</v>
      </c>
      <c r="B360" s="2" t="s">
        <v>48</v>
      </c>
      <c r="C360" s="2" t="s">
        <v>49</v>
      </c>
      <c r="D360" s="2" t="s">
        <v>42</v>
      </c>
      <c r="E360" s="2" t="s">
        <v>43</v>
      </c>
      <c r="F360" s="2" t="s">
        <v>24</v>
      </c>
      <c r="G360">
        <v>3</v>
      </c>
      <c r="H360">
        <v>135</v>
      </c>
      <c r="I360">
        <v>164</v>
      </c>
      <c r="J360" s="3">
        <v>110300</v>
      </c>
      <c r="K360" s="3">
        <v>18089200</v>
      </c>
      <c r="L360" s="2" t="s">
        <v>33</v>
      </c>
      <c r="M360" s="2" t="s">
        <v>26</v>
      </c>
      <c r="N360">
        <v>2023</v>
      </c>
      <c r="O360" s="2" t="s">
        <v>143</v>
      </c>
      <c r="P360" s="2" t="s">
        <v>145</v>
      </c>
      <c r="Q360">
        <v>5</v>
      </c>
      <c r="R360" s="4">
        <v>45047</v>
      </c>
      <c r="S360" s="3">
        <v>110300</v>
      </c>
      <c r="T360" s="3">
        <v>1.81</v>
      </c>
    </row>
    <row r="361" spans="1:20" hidden="1" x14ac:dyDescent="0.3">
      <c r="A361" s="1">
        <v>45056</v>
      </c>
      <c r="B361" s="2" t="s">
        <v>35</v>
      </c>
      <c r="C361" s="2" t="s">
        <v>132</v>
      </c>
      <c r="D361" s="2" t="s">
        <v>70</v>
      </c>
      <c r="E361" s="2" t="s">
        <v>71</v>
      </c>
      <c r="F361" s="2" t="s">
        <v>72</v>
      </c>
      <c r="G361">
        <v>50</v>
      </c>
      <c r="H361">
        <v>46</v>
      </c>
      <c r="I361">
        <v>98</v>
      </c>
      <c r="J361" s="3">
        <v>2330500</v>
      </c>
      <c r="K361" s="3">
        <v>228389000</v>
      </c>
      <c r="L361" s="2" t="s">
        <v>33</v>
      </c>
      <c r="M361" s="2" t="s">
        <v>26</v>
      </c>
      <c r="N361">
        <v>2023</v>
      </c>
      <c r="O361" s="2" t="s">
        <v>143</v>
      </c>
      <c r="P361" s="2" t="s">
        <v>145</v>
      </c>
      <c r="Q361">
        <v>5</v>
      </c>
      <c r="R361" s="4">
        <v>45047</v>
      </c>
      <c r="S361" s="3">
        <v>2330500</v>
      </c>
      <c r="T361" s="3">
        <v>22.84</v>
      </c>
    </row>
    <row r="362" spans="1:20" hidden="1" x14ac:dyDescent="0.3">
      <c r="A362" s="1">
        <v>45057</v>
      </c>
      <c r="B362" s="2" t="s">
        <v>40</v>
      </c>
      <c r="C362" s="2" t="s">
        <v>41</v>
      </c>
      <c r="D362" s="2" t="s">
        <v>102</v>
      </c>
      <c r="E362" s="2" t="s">
        <v>103</v>
      </c>
      <c r="F362" s="2" t="s">
        <v>24</v>
      </c>
      <c r="G362">
        <v>5</v>
      </c>
      <c r="H362">
        <v>150</v>
      </c>
      <c r="I362">
        <v>111</v>
      </c>
      <c r="J362" s="3">
        <v>174700</v>
      </c>
      <c r="K362" s="3">
        <v>19391700</v>
      </c>
      <c r="L362" s="2" t="s">
        <v>33</v>
      </c>
      <c r="M362" s="2" t="s">
        <v>26</v>
      </c>
      <c r="N362">
        <v>2023</v>
      </c>
      <c r="O362" s="2" t="s">
        <v>143</v>
      </c>
      <c r="P362" s="2" t="s">
        <v>145</v>
      </c>
      <c r="Q362">
        <v>5</v>
      </c>
      <c r="R362" s="4">
        <v>45047</v>
      </c>
      <c r="S362" s="3">
        <v>174700</v>
      </c>
      <c r="T362" s="3">
        <v>1.94</v>
      </c>
    </row>
    <row r="363" spans="1:20" hidden="1" x14ac:dyDescent="0.3">
      <c r="A363" s="1">
        <v>45058</v>
      </c>
      <c r="B363" s="2" t="s">
        <v>84</v>
      </c>
      <c r="C363" s="2" t="s">
        <v>113</v>
      </c>
      <c r="D363" s="2" t="s">
        <v>57</v>
      </c>
      <c r="E363" s="2" t="s">
        <v>86</v>
      </c>
      <c r="F363" s="2" t="s">
        <v>39</v>
      </c>
      <c r="G363">
        <v>48</v>
      </c>
      <c r="H363">
        <v>39</v>
      </c>
      <c r="I363">
        <v>124</v>
      </c>
      <c r="J363" s="3">
        <v>2663700</v>
      </c>
      <c r="K363" s="3">
        <v>330298800</v>
      </c>
      <c r="L363" s="2" t="s">
        <v>25</v>
      </c>
      <c r="M363" s="2" t="s">
        <v>26</v>
      </c>
      <c r="N363">
        <v>2023</v>
      </c>
      <c r="O363" s="2" t="s">
        <v>143</v>
      </c>
      <c r="P363" s="2" t="s">
        <v>145</v>
      </c>
      <c r="Q363">
        <v>5</v>
      </c>
      <c r="R363" s="4">
        <v>45047</v>
      </c>
      <c r="S363" s="3">
        <v>2663700</v>
      </c>
      <c r="T363" s="3">
        <v>33.03</v>
      </c>
    </row>
    <row r="364" spans="1:20" hidden="1" x14ac:dyDescent="0.3">
      <c r="A364" s="1">
        <v>45058</v>
      </c>
      <c r="B364" s="2" t="s">
        <v>46</v>
      </c>
      <c r="C364" s="2" t="s">
        <v>110</v>
      </c>
      <c r="D364" s="2" t="s">
        <v>79</v>
      </c>
      <c r="E364" s="2" t="s">
        <v>80</v>
      </c>
      <c r="F364" s="2" t="s">
        <v>24</v>
      </c>
      <c r="G364">
        <v>69</v>
      </c>
      <c r="H364">
        <v>418</v>
      </c>
      <c r="I364">
        <v>39</v>
      </c>
      <c r="J364" s="3">
        <v>5693500</v>
      </c>
      <c r="K364" s="3">
        <v>222046500</v>
      </c>
      <c r="L364" s="2" t="s">
        <v>25</v>
      </c>
      <c r="M364" s="2" t="s">
        <v>77</v>
      </c>
      <c r="N364">
        <v>2023</v>
      </c>
      <c r="O364" s="2" t="s">
        <v>143</v>
      </c>
      <c r="P364" s="2" t="s">
        <v>145</v>
      </c>
      <c r="Q364">
        <v>5</v>
      </c>
      <c r="R364" s="4">
        <v>45047</v>
      </c>
      <c r="S364" s="3">
        <v>5693500</v>
      </c>
      <c r="T364" s="3">
        <v>22.2</v>
      </c>
    </row>
    <row r="365" spans="1:20" hidden="1" x14ac:dyDescent="0.3">
      <c r="A365" s="1">
        <v>45059</v>
      </c>
      <c r="B365" s="2" t="s">
        <v>20</v>
      </c>
      <c r="C365" s="2" t="s">
        <v>21</v>
      </c>
      <c r="D365" s="2" t="s">
        <v>22</v>
      </c>
      <c r="E365" s="2" t="s">
        <v>23</v>
      </c>
      <c r="F365" s="2" t="s">
        <v>24</v>
      </c>
      <c r="G365">
        <v>82</v>
      </c>
      <c r="H365">
        <v>520</v>
      </c>
      <c r="I365">
        <v>79</v>
      </c>
      <c r="J365" s="3">
        <v>6651700</v>
      </c>
      <c r="K365" s="3">
        <v>525484300</v>
      </c>
      <c r="L365" s="2" t="s">
        <v>25</v>
      </c>
      <c r="M365" s="2" t="s">
        <v>26</v>
      </c>
      <c r="N365">
        <v>2023</v>
      </c>
      <c r="O365" s="2" t="s">
        <v>143</v>
      </c>
      <c r="P365" s="2" t="s">
        <v>145</v>
      </c>
      <c r="Q365">
        <v>5</v>
      </c>
      <c r="R365" s="4">
        <v>45047</v>
      </c>
      <c r="S365" s="3">
        <v>6651700</v>
      </c>
      <c r="T365" s="3">
        <v>52.55</v>
      </c>
    </row>
    <row r="366" spans="1:20" hidden="1" x14ac:dyDescent="0.3">
      <c r="A366" s="1">
        <v>45059</v>
      </c>
      <c r="B366" s="2" t="s">
        <v>20</v>
      </c>
      <c r="C366" s="2" t="s">
        <v>112</v>
      </c>
      <c r="D366" s="2" t="s">
        <v>88</v>
      </c>
      <c r="E366" s="2" t="s">
        <v>89</v>
      </c>
      <c r="F366" s="2" t="s">
        <v>138</v>
      </c>
      <c r="G366">
        <v>82</v>
      </c>
      <c r="H366">
        <v>580</v>
      </c>
      <c r="I366">
        <v>58</v>
      </c>
      <c r="J366" s="3">
        <v>5616400</v>
      </c>
      <c r="K366" s="3">
        <v>325751200</v>
      </c>
      <c r="L366" s="2" t="s">
        <v>92</v>
      </c>
      <c r="M366" s="2" t="s">
        <v>77</v>
      </c>
      <c r="N366">
        <v>2023</v>
      </c>
      <c r="O366" s="2" t="s">
        <v>143</v>
      </c>
      <c r="P366" s="2" t="s">
        <v>145</v>
      </c>
      <c r="Q366">
        <v>5</v>
      </c>
      <c r="R366" s="4">
        <v>45047</v>
      </c>
      <c r="S366" s="3">
        <v>5616400</v>
      </c>
      <c r="T366" s="3">
        <v>32.58</v>
      </c>
    </row>
    <row r="367" spans="1:20" hidden="1" x14ac:dyDescent="0.3">
      <c r="A367" s="1">
        <v>45059</v>
      </c>
      <c r="B367" s="2" t="s">
        <v>46</v>
      </c>
      <c r="C367" s="2" t="s">
        <v>47</v>
      </c>
      <c r="D367" s="2" t="s">
        <v>42</v>
      </c>
      <c r="E367" s="2" t="s">
        <v>43</v>
      </c>
      <c r="F367" s="2" t="s">
        <v>24</v>
      </c>
      <c r="G367">
        <v>3</v>
      </c>
      <c r="H367">
        <v>135</v>
      </c>
      <c r="I367">
        <v>16</v>
      </c>
      <c r="J367" s="3">
        <v>111400</v>
      </c>
      <c r="K367" s="3">
        <v>1782400</v>
      </c>
      <c r="L367" s="2" t="s">
        <v>33</v>
      </c>
      <c r="M367" s="2" t="s">
        <v>77</v>
      </c>
      <c r="N367">
        <v>2023</v>
      </c>
      <c r="O367" s="2" t="s">
        <v>143</v>
      </c>
      <c r="P367" s="2" t="s">
        <v>145</v>
      </c>
      <c r="Q367">
        <v>5</v>
      </c>
      <c r="R367" s="4">
        <v>45047</v>
      </c>
      <c r="S367" s="3">
        <v>111400</v>
      </c>
      <c r="T367" s="3">
        <v>0.18</v>
      </c>
    </row>
    <row r="368" spans="1:20" hidden="1" x14ac:dyDescent="0.3">
      <c r="A368" s="1">
        <v>45059</v>
      </c>
      <c r="B368" s="2" t="s">
        <v>40</v>
      </c>
      <c r="C368" s="2" t="s">
        <v>78</v>
      </c>
      <c r="D368" s="2" t="s">
        <v>50</v>
      </c>
      <c r="E368" s="2" t="s">
        <v>51</v>
      </c>
      <c r="F368" s="2" t="s">
        <v>24</v>
      </c>
      <c r="G368">
        <v>77</v>
      </c>
      <c r="H368">
        <v>528</v>
      </c>
      <c r="I368">
        <v>39</v>
      </c>
      <c r="J368" s="3">
        <v>4436400</v>
      </c>
      <c r="K368" s="3">
        <v>173019600</v>
      </c>
      <c r="L368" s="2" t="s">
        <v>33</v>
      </c>
      <c r="M368" s="2" t="s">
        <v>26</v>
      </c>
      <c r="N368">
        <v>2023</v>
      </c>
      <c r="O368" s="2" t="s">
        <v>143</v>
      </c>
      <c r="P368" s="2" t="s">
        <v>145</v>
      </c>
      <c r="Q368">
        <v>5</v>
      </c>
      <c r="R368" s="4">
        <v>45047</v>
      </c>
      <c r="S368" s="3">
        <v>4436400</v>
      </c>
      <c r="T368" s="3">
        <v>17.3</v>
      </c>
    </row>
    <row r="369" spans="1:20" hidden="1" x14ac:dyDescent="0.3">
      <c r="A369" s="1">
        <v>45059</v>
      </c>
      <c r="B369" s="2" t="s">
        <v>46</v>
      </c>
      <c r="C369" s="2" t="s">
        <v>110</v>
      </c>
      <c r="D369" s="2" t="s">
        <v>42</v>
      </c>
      <c r="E369" s="2" t="s">
        <v>43</v>
      </c>
      <c r="F369" s="2" t="s">
        <v>24</v>
      </c>
      <c r="G369">
        <v>3</v>
      </c>
      <c r="H369">
        <v>135</v>
      </c>
      <c r="I369">
        <v>40</v>
      </c>
      <c r="J369" s="3">
        <v>123700</v>
      </c>
      <c r="K369" s="3">
        <v>4948000</v>
      </c>
      <c r="L369" s="2" t="s">
        <v>92</v>
      </c>
      <c r="M369" s="2" t="s">
        <v>26</v>
      </c>
      <c r="N369">
        <v>2023</v>
      </c>
      <c r="O369" s="2" t="s">
        <v>143</v>
      </c>
      <c r="P369" s="2" t="s">
        <v>145</v>
      </c>
      <c r="Q369">
        <v>5</v>
      </c>
      <c r="R369" s="4">
        <v>45047</v>
      </c>
      <c r="S369" s="3">
        <v>123700</v>
      </c>
      <c r="T369" s="3">
        <v>0.49</v>
      </c>
    </row>
    <row r="370" spans="1:20" hidden="1" x14ac:dyDescent="0.3">
      <c r="A370" s="1">
        <v>45060</v>
      </c>
      <c r="B370" s="2" t="s">
        <v>46</v>
      </c>
      <c r="C370" s="2" t="s">
        <v>47</v>
      </c>
      <c r="D370" s="2" t="s">
        <v>31</v>
      </c>
      <c r="E370" s="2" t="s">
        <v>32</v>
      </c>
      <c r="F370" s="2" t="s">
        <v>24</v>
      </c>
      <c r="G370">
        <v>4</v>
      </c>
      <c r="H370">
        <v>195</v>
      </c>
      <c r="I370">
        <v>57</v>
      </c>
      <c r="J370" s="3">
        <v>148300</v>
      </c>
      <c r="K370" s="3">
        <v>8453100</v>
      </c>
      <c r="L370" s="2" t="s">
        <v>33</v>
      </c>
      <c r="M370" s="2" t="s">
        <v>77</v>
      </c>
      <c r="N370">
        <v>2023</v>
      </c>
      <c r="O370" s="2" t="s">
        <v>143</v>
      </c>
      <c r="P370" s="2" t="s">
        <v>145</v>
      </c>
      <c r="Q370">
        <v>5</v>
      </c>
      <c r="R370" s="4">
        <v>45047</v>
      </c>
      <c r="S370" s="3">
        <v>148300</v>
      </c>
      <c r="T370" s="3">
        <v>0.85</v>
      </c>
    </row>
    <row r="371" spans="1:20" hidden="1" x14ac:dyDescent="0.3">
      <c r="A371" s="1">
        <v>45061</v>
      </c>
      <c r="B371" s="2" t="s">
        <v>29</v>
      </c>
      <c r="C371" s="2" t="s">
        <v>30</v>
      </c>
      <c r="D371" s="2" t="s">
        <v>54</v>
      </c>
      <c r="E371" s="2" t="s">
        <v>55</v>
      </c>
      <c r="F371" s="2" t="s">
        <v>39</v>
      </c>
      <c r="G371">
        <v>30</v>
      </c>
      <c r="H371">
        <v>320</v>
      </c>
      <c r="I371">
        <v>30</v>
      </c>
      <c r="J371" s="3">
        <v>1271800</v>
      </c>
      <c r="K371" s="3">
        <v>38154000</v>
      </c>
      <c r="L371" s="2" t="s">
        <v>33</v>
      </c>
      <c r="M371" s="2" t="s">
        <v>26</v>
      </c>
      <c r="N371">
        <v>2023</v>
      </c>
      <c r="O371" s="2" t="s">
        <v>143</v>
      </c>
      <c r="P371" s="2" t="s">
        <v>145</v>
      </c>
      <c r="Q371">
        <v>5</v>
      </c>
      <c r="R371" s="4">
        <v>45047</v>
      </c>
      <c r="S371" s="3">
        <v>1271800</v>
      </c>
      <c r="T371" s="3">
        <v>3.82</v>
      </c>
    </row>
    <row r="372" spans="1:20" hidden="1" x14ac:dyDescent="0.3">
      <c r="A372" s="1">
        <v>45061</v>
      </c>
      <c r="B372" s="2" t="s">
        <v>106</v>
      </c>
      <c r="C372" s="2" t="s">
        <v>120</v>
      </c>
      <c r="D372" s="2" t="s">
        <v>70</v>
      </c>
      <c r="E372" s="2" t="s">
        <v>71</v>
      </c>
      <c r="F372" s="2" t="s">
        <v>24</v>
      </c>
      <c r="G372">
        <v>50</v>
      </c>
      <c r="H372">
        <v>46</v>
      </c>
      <c r="I372">
        <v>59</v>
      </c>
      <c r="J372" s="3">
        <v>2042900</v>
      </c>
      <c r="K372" s="3">
        <v>120531100</v>
      </c>
      <c r="L372" s="2" t="s">
        <v>33</v>
      </c>
      <c r="M372" s="2" t="s">
        <v>34</v>
      </c>
      <c r="N372">
        <v>2023</v>
      </c>
      <c r="O372" s="2" t="s">
        <v>143</v>
      </c>
      <c r="P372" s="2" t="s">
        <v>145</v>
      </c>
      <c r="Q372">
        <v>5</v>
      </c>
      <c r="R372" s="4">
        <v>45047</v>
      </c>
      <c r="S372" s="3">
        <v>2042900</v>
      </c>
      <c r="T372" s="3">
        <v>12.05</v>
      </c>
    </row>
    <row r="373" spans="1:20" hidden="1" x14ac:dyDescent="0.3">
      <c r="A373" s="1">
        <v>45061</v>
      </c>
      <c r="B373" s="2" t="s">
        <v>35</v>
      </c>
      <c r="C373" s="2" t="s">
        <v>87</v>
      </c>
      <c r="D373" s="2" t="s">
        <v>94</v>
      </c>
      <c r="E373" s="2" t="s">
        <v>140</v>
      </c>
      <c r="F373" s="2" t="s">
        <v>24</v>
      </c>
      <c r="G373">
        <v>35</v>
      </c>
      <c r="H373">
        <v>32</v>
      </c>
      <c r="I373">
        <v>149</v>
      </c>
      <c r="J373" s="3">
        <v>2060900</v>
      </c>
      <c r="K373" s="3">
        <v>307074100</v>
      </c>
      <c r="L373" s="2" t="s">
        <v>33</v>
      </c>
      <c r="M373" s="2" t="s">
        <v>26</v>
      </c>
      <c r="N373">
        <v>2023</v>
      </c>
      <c r="O373" s="2" t="s">
        <v>143</v>
      </c>
      <c r="P373" s="2" t="s">
        <v>145</v>
      </c>
      <c r="Q373">
        <v>5</v>
      </c>
      <c r="R373" s="4">
        <v>45047</v>
      </c>
      <c r="S373" s="3">
        <v>2060900</v>
      </c>
      <c r="T373" s="3">
        <v>30.71</v>
      </c>
    </row>
    <row r="374" spans="1:20" hidden="1" x14ac:dyDescent="0.3">
      <c r="A374" s="1">
        <v>45061</v>
      </c>
      <c r="B374" s="2" t="s">
        <v>40</v>
      </c>
      <c r="C374" s="2" t="s">
        <v>41</v>
      </c>
      <c r="D374" s="2" t="s">
        <v>54</v>
      </c>
      <c r="E374" s="2" t="s">
        <v>55</v>
      </c>
      <c r="F374" s="2" t="s">
        <v>24</v>
      </c>
      <c r="G374">
        <v>30</v>
      </c>
      <c r="H374">
        <v>320</v>
      </c>
      <c r="I374">
        <v>3</v>
      </c>
      <c r="J374" s="3">
        <v>1266300</v>
      </c>
      <c r="K374" s="3">
        <v>3798900</v>
      </c>
      <c r="L374" s="2" t="s">
        <v>33</v>
      </c>
      <c r="M374" s="2" t="s">
        <v>26</v>
      </c>
      <c r="N374">
        <v>2023</v>
      </c>
      <c r="O374" s="2" t="s">
        <v>143</v>
      </c>
      <c r="P374" s="2" t="s">
        <v>145</v>
      </c>
      <c r="Q374">
        <v>5</v>
      </c>
      <c r="R374" s="4">
        <v>45047</v>
      </c>
      <c r="S374" s="3">
        <v>1266300</v>
      </c>
      <c r="T374" s="3">
        <v>0.38</v>
      </c>
    </row>
    <row r="375" spans="1:20" hidden="1" x14ac:dyDescent="0.3">
      <c r="A375" s="1">
        <v>45062</v>
      </c>
      <c r="B375" s="2" t="s">
        <v>90</v>
      </c>
      <c r="C375" s="2" t="s">
        <v>114</v>
      </c>
      <c r="D375" s="2" t="s">
        <v>94</v>
      </c>
      <c r="E375" s="2" t="s">
        <v>95</v>
      </c>
      <c r="F375" s="2" t="s">
        <v>72</v>
      </c>
      <c r="G375">
        <v>40</v>
      </c>
      <c r="H375">
        <v>30</v>
      </c>
      <c r="I375">
        <v>40</v>
      </c>
      <c r="J375" s="3">
        <v>2706100</v>
      </c>
      <c r="K375" s="3">
        <v>108244000</v>
      </c>
      <c r="L375" s="2" t="s">
        <v>92</v>
      </c>
      <c r="M375" s="2" t="s">
        <v>26</v>
      </c>
      <c r="N375">
        <v>2023</v>
      </c>
      <c r="O375" s="2" t="s">
        <v>143</v>
      </c>
      <c r="P375" s="2" t="s">
        <v>145</v>
      </c>
      <c r="Q375">
        <v>5</v>
      </c>
      <c r="R375" s="4">
        <v>45047</v>
      </c>
      <c r="S375" s="3">
        <v>2706100</v>
      </c>
      <c r="T375" s="3">
        <v>10.82</v>
      </c>
    </row>
    <row r="376" spans="1:20" hidden="1" x14ac:dyDescent="0.3">
      <c r="A376" s="1">
        <v>45062</v>
      </c>
      <c r="B376" s="2" t="s">
        <v>44</v>
      </c>
      <c r="C376" s="2" t="s">
        <v>117</v>
      </c>
      <c r="D376" s="2" t="s">
        <v>102</v>
      </c>
      <c r="E376" s="2" t="s">
        <v>103</v>
      </c>
      <c r="F376" s="2" t="s">
        <v>24</v>
      </c>
      <c r="G376">
        <v>5</v>
      </c>
      <c r="H376">
        <v>150</v>
      </c>
      <c r="I376">
        <v>29</v>
      </c>
      <c r="J376" s="3">
        <v>158500</v>
      </c>
      <c r="K376" s="3">
        <v>4596500</v>
      </c>
      <c r="L376" s="2" t="s">
        <v>25</v>
      </c>
      <c r="M376" s="2" t="s">
        <v>77</v>
      </c>
      <c r="N376">
        <v>2023</v>
      </c>
      <c r="O376" s="2" t="s">
        <v>143</v>
      </c>
      <c r="P376" s="2" t="s">
        <v>145</v>
      </c>
      <c r="Q376">
        <v>5</v>
      </c>
      <c r="R376" s="4">
        <v>45047</v>
      </c>
      <c r="S376" s="3">
        <v>158500</v>
      </c>
      <c r="T376" s="3">
        <v>0.46</v>
      </c>
    </row>
    <row r="377" spans="1:20" hidden="1" x14ac:dyDescent="0.3">
      <c r="A377" s="1">
        <v>45063</v>
      </c>
      <c r="B377" s="2" t="s">
        <v>108</v>
      </c>
      <c r="C377" s="2" t="s">
        <v>133</v>
      </c>
      <c r="D377" s="2" t="s">
        <v>50</v>
      </c>
      <c r="E377" s="2" t="s">
        <v>51</v>
      </c>
      <c r="F377" s="2" t="s">
        <v>24</v>
      </c>
      <c r="G377">
        <v>77</v>
      </c>
      <c r="H377">
        <v>528</v>
      </c>
      <c r="I377">
        <v>51</v>
      </c>
      <c r="J377" s="3">
        <v>4980900</v>
      </c>
      <c r="K377" s="3">
        <v>254025900</v>
      </c>
      <c r="L377" s="2" t="s">
        <v>33</v>
      </c>
      <c r="M377" s="2" t="s">
        <v>77</v>
      </c>
      <c r="N377">
        <v>2023</v>
      </c>
      <c r="O377" s="2" t="s">
        <v>143</v>
      </c>
      <c r="P377" s="2" t="s">
        <v>145</v>
      </c>
      <c r="Q377">
        <v>5</v>
      </c>
      <c r="R377" s="4">
        <v>45047</v>
      </c>
      <c r="S377" s="3">
        <v>4980900</v>
      </c>
      <c r="T377" s="3">
        <v>25.4</v>
      </c>
    </row>
    <row r="378" spans="1:20" hidden="1" x14ac:dyDescent="0.3">
      <c r="A378" s="1">
        <v>45063</v>
      </c>
      <c r="B378" s="2" t="s">
        <v>40</v>
      </c>
      <c r="C378" s="2" t="s">
        <v>105</v>
      </c>
      <c r="D378" s="2" t="s">
        <v>42</v>
      </c>
      <c r="E378" s="2" t="s">
        <v>43</v>
      </c>
      <c r="F378" s="2" t="s">
        <v>24</v>
      </c>
      <c r="G378">
        <v>3</v>
      </c>
      <c r="H378">
        <v>135</v>
      </c>
      <c r="I378">
        <v>159</v>
      </c>
      <c r="J378" s="3">
        <v>120100</v>
      </c>
      <c r="K378" s="3">
        <v>19095900</v>
      </c>
      <c r="L378" s="2" t="s">
        <v>33</v>
      </c>
      <c r="M378" s="2" t="s">
        <v>34</v>
      </c>
      <c r="N378">
        <v>2023</v>
      </c>
      <c r="O378" s="2" t="s">
        <v>143</v>
      </c>
      <c r="P378" s="2" t="s">
        <v>145</v>
      </c>
      <c r="Q378">
        <v>5</v>
      </c>
      <c r="R378" s="4">
        <v>45047</v>
      </c>
      <c r="S378" s="3">
        <v>120100</v>
      </c>
      <c r="T378" s="3">
        <v>1.91</v>
      </c>
    </row>
    <row r="379" spans="1:20" hidden="1" x14ac:dyDescent="0.3">
      <c r="A379" s="1">
        <v>45063</v>
      </c>
      <c r="B379" s="2" t="s">
        <v>40</v>
      </c>
      <c r="C379" s="2" t="s">
        <v>41</v>
      </c>
      <c r="D379" s="2" t="s">
        <v>82</v>
      </c>
      <c r="E379" s="2" t="s">
        <v>83</v>
      </c>
      <c r="F379" s="2" t="s">
        <v>24</v>
      </c>
      <c r="G379">
        <v>40</v>
      </c>
      <c r="H379">
        <v>39</v>
      </c>
      <c r="I379">
        <v>45</v>
      </c>
      <c r="J379" s="3">
        <v>2128300</v>
      </c>
      <c r="K379" s="3">
        <v>95773500</v>
      </c>
      <c r="L379" s="2" t="s">
        <v>92</v>
      </c>
      <c r="M379" s="2" t="s">
        <v>34</v>
      </c>
      <c r="N379">
        <v>2023</v>
      </c>
      <c r="O379" s="2" t="s">
        <v>143</v>
      </c>
      <c r="P379" s="2" t="s">
        <v>145</v>
      </c>
      <c r="Q379">
        <v>5</v>
      </c>
      <c r="R379" s="4">
        <v>45047</v>
      </c>
      <c r="S379" s="3">
        <v>2128300</v>
      </c>
      <c r="T379" s="3">
        <v>9.58</v>
      </c>
    </row>
    <row r="380" spans="1:20" hidden="1" x14ac:dyDescent="0.3">
      <c r="A380" s="1">
        <v>45063</v>
      </c>
      <c r="B380" s="2" t="s">
        <v>29</v>
      </c>
      <c r="C380" s="2" t="s">
        <v>65</v>
      </c>
      <c r="D380" s="2" t="s">
        <v>79</v>
      </c>
      <c r="E380" s="2" t="s">
        <v>80</v>
      </c>
      <c r="F380" s="2" t="s">
        <v>24</v>
      </c>
      <c r="G380">
        <v>69</v>
      </c>
      <c r="H380">
        <v>418</v>
      </c>
      <c r="I380">
        <v>4</v>
      </c>
      <c r="J380" s="3">
        <v>5538300</v>
      </c>
      <c r="K380" s="3">
        <v>22153200</v>
      </c>
      <c r="L380" s="2" t="s">
        <v>33</v>
      </c>
      <c r="M380" s="2" t="s">
        <v>26</v>
      </c>
      <c r="N380">
        <v>2023</v>
      </c>
      <c r="O380" s="2" t="s">
        <v>143</v>
      </c>
      <c r="P380" s="2" t="s">
        <v>145</v>
      </c>
      <c r="Q380">
        <v>5</v>
      </c>
      <c r="R380" s="4">
        <v>45047</v>
      </c>
      <c r="S380" s="3">
        <v>5538300</v>
      </c>
      <c r="T380" s="3">
        <v>2.2200000000000002</v>
      </c>
    </row>
    <row r="381" spans="1:20" hidden="1" x14ac:dyDescent="0.3">
      <c r="A381" s="1">
        <v>45064</v>
      </c>
      <c r="B381" s="2" t="s">
        <v>108</v>
      </c>
      <c r="C381" s="2" t="s">
        <v>131</v>
      </c>
      <c r="D381" s="2" t="s">
        <v>67</v>
      </c>
      <c r="E381" s="2" t="s">
        <v>68</v>
      </c>
      <c r="F381" s="2" t="s">
        <v>24</v>
      </c>
      <c r="G381">
        <v>66</v>
      </c>
      <c r="H381">
        <v>440</v>
      </c>
      <c r="I381">
        <v>23</v>
      </c>
      <c r="J381" s="3">
        <v>5899600</v>
      </c>
      <c r="K381" s="3">
        <v>135690800</v>
      </c>
      <c r="L381" s="2" t="s">
        <v>33</v>
      </c>
      <c r="M381" s="2" t="s">
        <v>26</v>
      </c>
      <c r="N381">
        <v>2023</v>
      </c>
      <c r="O381" s="2" t="s">
        <v>143</v>
      </c>
      <c r="P381" s="2" t="s">
        <v>145</v>
      </c>
      <c r="Q381">
        <v>5</v>
      </c>
      <c r="R381" s="4">
        <v>45047</v>
      </c>
      <c r="S381" s="3">
        <v>5899600</v>
      </c>
      <c r="T381" s="3">
        <v>13.57</v>
      </c>
    </row>
    <row r="382" spans="1:20" hidden="1" x14ac:dyDescent="0.3">
      <c r="A382" s="1">
        <v>45066</v>
      </c>
      <c r="B382" s="2" t="s">
        <v>40</v>
      </c>
      <c r="C382" s="2" t="s">
        <v>105</v>
      </c>
      <c r="D382" s="2" t="s">
        <v>37</v>
      </c>
      <c r="E382" s="2" t="s">
        <v>38</v>
      </c>
      <c r="F382" s="2" t="s">
        <v>24</v>
      </c>
      <c r="G382">
        <v>66</v>
      </c>
      <c r="H382">
        <v>423</v>
      </c>
      <c r="I382">
        <v>18</v>
      </c>
      <c r="J382" s="3">
        <v>9171100</v>
      </c>
      <c r="K382" s="3">
        <v>165079800</v>
      </c>
      <c r="L382" s="2" t="s">
        <v>25</v>
      </c>
      <c r="M382" s="2" t="s">
        <v>34</v>
      </c>
      <c r="N382">
        <v>2023</v>
      </c>
      <c r="O382" s="2" t="s">
        <v>143</v>
      </c>
      <c r="P382" s="2" t="s">
        <v>145</v>
      </c>
      <c r="Q382">
        <v>5</v>
      </c>
      <c r="R382" s="4">
        <v>45047</v>
      </c>
      <c r="S382" s="3">
        <v>9171100</v>
      </c>
      <c r="T382" s="3">
        <v>16.510000000000002</v>
      </c>
    </row>
    <row r="383" spans="1:20" hidden="1" x14ac:dyDescent="0.3">
      <c r="A383" s="1">
        <v>45066</v>
      </c>
      <c r="B383" s="2" t="s">
        <v>59</v>
      </c>
      <c r="C383" s="2" t="s">
        <v>60</v>
      </c>
      <c r="D383" s="2" t="s">
        <v>67</v>
      </c>
      <c r="E383" s="2" t="s">
        <v>68</v>
      </c>
      <c r="F383" s="2" t="s">
        <v>24</v>
      </c>
      <c r="G383">
        <v>66</v>
      </c>
      <c r="H383">
        <v>440</v>
      </c>
      <c r="I383">
        <v>14</v>
      </c>
      <c r="J383" s="3">
        <v>6663900</v>
      </c>
      <c r="K383" s="3">
        <v>93294600</v>
      </c>
      <c r="L383" s="2" t="s">
        <v>33</v>
      </c>
      <c r="M383" s="2" t="s">
        <v>26</v>
      </c>
      <c r="N383">
        <v>2023</v>
      </c>
      <c r="O383" s="2" t="s">
        <v>143</v>
      </c>
      <c r="P383" s="2" t="s">
        <v>145</v>
      </c>
      <c r="Q383">
        <v>5</v>
      </c>
      <c r="R383" s="4">
        <v>45047</v>
      </c>
      <c r="S383" s="3">
        <v>6663900</v>
      </c>
      <c r="T383" s="3">
        <v>9.33</v>
      </c>
    </row>
    <row r="384" spans="1:20" hidden="1" x14ac:dyDescent="0.3">
      <c r="A384" s="1">
        <v>45066</v>
      </c>
      <c r="B384" s="2" t="s">
        <v>40</v>
      </c>
      <c r="C384" s="2" t="s">
        <v>105</v>
      </c>
      <c r="D384" s="2" t="s">
        <v>50</v>
      </c>
      <c r="E384" s="2" t="s">
        <v>51</v>
      </c>
      <c r="F384" s="2" t="s">
        <v>39</v>
      </c>
      <c r="G384">
        <v>77</v>
      </c>
      <c r="H384">
        <v>528</v>
      </c>
      <c r="I384">
        <v>7</v>
      </c>
      <c r="J384" s="3">
        <v>5564800</v>
      </c>
      <c r="K384" s="3">
        <v>38953600</v>
      </c>
      <c r="L384" s="2" t="s">
        <v>25</v>
      </c>
      <c r="M384" s="2" t="s">
        <v>26</v>
      </c>
      <c r="N384">
        <v>2023</v>
      </c>
      <c r="O384" s="2" t="s">
        <v>143</v>
      </c>
      <c r="P384" s="2" t="s">
        <v>145</v>
      </c>
      <c r="Q384">
        <v>5</v>
      </c>
      <c r="R384" s="4">
        <v>45047</v>
      </c>
      <c r="S384" s="3">
        <v>5564800</v>
      </c>
      <c r="T384" s="3">
        <v>3.9</v>
      </c>
    </row>
    <row r="385" spans="1:20" hidden="1" x14ac:dyDescent="0.3">
      <c r="A385" s="1">
        <v>45066</v>
      </c>
      <c r="B385" s="2" t="s">
        <v>20</v>
      </c>
      <c r="C385" s="2" t="s">
        <v>125</v>
      </c>
      <c r="D385" s="2" t="s">
        <v>67</v>
      </c>
      <c r="E385" s="2" t="s">
        <v>118</v>
      </c>
      <c r="F385" s="2" t="s">
        <v>72</v>
      </c>
      <c r="G385">
        <v>84</v>
      </c>
      <c r="H385">
        <v>590</v>
      </c>
      <c r="I385">
        <v>16</v>
      </c>
      <c r="J385" s="3">
        <v>8012800</v>
      </c>
      <c r="K385" s="3">
        <v>128204800</v>
      </c>
      <c r="L385" s="2" t="s">
        <v>33</v>
      </c>
      <c r="M385" s="2" t="s">
        <v>26</v>
      </c>
      <c r="N385">
        <v>2023</v>
      </c>
      <c r="O385" s="2" t="s">
        <v>143</v>
      </c>
      <c r="P385" s="2" t="s">
        <v>145</v>
      </c>
      <c r="Q385">
        <v>5</v>
      </c>
      <c r="R385" s="4">
        <v>45047</v>
      </c>
      <c r="S385" s="3">
        <v>8012800</v>
      </c>
      <c r="T385" s="3">
        <v>12.82</v>
      </c>
    </row>
    <row r="386" spans="1:20" hidden="1" x14ac:dyDescent="0.3">
      <c r="A386" s="1">
        <v>45067</v>
      </c>
      <c r="B386" s="2" t="s">
        <v>35</v>
      </c>
      <c r="C386" s="2" t="s">
        <v>121</v>
      </c>
      <c r="D386" s="2" t="s">
        <v>22</v>
      </c>
      <c r="E386" s="2" t="s">
        <v>23</v>
      </c>
      <c r="F386" s="2" t="s">
        <v>24</v>
      </c>
      <c r="G386">
        <v>82</v>
      </c>
      <c r="H386">
        <v>520</v>
      </c>
      <c r="I386">
        <v>41</v>
      </c>
      <c r="J386" s="3">
        <v>7397600</v>
      </c>
      <c r="K386" s="3">
        <v>303301600</v>
      </c>
      <c r="L386" s="2" t="s">
        <v>33</v>
      </c>
      <c r="M386" s="2" t="s">
        <v>26</v>
      </c>
      <c r="N386">
        <v>2023</v>
      </c>
      <c r="O386" s="2" t="s">
        <v>143</v>
      </c>
      <c r="P386" s="2" t="s">
        <v>145</v>
      </c>
      <c r="Q386">
        <v>5</v>
      </c>
      <c r="R386" s="4">
        <v>45047</v>
      </c>
      <c r="S386" s="3">
        <v>7397600</v>
      </c>
      <c r="T386" s="3">
        <v>30.33</v>
      </c>
    </row>
    <row r="387" spans="1:20" hidden="1" x14ac:dyDescent="0.3">
      <c r="A387" s="1">
        <v>45067</v>
      </c>
      <c r="B387" s="2" t="s">
        <v>48</v>
      </c>
      <c r="C387" s="2" t="s">
        <v>98</v>
      </c>
      <c r="D387" s="2" t="s">
        <v>50</v>
      </c>
      <c r="E387" s="2" t="s">
        <v>51</v>
      </c>
      <c r="F387" s="2" t="s">
        <v>24</v>
      </c>
      <c r="G387">
        <v>77</v>
      </c>
      <c r="H387">
        <v>528</v>
      </c>
      <c r="I387">
        <v>78</v>
      </c>
      <c r="J387" s="3">
        <v>4903700</v>
      </c>
      <c r="K387" s="3">
        <v>382488600</v>
      </c>
      <c r="L387" s="2" t="s">
        <v>33</v>
      </c>
      <c r="M387" s="2" t="s">
        <v>26</v>
      </c>
      <c r="N387">
        <v>2023</v>
      </c>
      <c r="O387" s="2" t="s">
        <v>143</v>
      </c>
      <c r="P387" s="2" t="s">
        <v>145</v>
      </c>
      <c r="Q387">
        <v>5</v>
      </c>
      <c r="R387" s="4">
        <v>45047</v>
      </c>
      <c r="S387" s="3">
        <v>4903700</v>
      </c>
      <c r="T387" s="3">
        <v>38.25</v>
      </c>
    </row>
    <row r="388" spans="1:20" hidden="1" x14ac:dyDescent="0.3">
      <c r="A388" s="1">
        <v>45068</v>
      </c>
      <c r="B388" s="2" t="s">
        <v>106</v>
      </c>
      <c r="C388" s="2" t="s">
        <v>120</v>
      </c>
      <c r="D388" s="2" t="s">
        <v>94</v>
      </c>
      <c r="E388" s="2" t="s">
        <v>95</v>
      </c>
      <c r="F388" s="2" t="s">
        <v>24</v>
      </c>
      <c r="G388">
        <v>40</v>
      </c>
      <c r="H388">
        <v>30</v>
      </c>
      <c r="I388">
        <v>149</v>
      </c>
      <c r="J388" s="3">
        <v>2694800</v>
      </c>
      <c r="K388" s="3">
        <v>401525200</v>
      </c>
      <c r="L388" s="2" t="s">
        <v>33</v>
      </c>
      <c r="M388" s="2" t="s">
        <v>77</v>
      </c>
      <c r="N388">
        <v>2023</v>
      </c>
      <c r="O388" s="2" t="s">
        <v>143</v>
      </c>
      <c r="P388" s="2" t="s">
        <v>145</v>
      </c>
      <c r="Q388">
        <v>5</v>
      </c>
      <c r="R388" s="4">
        <v>45047</v>
      </c>
      <c r="S388" s="3">
        <v>2694800</v>
      </c>
      <c r="T388" s="3">
        <v>40.15</v>
      </c>
    </row>
    <row r="389" spans="1:20" hidden="1" x14ac:dyDescent="0.3">
      <c r="A389" s="1">
        <v>45068</v>
      </c>
      <c r="B389" s="2" t="s">
        <v>35</v>
      </c>
      <c r="C389" s="2" t="s">
        <v>87</v>
      </c>
      <c r="D389" s="2" t="s">
        <v>50</v>
      </c>
      <c r="E389" s="2" t="s">
        <v>51</v>
      </c>
      <c r="F389" s="2" t="s">
        <v>72</v>
      </c>
      <c r="G389">
        <v>77</v>
      </c>
      <c r="H389">
        <v>528</v>
      </c>
      <c r="I389">
        <v>32</v>
      </c>
      <c r="J389" s="3">
        <v>4414600</v>
      </c>
      <c r="K389" s="3">
        <v>141267200</v>
      </c>
      <c r="L389" s="2" t="s">
        <v>25</v>
      </c>
      <c r="M389" s="2" t="s">
        <v>34</v>
      </c>
      <c r="N389">
        <v>2023</v>
      </c>
      <c r="O389" s="2" t="s">
        <v>143</v>
      </c>
      <c r="P389" s="2" t="s">
        <v>145</v>
      </c>
      <c r="Q389">
        <v>5</v>
      </c>
      <c r="R389" s="4">
        <v>45047</v>
      </c>
      <c r="S389" s="3">
        <v>4414600</v>
      </c>
      <c r="T389" s="3">
        <v>14.13</v>
      </c>
    </row>
    <row r="390" spans="1:20" hidden="1" x14ac:dyDescent="0.3">
      <c r="A390" s="1">
        <v>45069</v>
      </c>
      <c r="B390" s="2" t="s">
        <v>90</v>
      </c>
      <c r="C390" s="2" t="s">
        <v>91</v>
      </c>
      <c r="D390" s="2" t="s">
        <v>102</v>
      </c>
      <c r="E390" s="2" t="s">
        <v>103</v>
      </c>
      <c r="F390" s="2" t="s">
        <v>24</v>
      </c>
      <c r="G390">
        <v>5</v>
      </c>
      <c r="H390">
        <v>150</v>
      </c>
      <c r="I390">
        <v>170</v>
      </c>
      <c r="J390" s="3">
        <v>167400</v>
      </c>
      <c r="K390" s="3">
        <v>28458000</v>
      </c>
      <c r="L390" s="2" t="s">
        <v>33</v>
      </c>
      <c r="M390" s="2" t="s">
        <v>26</v>
      </c>
      <c r="N390">
        <v>2023</v>
      </c>
      <c r="O390" s="2" t="s">
        <v>143</v>
      </c>
      <c r="P390" s="2" t="s">
        <v>145</v>
      </c>
      <c r="Q390">
        <v>5</v>
      </c>
      <c r="R390" s="4">
        <v>45047</v>
      </c>
      <c r="S390" s="3">
        <v>167400</v>
      </c>
      <c r="T390" s="3">
        <v>2.85</v>
      </c>
    </row>
    <row r="391" spans="1:20" hidden="1" x14ac:dyDescent="0.3">
      <c r="A391" s="1">
        <v>45069</v>
      </c>
      <c r="B391" s="2" t="s">
        <v>84</v>
      </c>
      <c r="C391" s="2" t="s">
        <v>113</v>
      </c>
      <c r="D391" s="2" t="s">
        <v>50</v>
      </c>
      <c r="E391" s="2" t="s">
        <v>51</v>
      </c>
      <c r="F391" s="2" t="s">
        <v>24</v>
      </c>
      <c r="G391">
        <v>77</v>
      </c>
      <c r="H391">
        <v>528</v>
      </c>
      <c r="I391">
        <v>55</v>
      </c>
      <c r="J391" s="3">
        <v>5711500</v>
      </c>
      <c r="K391" s="3">
        <v>314132500</v>
      </c>
      <c r="L391" s="2" t="s">
        <v>33</v>
      </c>
      <c r="M391" s="2" t="s">
        <v>34</v>
      </c>
      <c r="N391">
        <v>2023</v>
      </c>
      <c r="O391" s="2" t="s">
        <v>143</v>
      </c>
      <c r="P391" s="2" t="s">
        <v>145</v>
      </c>
      <c r="Q391">
        <v>5</v>
      </c>
      <c r="R391" s="4">
        <v>45047</v>
      </c>
      <c r="S391" s="3">
        <v>5711500</v>
      </c>
      <c r="T391" s="3">
        <v>31.41</v>
      </c>
    </row>
    <row r="392" spans="1:20" hidden="1" x14ac:dyDescent="0.3">
      <c r="A392" s="1">
        <v>45069</v>
      </c>
      <c r="B392" s="2" t="s">
        <v>46</v>
      </c>
      <c r="C392" s="2" t="s">
        <v>137</v>
      </c>
      <c r="D392" s="2" t="s">
        <v>94</v>
      </c>
      <c r="E392" s="2" t="s">
        <v>95</v>
      </c>
      <c r="F392" s="2" t="s">
        <v>39</v>
      </c>
      <c r="G392">
        <v>40</v>
      </c>
      <c r="H392">
        <v>30</v>
      </c>
      <c r="I392">
        <v>117</v>
      </c>
      <c r="J392" s="3">
        <v>2407300</v>
      </c>
      <c r="K392" s="3">
        <v>281654100</v>
      </c>
      <c r="L392" s="2" t="s">
        <v>25</v>
      </c>
      <c r="M392" s="2" t="s">
        <v>34</v>
      </c>
      <c r="N392">
        <v>2023</v>
      </c>
      <c r="O392" s="2" t="s">
        <v>143</v>
      </c>
      <c r="P392" s="2" t="s">
        <v>145</v>
      </c>
      <c r="Q392">
        <v>5</v>
      </c>
      <c r="R392" s="4">
        <v>45047</v>
      </c>
      <c r="S392" s="3">
        <v>2407300</v>
      </c>
      <c r="T392" s="3">
        <v>28.17</v>
      </c>
    </row>
    <row r="393" spans="1:20" hidden="1" x14ac:dyDescent="0.3">
      <c r="A393" s="1">
        <v>45069</v>
      </c>
      <c r="B393" s="2" t="s">
        <v>59</v>
      </c>
      <c r="C393" s="2" t="s">
        <v>81</v>
      </c>
      <c r="D393" s="2" t="s">
        <v>57</v>
      </c>
      <c r="E393" s="2" t="s">
        <v>86</v>
      </c>
      <c r="F393" s="2" t="s">
        <v>39</v>
      </c>
      <c r="G393">
        <v>48</v>
      </c>
      <c r="H393">
        <v>39</v>
      </c>
      <c r="I393">
        <v>55</v>
      </c>
      <c r="J393" s="3">
        <v>2254000</v>
      </c>
      <c r="K393" s="3">
        <v>123970000</v>
      </c>
      <c r="L393" s="2" t="s">
        <v>92</v>
      </c>
      <c r="M393" s="2" t="s">
        <v>26</v>
      </c>
      <c r="N393">
        <v>2023</v>
      </c>
      <c r="O393" s="2" t="s">
        <v>143</v>
      </c>
      <c r="P393" s="2" t="s">
        <v>145</v>
      </c>
      <c r="Q393">
        <v>5</v>
      </c>
      <c r="R393" s="4">
        <v>45047</v>
      </c>
      <c r="S393" s="3">
        <v>2254000</v>
      </c>
      <c r="T393" s="3">
        <v>12.4</v>
      </c>
    </row>
    <row r="394" spans="1:20" hidden="1" x14ac:dyDescent="0.3">
      <c r="A394" s="1">
        <v>45069</v>
      </c>
      <c r="B394" s="2" t="s">
        <v>20</v>
      </c>
      <c r="C394" s="2" t="s">
        <v>21</v>
      </c>
      <c r="D394" s="2" t="s">
        <v>88</v>
      </c>
      <c r="E394" s="2" t="s">
        <v>111</v>
      </c>
      <c r="F394" s="2" t="s">
        <v>72</v>
      </c>
      <c r="G394">
        <v>60</v>
      </c>
      <c r="H394">
        <v>480</v>
      </c>
      <c r="I394">
        <v>9</v>
      </c>
      <c r="J394" s="3">
        <v>3381100</v>
      </c>
      <c r="K394" s="3">
        <v>30429900</v>
      </c>
      <c r="L394" s="2" t="s">
        <v>25</v>
      </c>
      <c r="M394" s="2" t="s">
        <v>26</v>
      </c>
      <c r="N394">
        <v>2023</v>
      </c>
      <c r="O394" s="2" t="s">
        <v>143</v>
      </c>
      <c r="P394" s="2" t="s">
        <v>145</v>
      </c>
      <c r="Q394">
        <v>5</v>
      </c>
      <c r="R394" s="4">
        <v>45047</v>
      </c>
      <c r="S394" s="3">
        <v>3381100</v>
      </c>
      <c r="T394" s="3">
        <v>3.04</v>
      </c>
    </row>
    <row r="395" spans="1:20" hidden="1" x14ac:dyDescent="0.3">
      <c r="A395" s="1">
        <v>45071</v>
      </c>
      <c r="B395" s="2" t="s">
        <v>48</v>
      </c>
      <c r="C395" s="2" t="s">
        <v>49</v>
      </c>
      <c r="D395" s="2" t="s">
        <v>57</v>
      </c>
      <c r="E395" s="2" t="s">
        <v>86</v>
      </c>
      <c r="F395" s="2" t="s">
        <v>72</v>
      </c>
      <c r="G395">
        <v>48</v>
      </c>
      <c r="H395">
        <v>39</v>
      </c>
      <c r="I395">
        <v>85</v>
      </c>
      <c r="J395" s="3">
        <v>2610200</v>
      </c>
      <c r="K395" s="3">
        <v>221867000</v>
      </c>
      <c r="L395" s="2" t="s">
        <v>33</v>
      </c>
      <c r="M395" s="2" t="s">
        <v>26</v>
      </c>
      <c r="N395">
        <v>2023</v>
      </c>
      <c r="O395" s="2" t="s">
        <v>143</v>
      </c>
      <c r="P395" s="2" t="s">
        <v>145</v>
      </c>
      <c r="Q395">
        <v>5</v>
      </c>
      <c r="R395" s="4">
        <v>45047</v>
      </c>
      <c r="S395" s="3">
        <v>2610200</v>
      </c>
      <c r="T395" s="3">
        <v>22.19</v>
      </c>
    </row>
    <row r="396" spans="1:20" hidden="1" x14ac:dyDescent="0.3">
      <c r="A396" s="1">
        <v>45071</v>
      </c>
      <c r="B396" s="2" t="s">
        <v>46</v>
      </c>
      <c r="C396" s="2" t="s">
        <v>56</v>
      </c>
      <c r="D396" s="2" t="s">
        <v>88</v>
      </c>
      <c r="E396" s="2" t="s">
        <v>89</v>
      </c>
      <c r="F396" s="2" t="s">
        <v>39</v>
      </c>
      <c r="G396">
        <v>82</v>
      </c>
      <c r="H396">
        <v>580</v>
      </c>
      <c r="I396">
        <v>31</v>
      </c>
      <c r="J396" s="3">
        <v>5524700</v>
      </c>
      <c r="K396" s="3">
        <v>171265700</v>
      </c>
      <c r="L396" s="2" t="s">
        <v>33</v>
      </c>
      <c r="M396" s="2" t="s">
        <v>26</v>
      </c>
      <c r="N396">
        <v>2023</v>
      </c>
      <c r="O396" s="2" t="s">
        <v>143</v>
      </c>
      <c r="P396" s="2" t="s">
        <v>145</v>
      </c>
      <c r="Q396">
        <v>5</v>
      </c>
      <c r="R396" s="4">
        <v>45047</v>
      </c>
      <c r="S396" s="3">
        <v>5524700</v>
      </c>
      <c r="T396" s="3">
        <v>17.13</v>
      </c>
    </row>
    <row r="397" spans="1:20" hidden="1" x14ac:dyDescent="0.3">
      <c r="A397" s="1">
        <v>45071</v>
      </c>
      <c r="B397" s="2" t="s">
        <v>106</v>
      </c>
      <c r="C397" s="2" t="s">
        <v>119</v>
      </c>
      <c r="D397" s="2" t="s">
        <v>70</v>
      </c>
      <c r="E397" s="2" t="s">
        <v>71</v>
      </c>
      <c r="F397" s="2" t="s">
        <v>24</v>
      </c>
      <c r="G397">
        <v>50</v>
      </c>
      <c r="H397">
        <v>46</v>
      </c>
      <c r="I397">
        <v>66</v>
      </c>
      <c r="J397" s="3">
        <v>2755900</v>
      </c>
      <c r="K397" s="3">
        <v>181889400</v>
      </c>
      <c r="L397" s="2" t="s">
        <v>25</v>
      </c>
      <c r="M397" s="2" t="s">
        <v>26</v>
      </c>
      <c r="N397">
        <v>2023</v>
      </c>
      <c r="O397" s="2" t="s">
        <v>143</v>
      </c>
      <c r="P397" s="2" t="s">
        <v>145</v>
      </c>
      <c r="Q397">
        <v>5</v>
      </c>
      <c r="R397" s="4">
        <v>45047</v>
      </c>
      <c r="S397" s="3">
        <v>2755900</v>
      </c>
      <c r="T397" s="3">
        <v>18.190000000000001</v>
      </c>
    </row>
    <row r="398" spans="1:20" hidden="1" x14ac:dyDescent="0.3">
      <c r="A398" s="1">
        <v>45072</v>
      </c>
      <c r="B398" s="2" t="s">
        <v>35</v>
      </c>
      <c r="C398" s="2" t="s">
        <v>87</v>
      </c>
      <c r="D398" s="2" t="s">
        <v>57</v>
      </c>
      <c r="E398" s="2" t="s">
        <v>58</v>
      </c>
      <c r="F398" s="2" t="s">
        <v>39</v>
      </c>
      <c r="G398">
        <v>72</v>
      </c>
      <c r="H398">
        <v>488</v>
      </c>
      <c r="I398">
        <v>130</v>
      </c>
      <c r="J398" s="3">
        <v>5281200</v>
      </c>
      <c r="K398" s="3">
        <v>686556000</v>
      </c>
      <c r="L398" s="2" t="s">
        <v>33</v>
      </c>
      <c r="M398" s="2" t="s">
        <v>34</v>
      </c>
      <c r="N398">
        <v>2023</v>
      </c>
      <c r="O398" s="2" t="s">
        <v>143</v>
      </c>
      <c r="P398" s="2" t="s">
        <v>145</v>
      </c>
      <c r="Q398">
        <v>5</v>
      </c>
      <c r="R398" s="4">
        <v>45047</v>
      </c>
      <c r="S398" s="3">
        <v>5281200</v>
      </c>
      <c r="T398" s="3">
        <v>68.66</v>
      </c>
    </row>
    <row r="399" spans="1:20" hidden="1" x14ac:dyDescent="0.3">
      <c r="A399" s="1">
        <v>45072</v>
      </c>
      <c r="B399" s="2" t="s">
        <v>90</v>
      </c>
      <c r="C399" s="2" t="s">
        <v>99</v>
      </c>
      <c r="D399" s="2" t="s">
        <v>94</v>
      </c>
      <c r="E399" s="2" t="s">
        <v>115</v>
      </c>
      <c r="F399" s="2" t="s">
        <v>24</v>
      </c>
      <c r="G399">
        <v>24</v>
      </c>
      <c r="H399">
        <v>24</v>
      </c>
      <c r="I399">
        <v>18</v>
      </c>
      <c r="J399" s="3">
        <v>1471600</v>
      </c>
      <c r="K399" s="3">
        <v>26488800</v>
      </c>
      <c r="L399" s="2" t="s">
        <v>92</v>
      </c>
      <c r="M399" s="2" t="s">
        <v>34</v>
      </c>
      <c r="N399">
        <v>2023</v>
      </c>
      <c r="O399" s="2" t="s">
        <v>143</v>
      </c>
      <c r="P399" s="2" t="s">
        <v>145</v>
      </c>
      <c r="Q399">
        <v>5</v>
      </c>
      <c r="R399" s="4">
        <v>45047</v>
      </c>
      <c r="S399" s="3">
        <v>1471600</v>
      </c>
      <c r="T399" s="3">
        <v>2.65</v>
      </c>
    </row>
    <row r="400" spans="1:20" hidden="1" x14ac:dyDescent="0.3">
      <c r="A400" s="1">
        <v>45072</v>
      </c>
      <c r="B400" s="2" t="s">
        <v>40</v>
      </c>
      <c r="C400" s="2" t="s">
        <v>136</v>
      </c>
      <c r="D400" s="2" t="s">
        <v>54</v>
      </c>
      <c r="E400" s="2" t="s">
        <v>55</v>
      </c>
      <c r="F400" s="2" t="s">
        <v>24</v>
      </c>
      <c r="G400">
        <v>30</v>
      </c>
      <c r="H400">
        <v>320</v>
      </c>
      <c r="I400">
        <v>10</v>
      </c>
      <c r="J400" s="3">
        <v>1568400</v>
      </c>
      <c r="K400" s="3">
        <v>15684000</v>
      </c>
      <c r="L400" s="2" t="s">
        <v>33</v>
      </c>
      <c r="M400" s="2" t="s">
        <v>77</v>
      </c>
      <c r="N400">
        <v>2023</v>
      </c>
      <c r="O400" s="2" t="s">
        <v>143</v>
      </c>
      <c r="P400" s="2" t="s">
        <v>145</v>
      </c>
      <c r="Q400">
        <v>5</v>
      </c>
      <c r="R400" s="4">
        <v>45047</v>
      </c>
      <c r="S400" s="3">
        <v>1568400</v>
      </c>
      <c r="T400" s="3">
        <v>1.57</v>
      </c>
    </row>
    <row r="401" spans="1:20" hidden="1" x14ac:dyDescent="0.3">
      <c r="A401" s="1">
        <v>45072</v>
      </c>
      <c r="B401" s="2" t="s">
        <v>108</v>
      </c>
      <c r="C401" s="2" t="s">
        <v>123</v>
      </c>
      <c r="D401" s="2" t="s">
        <v>57</v>
      </c>
      <c r="E401" s="2" t="s">
        <v>86</v>
      </c>
      <c r="F401" s="2" t="s">
        <v>24</v>
      </c>
      <c r="G401">
        <v>48</v>
      </c>
      <c r="H401">
        <v>39</v>
      </c>
      <c r="I401">
        <v>44</v>
      </c>
      <c r="J401" s="3">
        <v>2000300</v>
      </c>
      <c r="K401" s="3">
        <v>88013200</v>
      </c>
      <c r="L401" s="2" t="s">
        <v>25</v>
      </c>
      <c r="M401" s="2" t="s">
        <v>26</v>
      </c>
      <c r="N401">
        <v>2023</v>
      </c>
      <c r="O401" s="2" t="s">
        <v>143</v>
      </c>
      <c r="P401" s="2" t="s">
        <v>145</v>
      </c>
      <c r="Q401">
        <v>5</v>
      </c>
      <c r="R401" s="4">
        <v>45047</v>
      </c>
      <c r="S401" s="3">
        <v>2000300</v>
      </c>
      <c r="T401" s="3">
        <v>8.8000000000000007</v>
      </c>
    </row>
    <row r="402" spans="1:20" hidden="1" x14ac:dyDescent="0.3">
      <c r="A402" s="1">
        <v>45072</v>
      </c>
      <c r="B402" s="2" t="s">
        <v>84</v>
      </c>
      <c r="C402" s="2" t="s">
        <v>93</v>
      </c>
      <c r="D402" s="2" t="s">
        <v>100</v>
      </c>
      <c r="E402" s="2" t="s">
        <v>101</v>
      </c>
      <c r="F402" s="2" t="s">
        <v>24</v>
      </c>
      <c r="G402">
        <v>3</v>
      </c>
      <c r="H402">
        <v>150</v>
      </c>
      <c r="I402">
        <v>161</v>
      </c>
      <c r="J402" s="3">
        <v>171700</v>
      </c>
      <c r="K402" s="3">
        <v>27643700</v>
      </c>
      <c r="L402" s="2" t="s">
        <v>25</v>
      </c>
      <c r="M402" s="2" t="s">
        <v>26</v>
      </c>
      <c r="N402">
        <v>2023</v>
      </c>
      <c r="O402" s="2" t="s">
        <v>143</v>
      </c>
      <c r="P402" s="2" t="s">
        <v>145</v>
      </c>
      <c r="Q402">
        <v>5</v>
      </c>
      <c r="R402" s="4">
        <v>45047</v>
      </c>
      <c r="S402" s="3">
        <v>171700</v>
      </c>
      <c r="T402" s="3">
        <v>2.76</v>
      </c>
    </row>
    <row r="403" spans="1:20" hidden="1" x14ac:dyDescent="0.3">
      <c r="A403" s="1">
        <v>45073</v>
      </c>
      <c r="B403" s="2" t="s">
        <v>20</v>
      </c>
      <c r="C403" s="2" t="s">
        <v>21</v>
      </c>
      <c r="D403" s="2" t="s">
        <v>94</v>
      </c>
      <c r="E403" s="2" t="s">
        <v>140</v>
      </c>
      <c r="F403" s="2" t="s">
        <v>138</v>
      </c>
      <c r="G403">
        <v>35</v>
      </c>
      <c r="H403">
        <v>32</v>
      </c>
      <c r="I403">
        <v>150</v>
      </c>
      <c r="J403" s="3">
        <v>1893200</v>
      </c>
      <c r="K403" s="3">
        <v>283980000</v>
      </c>
      <c r="L403" s="2" t="s">
        <v>33</v>
      </c>
      <c r="M403" s="2" t="s">
        <v>77</v>
      </c>
      <c r="N403">
        <v>2023</v>
      </c>
      <c r="O403" s="2" t="s">
        <v>143</v>
      </c>
      <c r="P403" s="2" t="s">
        <v>145</v>
      </c>
      <c r="Q403">
        <v>5</v>
      </c>
      <c r="R403" s="4">
        <v>45047</v>
      </c>
      <c r="S403" s="3">
        <v>1893200</v>
      </c>
      <c r="T403" s="3">
        <v>28.4</v>
      </c>
    </row>
    <row r="404" spans="1:20" hidden="1" x14ac:dyDescent="0.3">
      <c r="A404" s="1">
        <v>45073</v>
      </c>
      <c r="B404" s="2" t="s">
        <v>35</v>
      </c>
      <c r="C404" s="2" t="s">
        <v>87</v>
      </c>
      <c r="D404" s="2" t="s">
        <v>67</v>
      </c>
      <c r="E404" s="2" t="s">
        <v>118</v>
      </c>
      <c r="F404" s="2" t="s">
        <v>24</v>
      </c>
      <c r="G404">
        <v>84</v>
      </c>
      <c r="H404">
        <v>590</v>
      </c>
      <c r="I404">
        <v>42</v>
      </c>
      <c r="J404" s="3">
        <v>8681000</v>
      </c>
      <c r="K404" s="3">
        <v>364602000</v>
      </c>
      <c r="L404" s="2" t="s">
        <v>33</v>
      </c>
      <c r="M404" s="2" t="s">
        <v>34</v>
      </c>
      <c r="N404">
        <v>2023</v>
      </c>
      <c r="O404" s="2" t="s">
        <v>143</v>
      </c>
      <c r="P404" s="2" t="s">
        <v>145</v>
      </c>
      <c r="Q404">
        <v>5</v>
      </c>
      <c r="R404" s="4">
        <v>45047</v>
      </c>
      <c r="S404" s="3">
        <v>8681000</v>
      </c>
      <c r="T404" s="3">
        <v>36.46</v>
      </c>
    </row>
    <row r="405" spans="1:20" hidden="1" x14ac:dyDescent="0.3">
      <c r="A405" s="1">
        <v>45073</v>
      </c>
      <c r="B405" s="2" t="s">
        <v>20</v>
      </c>
      <c r="C405" s="2" t="s">
        <v>21</v>
      </c>
      <c r="D405" s="2" t="s">
        <v>82</v>
      </c>
      <c r="E405" s="2" t="s">
        <v>141</v>
      </c>
      <c r="F405" s="2" t="s">
        <v>24</v>
      </c>
      <c r="G405">
        <v>59</v>
      </c>
      <c r="H405">
        <v>55</v>
      </c>
      <c r="I405">
        <v>56</v>
      </c>
      <c r="J405" s="3">
        <v>2631300</v>
      </c>
      <c r="K405" s="3">
        <v>147352800</v>
      </c>
      <c r="L405" s="2" t="s">
        <v>33</v>
      </c>
      <c r="M405" s="2" t="s">
        <v>34</v>
      </c>
      <c r="N405">
        <v>2023</v>
      </c>
      <c r="O405" s="2" t="s">
        <v>143</v>
      </c>
      <c r="P405" s="2" t="s">
        <v>145</v>
      </c>
      <c r="Q405">
        <v>5</v>
      </c>
      <c r="R405" s="4">
        <v>45047</v>
      </c>
      <c r="S405" s="3">
        <v>2631300</v>
      </c>
      <c r="T405" s="3">
        <v>14.74</v>
      </c>
    </row>
    <row r="406" spans="1:20" hidden="1" x14ac:dyDescent="0.3">
      <c r="A406" s="1">
        <v>45074</v>
      </c>
      <c r="B406" s="2" t="s">
        <v>29</v>
      </c>
      <c r="C406" s="2" t="s">
        <v>30</v>
      </c>
      <c r="D406" s="2" t="s">
        <v>22</v>
      </c>
      <c r="E406" s="2" t="s">
        <v>23</v>
      </c>
      <c r="F406" s="2" t="s">
        <v>24</v>
      </c>
      <c r="G406">
        <v>82</v>
      </c>
      <c r="H406">
        <v>520</v>
      </c>
      <c r="I406">
        <v>44</v>
      </c>
      <c r="J406" s="3">
        <v>7673600</v>
      </c>
      <c r="K406" s="3">
        <v>337638400</v>
      </c>
      <c r="L406" s="2" t="s">
        <v>25</v>
      </c>
      <c r="M406" s="2" t="s">
        <v>77</v>
      </c>
      <c r="N406">
        <v>2023</v>
      </c>
      <c r="O406" s="2" t="s">
        <v>143</v>
      </c>
      <c r="P406" s="2" t="s">
        <v>145</v>
      </c>
      <c r="Q406">
        <v>5</v>
      </c>
      <c r="R406" s="4">
        <v>45047</v>
      </c>
      <c r="S406" s="3">
        <v>7673600</v>
      </c>
      <c r="T406" s="3">
        <v>33.76</v>
      </c>
    </row>
    <row r="407" spans="1:20" hidden="1" x14ac:dyDescent="0.3">
      <c r="A407" s="1">
        <v>45075</v>
      </c>
      <c r="B407" s="2" t="s">
        <v>48</v>
      </c>
      <c r="C407" s="2" t="s">
        <v>69</v>
      </c>
      <c r="D407" s="2" t="s">
        <v>82</v>
      </c>
      <c r="E407" s="2" t="s">
        <v>83</v>
      </c>
      <c r="F407" s="2" t="s">
        <v>39</v>
      </c>
      <c r="G407">
        <v>40</v>
      </c>
      <c r="H407">
        <v>39</v>
      </c>
      <c r="I407">
        <v>62</v>
      </c>
      <c r="J407" s="3">
        <v>2589700</v>
      </c>
      <c r="K407" s="3">
        <v>160561400</v>
      </c>
      <c r="L407" s="2" t="s">
        <v>33</v>
      </c>
      <c r="M407" s="2" t="s">
        <v>26</v>
      </c>
      <c r="N407">
        <v>2023</v>
      </c>
      <c r="O407" s="2" t="s">
        <v>143</v>
      </c>
      <c r="P407" s="2" t="s">
        <v>145</v>
      </c>
      <c r="Q407">
        <v>5</v>
      </c>
      <c r="R407" s="4">
        <v>45047</v>
      </c>
      <c r="S407" s="3">
        <v>2589700</v>
      </c>
      <c r="T407" s="3">
        <v>16.059999999999999</v>
      </c>
    </row>
    <row r="408" spans="1:20" hidden="1" x14ac:dyDescent="0.3">
      <c r="A408" s="1">
        <v>45076</v>
      </c>
      <c r="B408" s="2" t="s">
        <v>108</v>
      </c>
      <c r="C408" s="2" t="s">
        <v>109</v>
      </c>
      <c r="D408" s="2" t="s">
        <v>42</v>
      </c>
      <c r="E408" s="2" t="s">
        <v>43</v>
      </c>
      <c r="F408" s="2" t="s">
        <v>24</v>
      </c>
      <c r="G408">
        <v>3</v>
      </c>
      <c r="H408">
        <v>135</v>
      </c>
      <c r="I408">
        <v>167</v>
      </c>
      <c r="J408" s="3">
        <v>116900</v>
      </c>
      <c r="K408" s="3">
        <v>19522300</v>
      </c>
      <c r="L408" s="2" t="s">
        <v>25</v>
      </c>
      <c r="M408" s="2" t="s">
        <v>77</v>
      </c>
      <c r="N408">
        <v>2023</v>
      </c>
      <c r="O408" s="2" t="s">
        <v>143</v>
      </c>
      <c r="P408" s="2" t="s">
        <v>145</v>
      </c>
      <c r="Q408">
        <v>5</v>
      </c>
      <c r="R408" s="4">
        <v>45047</v>
      </c>
      <c r="S408" s="3">
        <v>116900</v>
      </c>
      <c r="T408" s="3">
        <v>1.95</v>
      </c>
    </row>
    <row r="409" spans="1:20" hidden="1" x14ac:dyDescent="0.3">
      <c r="A409" s="1">
        <v>45077</v>
      </c>
      <c r="B409" s="2" t="s">
        <v>40</v>
      </c>
      <c r="C409" s="2" t="s">
        <v>105</v>
      </c>
      <c r="D409" s="2" t="s">
        <v>42</v>
      </c>
      <c r="E409" s="2" t="s">
        <v>43</v>
      </c>
      <c r="F409" s="2" t="s">
        <v>24</v>
      </c>
      <c r="G409">
        <v>3</v>
      </c>
      <c r="H409">
        <v>135</v>
      </c>
      <c r="I409">
        <v>133</v>
      </c>
      <c r="J409" s="3">
        <v>105700</v>
      </c>
      <c r="K409" s="3">
        <v>14058100</v>
      </c>
      <c r="L409" s="2" t="s">
        <v>33</v>
      </c>
      <c r="M409" s="2" t="s">
        <v>97</v>
      </c>
      <c r="N409">
        <v>2023</v>
      </c>
      <c r="O409" s="2" t="s">
        <v>143</v>
      </c>
      <c r="P409" s="2" t="s">
        <v>145</v>
      </c>
      <c r="Q409">
        <v>5</v>
      </c>
      <c r="R409" s="4">
        <v>45047</v>
      </c>
      <c r="S409" s="3">
        <v>105700</v>
      </c>
      <c r="T409" s="3">
        <v>1.41</v>
      </c>
    </row>
    <row r="410" spans="1:20" hidden="1" x14ac:dyDescent="0.3">
      <c r="A410" s="1">
        <v>45078</v>
      </c>
      <c r="B410" s="2" t="s">
        <v>90</v>
      </c>
      <c r="C410" s="2" t="s">
        <v>99</v>
      </c>
      <c r="D410" s="2" t="s">
        <v>82</v>
      </c>
      <c r="E410" s="2" t="s">
        <v>83</v>
      </c>
      <c r="F410" s="2" t="s">
        <v>72</v>
      </c>
      <c r="G410">
        <v>40</v>
      </c>
      <c r="H410">
        <v>39</v>
      </c>
      <c r="I410">
        <v>57</v>
      </c>
      <c r="J410" s="3">
        <v>2186300</v>
      </c>
      <c r="K410" s="3">
        <v>124619100</v>
      </c>
      <c r="L410" s="2" t="s">
        <v>25</v>
      </c>
      <c r="M410" s="2" t="s">
        <v>26</v>
      </c>
      <c r="N410">
        <v>2023</v>
      </c>
      <c r="O410" s="2" t="s">
        <v>143</v>
      </c>
      <c r="P410" s="2" t="s">
        <v>146</v>
      </c>
      <c r="Q410">
        <v>6</v>
      </c>
      <c r="R410" s="4">
        <v>45078</v>
      </c>
      <c r="S410" s="3">
        <v>2186300</v>
      </c>
      <c r="T410" s="3">
        <v>12.46</v>
      </c>
    </row>
    <row r="411" spans="1:20" hidden="1" x14ac:dyDescent="0.3">
      <c r="A411" s="1">
        <v>45079</v>
      </c>
      <c r="B411" s="2" t="s">
        <v>90</v>
      </c>
      <c r="C411" s="2" t="s">
        <v>114</v>
      </c>
      <c r="D411" s="2" t="s">
        <v>42</v>
      </c>
      <c r="E411" s="2" t="s">
        <v>43</v>
      </c>
      <c r="F411" s="2" t="s">
        <v>24</v>
      </c>
      <c r="G411">
        <v>3</v>
      </c>
      <c r="H411">
        <v>135</v>
      </c>
      <c r="I411">
        <v>151</v>
      </c>
      <c r="J411" s="3">
        <v>136300</v>
      </c>
      <c r="K411" s="3">
        <v>20581300</v>
      </c>
      <c r="L411" s="2" t="s">
        <v>25</v>
      </c>
      <c r="M411" s="2" t="s">
        <v>26</v>
      </c>
      <c r="N411">
        <v>2023</v>
      </c>
      <c r="O411" s="2" t="s">
        <v>143</v>
      </c>
      <c r="P411" s="2" t="s">
        <v>146</v>
      </c>
      <c r="Q411">
        <v>6</v>
      </c>
      <c r="R411" s="4">
        <v>45078</v>
      </c>
      <c r="S411" s="3">
        <v>136300</v>
      </c>
      <c r="T411" s="3">
        <v>2.06</v>
      </c>
    </row>
    <row r="412" spans="1:20" hidden="1" x14ac:dyDescent="0.3">
      <c r="A412" s="1">
        <v>45080</v>
      </c>
      <c r="B412" s="2" t="s">
        <v>84</v>
      </c>
      <c r="C412" s="2" t="s">
        <v>85</v>
      </c>
      <c r="D412" s="2" t="s">
        <v>50</v>
      </c>
      <c r="E412" s="2" t="s">
        <v>51</v>
      </c>
      <c r="F412" s="2" t="s">
        <v>24</v>
      </c>
      <c r="G412">
        <v>77</v>
      </c>
      <c r="H412">
        <v>528</v>
      </c>
      <c r="I412">
        <v>52</v>
      </c>
      <c r="J412" s="3">
        <v>5535700</v>
      </c>
      <c r="K412" s="3">
        <v>287856400</v>
      </c>
      <c r="L412" s="2" t="s">
        <v>25</v>
      </c>
      <c r="M412" s="2" t="s">
        <v>77</v>
      </c>
      <c r="N412">
        <v>2023</v>
      </c>
      <c r="O412" s="2" t="s">
        <v>143</v>
      </c>
      <c r="P412" s="2" t="s">
        <v>146</v>
      </c>
      <c r="Q412">
        <v>6</v>
      </c>
      <c r="R412" s="4">
        <v>45078</v>
      </c>
      <c r="S412" s="3">
        <v>5535700</v>
      </c>
      <c r="T412" s="3">
        <v>28.79</v>
      </c>
    </row>
    <row r="413" spans="1:20" hidden="1" x14ac:dyDescent="0.3">
      <c r="A413" s="1">
        <v>45080</v>
      </c>
      <c r="B413" s="2" t="s">
        <v>40</v>
      </c>
      <c r="C413" s="2" t="s">
        <v>105</v>
      </c>
      <c r="D413" s="2" t="s">
        <v>94</v>
      </c>
      <c r="E413" s="2" t="s">
        <v>115</v>
      </c>
      <c r="F413" s="2" t="s">
        <v>24</v>
      </c>
      <c r="G413">
        <v>24</v>
      </c>
      <c r="H413">
        <v>24</v>
      </c>
      <c r="I413">
        <v>137</v>
      </c>
      <c r="J413" s="3">
        <v>1506900</v>
      </c>
      <c r="K413" s="3">
        <v>206445300</v>
      </c>
      <c r="L413" s="2" t="s">
        <v>33</v>
      </c>
      <c r="M413" s="2" t="s">
        <v>26</v>
      </c>
      <c r="N413">
        <v>2023</v>
      </c>
      <c r="O413" s="2" t="s">
        <v>143</v>
      </c>
      <c r="P413" s="2" t="s">
        <v>146</v>
      </c>
      <c r="Q413">
        <v>6</v>
      </c>
      <c r="R413" s="4">
        <v>45078</v>
      </c>
      <c r="S413" s="3">
        <v>1506900</v>
      </c>
      <c r="T413" s="3">
        <v>20.64</v>
      </c>
    </row>
    <row r="414" spans="1:20" hidden="1" x14ac:dyDescent="0.3">
      <c r="A414" s="1">
        <v>45080</v>
      </c>
      <c r="B414" s="2" t="s">
        <v>29</v>
      </c>
      <c r="C414" s="2" t="s">
        <v>65</v>
      </c>
      <c r="D414" s="2" t="s">
        <v>57</v>
      </c>
      <c r="E414" s="2" t="s">
        <v>86</v>
      </c>
      <c r="F414" s="2" t="s">
        <v>24</v>
      </c>
      <c r="G414">
        <v>48</v>
      </c>
      <c r="H414">
        <v>39</v>
      </c>
      <c r="I414">
        <v>172</v>
      </c>
      <c r="J414" s="3">
        <v>2052600</v>
      </c>
      <c r="K414" s="3">
        <v>353047200</v>
      </c>
      <c r="L414" s="2" t="s">
        <v>33</v>
      </c>
      <c r="M414" s="2" t="s">
        <v>26</v>
      </c>
      <c r="N414">
        <v>2023</v>
      </c>
      <c r="O414" s="2" t="s">
        <v>143</v>
      </c>
      <c r="P414" s="2" t="s">
        <v>146</v>
      </c>
      <c r="Q414">
        <v>6</v>
      </c>
      <c r="R414" s="4">
        <v>45078</v>
      </c>
      <c r="S414" s="3">
        <v>2052600</v>
      </c>
      <c r="T414" s="3">
        <v>35.299999999999997</v>
      </c>
    </row>
    <row r="415" spans="1:20" hidden="1" x14ac:dyDescent="0.3">
      <c r="A415" s="1">
        <v>45080</v>
      </c>
      <c r="B415" s="2" t="s">
        <v>84</v>
      </c>
      <c r="C415" s="2" t="s">
        <v>113</v>
      </c>
      <c r="D415" s="2" t="s">
        <v>82</v>
      </c>
      <c r="E415" s="2" t="s">
        <v>83</v>
      </c>
      <c r="F415" s="2" t="s">
        <v>24</v>
      </c>
      <c r="G415">
        <v>40</v>
      </c>
      <c r="H415">
        <v>39</v>
      </c>
      <c r="I415">
        <v>134</v>
      </c>
      <c r="J415" s="3">
        <v>2545900</v>
      </c>
      <c r="K415" s="3">
        <v>341150600</v>
      </c>
      <c r="L415" s="2" t="s">
        <v>33</v>
      </c>
      <c r="M415" s="2" t="s">
        <v>26</v>
      </c>
      <c r="N415">
        <v>2023</v>
      </c>
      <c r="O415" s="2" t="s">
        <v>143</v>
      </c>
      <c r="P415" s="2" t="s">
        <v>146</v>
      </c>
      <c r="Q415">
        <v>6</v>
      </c>
      <c r="R415" s="4">
        <v>45078</v>
      </c>
      <c r="S415" s="3">
        <v>2545900</v>
      </c>
      <c r="T415" s="3">
        <v>34.119999999999997</v>
      </c>
    </row>
    <row r="416" spans="1:20" hidden="1" x14ac:dyDescent="0.3">
      <c r="A416" s="1">
        <v>45080</v>
      </c>
      <c r="B416" s="2" t="s">
        <v>46</v>
      </c>
      <c r="C416" s="2" t="s">
        <v>47</v>
      </c>
      <c r="D416" s="2" t="s">
        <v>22</v>
      </c>
      <c r="E416" s="2" t="s">
        <v>23</v>
      </c>
      <c r="F416" s="2" t="s">
        <v>24</v>
      </c>
      <c r="G416">
        <v>82</v>
      </c>
      <c r="H416">
        <v>520</v>
      </c>
      <c r="I416">
        <v>7</v>
      </c>
      <c r="J416" s="3">
        <v>6744900</v>
      </c>
      <c r="K416" s="3">
        <v>47214300</v>
      </c>
      <c r="L416" s="2" t="s">
        <v>33</v>
      </c>
      <c r="M416" s="2" t="s">
        <v>26</v>
      </c>
      <c r="N416">
        <v>2023</v>
      </c>
      <c r="O416" s="2" t="s">
        <v>143</v>
      </c>
      <c r="P416" s="2" t="s">
        <v>146</v>
      </c>
      <c r="Q416">
        <v>6</v>
      </c>
      <c r="R416" s="4">
        <v>45078</v>
      </c>
      <c r="S416" s="3">
        <v>6744900</v>
      </c>
      <c r="T416" s="3">
        <v>4.72</v>
      </c>
    </row>
    <row r="417" spans="1:20" hidden="1" x14ac:dyDescent="0.3">
      <c r="A417" s="1">
        <v>45080</v>
      </c>
      <c r="B417" s="2" t="s">
        <v>29</v>
      </c>
      <c r="C417" s="2" t="s">
        <v>96</v>
      </c>
      <c r="D417" s="2" t="s">
        <v>63</v>
      </c>
      <c r="E417" s="2" t="s">
        <v>64</v>
      </c>
      <c r="F417" s="2" t="s">
        <v>24</v>
      </c>
      <c r="G417">
        <v>3</v>
      </c>
      <c r="H417">
        <v>127</v>
      </c>
      <c r="I417">
        <v>45</v>
      </c>
      <c r="J417" s="3">
        <v>155900</v>
      </c>
      <c r="K417" s="3">
        <v>7015500</v>
      </c>
      <c r="L417" s="2" t="s">
        <v>25</v>
      </c>
      <c r="M417" s="2" t="s">
        <v>26</v>
      </c>
      <c r="N417">
        <v>2023</v>
      </c>
      <c r="O417" s="2" t="s">
        <v>143</v>
      </c>
      <c r="P417" s="2" t="s">
        <v>146</v>
      </c>
      <c r="Q417">
        <v>6</v>
      </c>
      <c r="R417" s="4">
        <v>45078</v>
      </c>
      <c r="S417" s="3">
        <v>155900</v>
      </c>
      <c r="T417" s="3">
        <v>0.7</v>
      </c>
    </row>
    <row r="418" spans="1:20" hidden="1" x14ac:dyDescent="0.3">
      <c r="A418" s="1">
        <v>45081</v>
      </c>
      <c r="B418" s="2" t="s">
        <v>40</v>
      </c>
      <c r="C418" s="2" t="s">
        <v>105</v>
      </c>
      <c r="D418" s="2" t="s">
        <v>100</v>
      </c>
      <c r="E418" s="2" t="s">
        <v>101</v>
      </c>
      <c r="F418" s="2" t="s">
        <v>24</v>
      </c>
      <c r="G418">
        <v>3</v>
      </c>
      <c r="H418">
        <v>150</v>
      </c>
      <c r="I418">
        <v>76</v>
      </c>
      <c r="J418" s="3">
        <v>141900</v>
      </c>
      <c r="K418" s="3">
        <v>10784400</v>
      </c>
      <c r="L418" s="2" t="s">
        <v>25</v>
      </c>
      <c r="M418" s="2" t="s">
        <v>26</v>
      </c>
      <c r="N418">
        <v>2023</v>
      </c>
      <c r="O418" s="2" t="s">
        <v>143</v>
      </c>
      <c r="P418" s="2" t="s">
        <v>146</v>
      </c>
      <c r="Q418">
        <v>6</v>
      </c>
      <c r="R418" s="4">
        <v>45078</v>
      </c>
      <c r="S418" s="3">
        <v>141900</v>
      </c>
      <c r="T418" s="3">
        <v>1.08</v>
      </c>
    </row>
    <row r="419" spans="1:20" hidden="1" x14ac:dyDescent="0.3">
      <c r="A419" s="1">
        <v>45082</v>
      </c>
      <c r="B419" s="2" t="s">
        <v>84</v>
      </c>
      <c r="C419" s="2" t="s">
        <v>126</v>
      </c>
      <c r="D419" s="2" t="s">
        <v>22</v>
      </c>
      <c r="E419" s="2" t="s">
        <v>23</v>
      </c>
      <c r="F419" s="2" t="s">
        <v>24</v>
      </c>
      <c r="G419">
        <v>82</v>
      </c>
      <c r="H419">
        <v>520</v>
      </c>
      <c r="I419">
        <v>21</v>
      </c>
      <c r="J419" s="3">
        <v>6510900</v>
      </c>
      <c r="K419" s="3">
        <v>136728900</v>
      </c>
      <c r="L419" s="2" t="s">
        <v>25</v>
      </c>
      <c r="M419" s="2" t="s">
        <v>26</v>
      </c>
      <c r="N419">
        <v>2023</v>
      </c>
      <c r="O419" s="2" t="s">
        <v>143</v>
      </c>
      <c r="P419" s="2" t="s">
        <v>146</v>
      </c>
      <c r="Q419">
        <v>6</v>
      </c>
      <c r="R419" s="4">
        <v>45078</v>
      </c>
      <c r="S419" s="3">
        <v>6510900</v>
      </c>
      <c r="T419" s="3">
        <v>13.67</v>
      </c>
    </row>
    <row r="420" spans="1:20" hidden="1" x14ac:dyDescent="0.3">
      <c r="A420" s="1">
        <v>45082</v>
      </c>
      <c r="B420" s="2" t="s">
        <v>46</v>
      </c>
      <c r="C420" s="2" t="s">
        <v>110</v>
      </c>
      <c r="D420" s="2" t="s">
        <v>82</v>
      </c>
      <c r="E420" s="2" t="s">
        <v>141</v>
      </c>
      <c r="F420" s="2" t="s">
        <v>24</v>
      </c>
      <c r="G420">
        <v>59</v>
      </c>
      <c r="H420">
        <v>55</v>
      </c>
      <c r="I420">
        <v>177</v>
      </c>
      <c r="J420" s="3">
        <v>2917800</v>
      </c>
      <c r="K420" s="3">
        <v>516450600</v>
      </c>
      <c r="L420" s="2" t="s">
        <v>33</v>
      </c>
      <c r="M420" s="2" t="s">
        <v>26</v>
      </c>
      <c r="N420">
        <v>2023</v>
      </c>
      <c r="O420" s="2" t="s">
        <v>143</v>
      </c>
      <c r="P420" s="2" t="s">
        <v>146</v>
      </c>
      <c r="Q420">
        <v>6</v>
      </c>
      <c r="R420" s="4">
        <v>45078</v>
      </c>
      <c r="S420" s="3">
        <v>2917800</v>
      </c>
      <c r="T420" s="3">
        <v>51.65</v>
      </c>
    </row>
    <row r="421" spans="1:20" hidden="1" x14ac:dyDescent="0.3">
      <c r="A421" s="1">
        <v>45083</v>
      </c>
      <c r="B421" s="2" t="s">
        <v>90</v>
      </c>
      <c r="C421" s="2" t="s">
        <v>114</v>
      </c>
      <c r="D421" s="2" t="s">
        <v>57</v>
      </c>
      <c r="E421" s="2" t="s">
        <v>58</v>
      </c>
      <c r="F421" s="2" t="s">
        <v>24</v>
      </c>
      <c r="G421">
        <v>72</v>
      </c>
      <c r="H421">
        <v>488</v>
      </c>
      <c r="I421">
        <v>84</v>
      </c>
      <c r="J421" s="3">
        <v>4932400</v>
      </c>
      <c r="K421" s="3">
        <v>414321600</v>
      </c>
      <c r="L421" s="2" t="s">
        <v>33</v>
      </c>
      <c r="M421" s="2" t="s">
        <v>26</v>
      </c>
      <c r="N421">
        <v>2023</v>
      </c>
      <c r="O421" s="2" t="s">
        <v>143</v>
      </c>
      <c r="P421" s="2" t="s">
        <v>146</v>
      </c>
      <c r="Q421">
        <v>6</v>
      </c>
      <c r="R421" s="4">
        <v>45078</v>
      </c>
      <c r="S421" s="3">
        <v>4932400</v>
      </c>
      <c r="T421" s="3">
        <v>41.43</v>
      </c>
    </row>
    <row r="422" spans="1:20" hidden="1" x14ac:dyDescent="0.3">
      <c r="A422" s="1">
        <v>45083</v>
      </c>
      <c r="B422" s="2" t="s">
        <v>46</v>
      </c>
      <c r="C422" s="2" t="s">
        <v>137</v>
      </c>
      <c r="D422" s="2" t="s">
        <v>22</v>
      </c>
      <c r="E422" s="2" t="s">
        <v>23</v>
      </c>
      <c r="F422" s="2" t="s">
        <v>138</v>
      </c>
      <c r="G422">
        <v>82</v>
      </c>
      <c r="H422">
        <v>520</v>
      </c>
      <c r="I422">
        <v>24</v>
      </c>
      <c r="J422" s="3">
        <v>5964800</v>
      </c>
      <c r="K422" s="3">
        <v>143155200</v>
      </c>
      <c r="L422" s="2" t="s">
        <v>33</v>
      </c>
      <c r="M422" s="2" t="s">
        <v>34</v>
      </c>
      <c r="N422">
        <v>2023</v>
      </c>
      <c r="O422" s="2" t="s">
        <v>143</v>
      </c>
      <c r="P422" s="2" t="s">
        <v>146</v>
      </c>
      <c r="Q422">
        <v>6</v>
      </c>
      <c r="R422" s="4">
        <v>45078</v>
      </c>
      <c r="S422" s="3">
        <v>5964800</v>
      </c>
      <c r="T422" s="3">
        <v>14.32</v>
      </c>
    </row>
    <row r="423" spans="1:20" hidden="1" x14ac:dyDescent="0.3">
      <c r="A423" s="1">
        <v>45084</v>
      </c>
      <c r="B423" s="2" t="s">
        <v>84</v>
      </c>
      <c r="C423" s="2" t="s">
        <v>113</v>
      </c>
      <c r="D423" s="2" t="s">
        <v>63</v>
      </c>
      <c r="E423" s="2" t="s">
        <v>64</v>
      </c>
      <c r="F423" s="2" t="s">
        <v>24</v>
      </c>
      <c r="G423">
        <v>3</v>
      </c>
      <c r="H423">
        <v>127</v>
      </c>
      <c r="I423">
        <v>88</v>
      </c>
      <c r="J423" s="3">
        <v>152900</v>
      </c>
      <c r="K423" s="3">
        <v>13455200</v>
      </c>
      <c r="L423" s="2" t="s">
        <v>33</v>
      </c>
      <c r="M423" s="2" t="s">
        <v>34</v>
      </c>
      <c r="N423">
        <v>2023</v>
      </c>
      <c r="O423" s="2" t="s">
        <v>143</v>
      </c>
      <c r="P423" s="2" t="s">
        <v>146</v>
      </c>
      <c r="Q423">
        <v>6</v>
      </c>
      <c r="R423" s="4">
        <v>45078</v>
      </c>
      <c r="S423" s="3">
        <v>152900</v>
      </c>
      <c r="T423" s="3">
        <v>1.35</v>
      </c>
    </row>
    <row r="424" spans="1:20" hidden="1" x14ac:dyDescent="0.3">
      <c r="A424" s="1">
        <v>45084</v>
      </c>
      <c r="B424" s="2" t="s">
        <v>75</v>
      </c>
      <c r="C424" s="2" t="s">
        <v>122</v>
      </c>
      <c r="D424" s="2" t="s">
        <v>22</v>
      </c>
      <c r="E424" s="2" t="s">
        <v>23</v>
      </c>
      <c r="F424" s="2" t="s">
        <v>138</v>
      </c>
      <c r="G424">
        <v>82</v>
      </c>
      <c r="H424">
        <v>520</v>
      </c>
      <c r="I424">
        <v>49</v>
      </c>
      <c r="J424" s="3">
        <v>6367000</v>
      </c>
      <c r="K424" s="3">
        <v>311983000</v>
      </c>
      <c r="L424" s="2" t="s">
        <v>33</v>
      </c>
      <c r="M424" s="2" t="s">
        <v>26</v>
      </c>
      <c r="N424">
        <v>2023</v>
      </c>
      <c r="O424" s="2" t="s">
        <v>143</v>
      </c>
      <c r="P424" s="2" t="s">
        <v>146</v>
      </c>
      <c r="Q424">
        <v>6</v>
      </c>
      <c r="R424" s="4">
        <v>45078</v>
      </c>
      <c r="S424" s="3">
        <v>6367000</v>
      </c>
      <c r="T424" s="3">
        <v>31.2</v>
      </c>
    </row>
    <row r="425" spans="1:20" hidden="1" x14ac:dyDescent="0.3">
      <c r="A425" s="1">
        <v>45085</v>
      </c>
      <c r="B425" s="2" t="s">
        <v>40</v>
      </c>
      <c r="C425" s="2" t="s">
        <v>41</v>
      </c>
      <c r="D425" s="2" t="s">
        <v>22</v>
      </c>
      <c r="E425" s="2" t="s">
        <v>23</v>
      </c>
      <c r="F425" s="2" t="s">
        <v>24</v>
      </c>
      <c r="G425">
        <v>82</v>
      </c>
      <c r="H425">
        <v>520</v>
      </c>
      <c r="I425">
        <v>9</v>
      </c>
      <c r="J425" s="3">
        <v>6783800</v>
      </c>
      <c r="K425" s="3">
        <v>61054200</v>
      </c>
      <c r="L425" s="2" t="s">
        <v>25</v>
      </c>
      <c r="M425" s="2" t="s">
        <v>77</v>
      </c>
      <c r="N425">
        <v>2023</v>
      </c>
      <c r="O425" s="2" t="s">
        <v>143</v>
      </c>
      <c r="P425" s="2" t="s">
        <v>146</v>
      </c>
      <c r="Q425">
        <v>6</v>
      </c>
      <c r="R425" s="4">
        <v>45078</v>
      </c>
      <c r="S425" s="3">
        <v>6783800</v>
      </c>
      <c r="T425" s="3">
        <v>6.11</v>
      </c>
    </row>
    <row r="426" spans="1:20" hidden="1" x14ac:dyDescent="0.3">
      <c r="A426" s="1">
        <v>45086</v>
      </c>
      <c r="B426" s="2" t="s">
        <v>20</v>
      </c>
      <c r="C426" s="2" t="s">
        <v>21</v>
      </c>
      <c r="D426" s="2" t="s">
        <v>82</v>
      </c>
      <c r="E426" s="2" t="s">
        <v>141</v>
      </c>
      <c r="F426" s="2" t="s">
        <v>39</v>
      </c>
      <c r="G426">
        <v>59</v>
      </c>
      <c r="H426">
        <v>55</v>
      </c>
      <c r="I426">
        <v>179</v>
      </c>
      <c r="J426" s="3">
        <v>2992400</v>
      </c>
      <c r="K426" s="3">
        <v>535639600</v>
      </c>
      <c r="L426" s="2" t="s">
        <v>25</v>
      </c>
      <c r="M426" s="2" t="s">
        <v>77</v>
      </c>
      <c r="N426">
        <v>2023</v>
      </c>
      <c r="O426" s="2" t="s">
        <v>143</v>
      </c>
      <c r="P426" s="2" t="s">
        <v>146</v>
      </c>
      <c r="Q426">
        <v>6</v>
      </c>
      <c r="R426" s="4">
        <v>45078</v>
      </c>
      <c r="S426" s="3">
        <v>2992400</v>
      </c>
      <c r="T426" s="3">
        <v>53.56</v>
      </c>
    </row>
    <row r="427" spans="1:20" hidden="1" x14ac:dyDescent="0.3">
      <c r="A427" s="1">
        <v>45086</v>
      </c>
      <c r="B427" s="2" t="s">
        <v>52</v>
      </c>
      <c r="C427" s="2" t="s">
        <v>66</v>
      </c>
      <c r="D427" s="2" t="s">
        <v>79</v>
      </c>
      <c r="E427" s="2" t="s">
        <v>80</v>
      </c>
      <c r="F427" s="2" t="s">
        <v>24</v>
      </c>
      <c r="G427">
        <v>69</v>
      </c>
      <c r="H427">
        <v>418</v>
      </c>
      <c r="I427">
        <v>41</v>
      </c>
      <c r="J427" s="3">
        <v>6018100</v>
      </c>
      <c r="K427" s="3">
        <v>246742100</v>
      </c>
      <c r="L427" s="2" t="s">
        <v>33</v>
      </c>
      <c r="M427" s="2" t="s">
        <v>34</v>
      </c>
      <c r="N427">
        <v>2023</v>
      </c>
      <c r="O427" s="2" t="s">
        <v>143</v>
      </c>
      <c r="P427" s="2" t="s">
        <v>146</v>
      </c>
      <c r="Q427">
        <v>6</v>
      </c>
      <c r="R427" s="4">
        <v>45078</v>
      </c>
      <c r="S427" s="3">
        <v>6018100</v>
      </c>
      <c r="T427" s="3">
        <v>24.67</v>
      </c>
    </row>
    <row r="428" spans="1:20" hidden="1" x14ac:dyDescent="0.3">
      <c r="A428" s="1">
        <v>45086</v>
      </c>
      <c r="B428" s="2" t="s">
        <v>90</v>
      </c>
      <c r="C428" s="2" t="s">
        <v>114</v>
      </c>
      <c r="D428" s="2" t="s">
        <v>37</v>
      </c>
      <c r="E428" s="2" t="s">
        <v>38</v>
      </c>
      <c r="F428" s="2" t="s">
        <v>24</v>
      </c>
      <c r="G428">
        <v>66</v>
      </c>
      <c r="H428">
        <v>423</v>
      </c>
      <c r="I428">
        <v>9</v>
      </c>
      <c r="J428" s="3">
        <v>8169900</v>
      </c>
      <c r="K428" s="3">
        <v>73529100</v>
      </c>
      <c r="L428" s="2" t="s">
        <v>33</v>
      </c>
      <c r="M428" s="2" t="s">
        <v>34</v>
      </c>
      <c r="N428">
        <v>2023</v>
      </c>
      <c r="O428" s="2" t="s">
        <v>143</v>
      </c>
      <c r="P428" s="2" t="s">
        <v>146</v>
      </c>
      <c r="Q428">
        <v>6</v>
      </c>
      <c r="R428" s="4">
        <v>45078</v>
      </c>
      <c r="S428" s="3">
        <v>8169900</v>
      </c>
      <c r="T428" s="3">
        <v>7.35</v>
      </c>
    </row>
    <row r="429" spans="1:20" hidden="1" x14ac:dyDescent="0.3">
      <c r="A429" s="1">
        <v>45087</v>
      </c>
      <c r="B429" s="2" t="s">
        <v>20</v>
      </c>
      <c r="C429" s="2" t="s">
        <v>125</v>
      </c>
      <c r="D429" s="2" t="s">
        <v>31</v>
      </c>
      <c r="E429" s="2" t="s">
        <v>32</v>
      </c>
      <c r="F429" s="2" t="s">
        <v>24</v>
      </c>
      <c r="G429">
        <v>4</v>
      </c>
      <c r="H429">
        <v>195</v>
      </c>
      <c r="I429">
        <v>18</v>
      </c>
      <c r="J429" s="3">
        <v>142000</v>
      </c>
      <c r="K429" s="3">
        <v>2556000</v>
      </c>
      <c r="L429" s="2" t="s">
        <v>33</v>
      </c>
      <c r="M429" s="2" t="s">
        <v>77</v>
      </c>
      <c r="N429">
        <v>2023</v>
      </c>
      <c r="O429" s="2" t="s">
        <v>143</v>
      </c>
      <c r="P429" s="2" t="s">
        <v>146</v>
      </c>
      <c r="Q429">
        <v>6</v>
      </c>
      <c r="R429" s="4">
        <v>45078</v>
      </c>
      <c r="S429" s="3">
        <v>142000</v>
      </c>
      <c r="T429" s="3">
        <v>0.26</v>
      </c>
    </row>
    <row r="430" spans="1:20" hidden="1" x14ac:dyDescent="0.3">
      <c r="A430" s="1">
        <v>45087</v>
      </c>
      <c r="B430" s="2" t="s">
        <v>44</v>
      </c>
      <c r="C430" s="2" t="s">
        <v>45</v>
      </c>
      <c r="D430" s="2" t="s">
        <v>102</v>
      </c>
      <c r="E430" s="2" t="s">
        <v>103</v>
      </c>
      <c r="F430" s="2" t="s">
        <v>24</v>
      </c>
      <c r="G430">
        <v>5</v>
      </c>
      <c r="H430">
        <v>150</v>
      </c>
      <c r="I430">
        <v>83</v>
      </c>
      <c r="J430" s="3">
        <v>148800</v>
      </c>
      <c r="K430" s="3">
        <v>12350400</v>
      </c>
      <c r="L430" s="2" t="s">
        <v>25</v>
      </c>
      <c r="M430" s="2" t="s">
        <v>26</v>
      </c>
      <c r="N430">
        <v>2023</v>
      </c>
      <c r="O430" s="2" t="s">
        <v>143</v>
      </c>
      <c r="P430" s="2" t="s">
        <v>146</v>
      </c>
      <c r="Q430">
        <v>6</v>
      </c>
      <c r="R430" s="4">
        <v>45078</v>
      </c>
      <c r="S430" s="3">
        <v>148800</v>
      </c>
      <c r="T430" s="3">
        <v>1.24</v>
      </c>
    </row>
    <row r="431" spans="1:20" hidden="1" x14ac:dyDescent="0.3">
      <c r="A431" s="1">
        <v>45087</v>
      </c>
      <c r="B431" s="2" t="s">
        <v>106</v>
      </c>
      <c r="C431" s="2" t="s">
        <v>120</v>
      </c>
      <c r="D431" s="2" t="s">
        <v>82</v>
      </c>
      <c r="E431" s="2" t="s">
        <v>141</v>
      </c>
      <c r="F431" s="2" t="s">
        <v>72</v>
      </c>
      <c r="G431">
        <v>59</v>
      </c>
      <c r="H431">
        <v>55</v>
      </c>
      <c r="I431">
        <v>26</v>
      </c>
      <c r="J431" s="3">
        <v>2472300</v>
      </c>
      <c r="K431" s="3">
        <v>64279800</v>
      </c>
      <c r="L431" s="2" t="s">
        <v>33</v>
      </c>
      <c r="M431" s="2" t="s">
        <v>26</v>
      </c>
      <c r="N431">
        <v>2023</v>
      </c>
      <c r="O431" s="2" t="s">
        <v>143</v>
      </c>
      <c r="P431" s="2" t="s">
        <v>146</v>
      </c>
      <c r="Q431">
        <v>6</v>
      </c>
      <c r="R431" s="4">
        <v>45078</v>
      </c>
      <c r="S431" s="3">
        <v>2472300</v>
      </c>
      <c r="T431" s="3">
        <v>6.43</v>
      </c>
    </row>
    <row r="432" spans="1:20" hidden="1" x14ac:dyDescent="0.3">
      <c r="A432" s="1">
        <v>45088</v>
      </c>
      <c r="B432" s="2" t="s">
        <v>106</v>
      </c>
      <c r="C432" s="2" t="s">
        <v>119</v>
      </c>
      <c r="D432" s="2" t="s">
        <v>70</v>
      </c>
      <c r="E432" s="2" t="s">
        <v>74</v>
      </c>
      <c r="F432" s="2" t="s">
        <v>24</v>
      </c>
      <c r="G432">
        <v>25</v>
      </c>
      <c r="H432">
        <v>32</v>
      </c>
      <c r="I432">
        <v>49</v>
      </c>
      <c r="J432" s="3">
        <v>1230800</v>
      </c>
      <c r="K432" s="3">
        <v>60309200</v>
      </c>
      <c r="L432" s="2" t="s">
        <v>33</v>
      </c>
      <c r="M432" s="2" t="s">
        <v>26</v>
      </c>
      <c r="N432">
        <v>2023</v>
      </c>
      <c r="O432" s="2" t="s">
        <v>143</v>
      </c>
      <c r="P432" s="2" t="s">
        <v>146</v>
      </c>
      <c r="Q432">
        <v>6</v>
      </c>
      <c r="R432" s="4">
        <v>45078</v>
      </c>
      <c r="S432" s="3">
        <v>1230800</v>
      </c>
      <c r="T432" s="3">
        <v>6.03</v>
      </c>
    </row>
    <row r="433" spans="1:20" hidden="1" x14ac:dyDescent="0.3">
      <c r="A433" s="1">
        <v>45088</v>
      </c>
      <c r="B433" s="2" t="s">
        <v>48</v>
      </c>
      <c r="C433" s="2" t="s">
        <v>98</v>
      </c>
      <c r="D433" s="2" t="s">
        <v>54</v>
      </c>
      <c r="E433" s="2" t="s">
        <v>55</v>
      </c>
      <c r="F433" s="2" t="s">
        <v>39</v>
      </c>
      <c r="G433">
        <v>30</v>
      </c>
      <c r="H433">
        <v>320</v>
      </c>
      <c r="I433">
        <v>70</v>
      </c>
      <c r="J433" s="3">
        <v>1555100</v>
      </c>
      <c r="K433" s="3">
        <v>108857000</v>
      </c>
      <c r="L433" s="2" t="s">
        <v>25</v>
      </c>
      <c r="M433" s="2" t="s">
        <v>26</v>
      </c>
      <c r="N433">
        <v>2023</v>
      </c>
      <c r="O433" s="2" t="s">
        <v>143</v>
      </c>
      <c r="P433" s="2" t="s">
        <v>146</v>
      </c>
      <c r="Q433">
        <v>6</v>
      </c>
      <c r="R433" s="4">
        <v>45078</v>
      </c>
      <c r="S433" s="3">
        <v>1555100</v>
      </c>
      <c r="T433" s="3">
        <v>10.89</v>
      </c>
    </row>
    <row r="434" spans="1:20" hidden="1" x14ac:dyDescent="0.3">
      <c r="A434" s="1">
        <v>45088</v>
      </c>
      <c r="B434" s="2" t="s">
        <v>20</v>
      </c>
      <c r="C434" s="2" t="s">
        <v>112</v>
      </c>
      <c r="D434" s="2" t="s">
        <v>82</v>
      </c>
      <c r="E434" s="2" t="s">
        <v>83</v>
      </c>
      <c r="F434" s="2" t="s">
        <v>24</v>
      </c>
      <c r="G434">
        <v>40</v>
      </c>
      <c r="H434">
        <v>39</v>
      </c>
      <c r="I434">
        <v>156</v>
      </c>
      <c r="J434" s="3">
        <v>1818300</v>
      </c>
      <c r="K434" s="3">
        <v>283654800</v>
      </c>
      <c r="L434" s="2" t="s">
        <v>33</v>
      </c>
      <c r="M434" s="2" t="s">
        <v>26</v>
      </c>
      <c r="N434">
        <v>2023</v>
      </c>
      <c r="O434" s="2" t="s">
        <v>143</v>
      </c>
      <c r="P434" s="2" t="s">
        <v>146</v>
      </c>
      <c r="Q434">
        <v>6</v>
      </c>
      <c r="R434" s="4">
        <v>45078</v>
      </c>
      <c r="S434" s="3">
        <v>1818300</v>
      </c>
      <c r="T434" s="3">
        <v>28.37</v>
      </c>
    </row>
    <row r="435" spans="1:20" hidden="1" x14ac:dyDescent="0.3">
      <c r="A435" s="1">
        <v>45089</v>
      </c>
      <c r="B435" s="2" t="s">
        <v>61</v>
      </c>
      <c r="C435" s="2" t="s">
        <v>147</v>
      </c>
      <c r="D435" s="2" t="s">
        <v>37</v>
      </c>
      <c r="E435" s="2" t="s">
        <v>38</v>
      </c>
      <c r="F435" s="2" t="s">
        <v>24</v>
      </c>
      <c r="G435">
        <v>66</v>
      </c>
      <c r="H435">
        <v>423</v>
      </c>
      <c r="I435">
        <v>73</v>
      </c>
      <c r="J435" s="3">
        <v>9387200</v>
      </c>
      <c r="K435" s="3">
        <v>685265600</v>
      </c>
      <c r="L435" s="2" t="s">
        <v>33</v>
      </c>
      <c r="M435" s="2" t="s">
        <v>26</v>
      </c>
      <c r="N435">
        <v>2023</v>
      </c>
      <c r="O435" s="2" t="s">
        <v>143</v>
      </c>
      <c r="P435" s="2" t="s">
        <v>146</v>
      </c>
      <c r="Q435">
        <v>6</v>
      </c>
      <c r="R435" s="4">
        <v>45078</v>
      </c>
      <c r="S435" s="3">
        <v>9387200</v>
      </c>
      <c r="T435" s="3">
        <v>68.53</v>
      </c>
    </row>
    <row r="436" spans="1:20" hidden="1" x14ac:dyDescent="0.3">
      <c r="A436" s="1">
        <v>45089</v>
      </c>
      <c r="B436" s="2" t="s">
        <v>90</v>
      </c>
      <c r="C436" s="2" t="s">
        <v>99</v>
      </c>
      <c r="D436" s="2" t="s">
        <v>54</v>
      </c>
      <c r="E436" s="2" t="s">
        <v>55</v>
      </c>
      <c r="F436" s="2" t="s">
        <v>24</v>
      </c>
      <c r="G436">
        <v>30</v>
      </c>
      <c r="H436">
        <v>320</v>
      </c>
      <c r="I436">
        <v>78</v>
      </c>
      <c r="J436" s="3">
        <v>1494200</v>
      </c>
      <c r="K436" s="3">
        <v>116547600</v>
      </c>
      <c r="L436" s="2" t="s">
        <v>33</v>
      </c>
      <c r="M436" s="2" t="s">
        <v>97</v>
      </c>
      <c r="N436">
        <v>2023</v>
      </c>
      <c r="O436" s="2" t="s">
        <v>143</v>
      </c>
      <c r="P436" s="2" t="s">
        <v>146</v>
      </c>
      <c r="Q436">
        <v>6</v>
      </c>
      <c r="R436" s="4">
        <v>45078</v>
      </c>
      <c r="S436" s="3">
        <v>1494200</v>
      </c>
      <c r="T436" s="3">
        <v>11.65</v>
      </c>
    </row>
    <row r="437" spans="1:20" hidden="1" x14ac:dyDescent="0.3">
      <c r="A437" s="1">
        <v>45089</v>
      </c>
      <c r="B437" s="2" t="s">
        <v>46</v>
      </c>
      <c r="C437" s="2" t="s">
        <v>110</v>
      </c>
      <c r="D437" s="2" t="s">
        <v>54</v>
      </c>
      <c r="E437" s="2" t="s">
        <v>55</v>
      </c>
      <c r="F437" s="2" t="s">
        <v>24</v>
      </c>
      <c r="G437">
        <v>30</v>
      </c>
      <c r="H437">
        <v>320</v>
      </c>
      <c r="I437">
        <v>17</v>
      </c>
      <c r="J437" s="3">
        <v>1269800</v>
      </c>
      <c r="K437" s="3">
        <v>21586600</v>
      </c>
      <c r="L437" s="2" t="s">
        <v>25</v>
      </c>
      <c r="M437" s="2" t="s">
        <v>26</v>
      </c>
      <c r="N437">
        <v>2023</v>
      </c>
      <c r="O437" s="2" t="s">
        <v>143</v>
      </c>
      <c r="P437" s="2" t="s">
        <v>146</v>
      </c>
      <c r="Q437">
        <v>6</v>
      </c>
      <c r="R437" s="4">
        <v>45078</v>
      </c>
      <c r="S437" s="3">
        <v>1269800</v>
      </c>
      <c r="T437" s="3">
        <v>2.16</v>
      </c>
    </row>
    <row r="438" spans="1:20" hidden="1" x14ac:dyDescent="0.3">
      <c r="A438" s="1">
        <v>45089</v>
      </c>
      <c r="B438" s="2" t="s">
        <v>90</v>
      </c>
      <c r="C438" s="2" t="s">
        <v>114</v>
      </c>
      <c r="D438" s="2" t="s">
        <v>79</v>
      </c>
      <c r="E438" s="2" t="s">
        <v>80</v>
      </c>
      <c r="F438" s="2" t="s">
        <v>72</v>
      </c>
      <c r="G438">
        <v>69</v>
      </c>
      <c r="H438">
        <v>418</v>
      </c>
      <c r="I438">
        <v>70</v>
      </c>
      <c r="J438" s="3">
        <v>5116700</v>
      </c>
      <c r="K438" s="3">
        <v>358169000</v>
      </c>
      <c r="L438" s="2" t="s">
        <v>33</v>
      </c>
      <c r="M438" s="2" t="s">
        <v>26</v>
      </c>
      <c r="N438">
        <v>2023</v>
      </c>
      <c r="O438" s="2" t="s">
        <v>143</v>
      </c>
      <c r="P438" s="2" t="s">
        <v>146</v>
      </c>
      <c r="Q438">
        <v>6</v>
      </c>
      <c r="R438" s="4">
        <v>45078</v>
      </c>
      <c r="S438" s="3">
        <v>5116700</v>
      </c>
      <c r="T438" s="3">
        <v>35.82</v>
      </c>
    </row>
    <row r="439" spans="1:20" hidden="1" x14ac:dyDescent="0.3">
      <c r="A439" s="1">
        <v>45089</v>
      </c>
      <c r="B439" s="2" t="s">
        <v>108</v>
      </c>
      <c r="C439" s="2" t="s">
        <v>131</v>
      </c>
      <c r="D439" s="2" t="s">
        <v>67</v>
      </c>
      <c r="E439" s="2" t="s">
        <v>68</v>
      </c>
      <c r="F439" s="2" t="s">
        <v>72</v>
      </c>
      <c r="G439">
        <v>66</v>
      </c>
      <c r="H439">
        <v>440</v>
      </c>
      <c r="I439">
        <v>70</v>
      </c>
      <c r="J439" s="3">
        <v>5578800</v>
      </c>
      <c r="K439" s="3">
        <v>390516000</v>
      </c>
      <c r="L439" s="2" t="s">
        <v>25</v>
      </c>
      <c r="M439" s="2" t="s">
        <v>77</v>
      </c>
      <c r="N439">
        <v>2023</v>
      </c>
      <c r="O439" s="2" t="s">
        <v>143</v>
      </c>
      <c r="P439" s="2" t="s">
        <v>146</v>
      </c>
      <c r="Q439">
        <v>6</v>
      </c>
      <c r="R439" s="4">
        <v>45078</v>
      </c>
      <c r="S439" s="3">
        <v>5578800</v>
      </c>
      <c r="T439" s="3">
        <v>39.049999999999997</v>
      </c>
    </row>
    <row r="440" spans="1:20" hidden="1" x14ac:dyDescent="0.3">
      <c r="A440" s="1">
        <v>45090</v>
      </c>
      <c r="B440" s="2" t="s">
        <v>48</v>
      </c>
      <c r="C440" s="2" t="s">
        <v>49</v>
      </c>
      <c r="D440" s="2" t="s">
        <v>22</v>
      </c>
      <c r="E440" s="2" t="s">
        <v>23</v>
      </c>
      <c r="F440" s="2" t="s">
        <v>24</v>
      </c>
      <c r="G440">
        <v>82</v>
      </c>
      <c r="H440">
        <v>520</v>
      </c>
      <c r="I440">
        <v>71</v>
      </c>
      <c r="J440" s="3">
        <v>7159400</v>
      </c>
      <c r="K440" s="3">
        <v>508317400</v>
      </c>
      <c r="L440" s="2" t="s">
        <v>25</v>
      </c>
      <c r="M440" s="2" t="s">
        <v>77</v>
      </c>
      <c r="N440">
        <v>2023</v>
      </c>
      <c r="O440" s="2" t="s">
        <v>143</v>
      </c>
      <c r="P440" s="2" t="s">
        <v>146</v>
      </c>
      <c r="Q440">
        <v>6</v>
      </c>
      <c r="R440" s="4">
        <v>45078</v>
      </c>
      <c r="S440" s="3">
        <v>7159400</v>
      </c>
      <c r="T440" s="3">
        <v>50.83</v>
      </c>
    </row>
    <row r="441" spans="1:20" hidden="1" x14ac:dyDescent="0.3">
      <c r="A441" s="1">
        <v>45090</v>
      </c>
      <c r="B441" s="2" t="s">
        <v>44</v>
      </c>
      <c r="C441" s="2" t="s">
        <v>117</v>
      </c>
      <c r="D441" s="2" t="s">
        <v>31</v>
      </c>
      <c r="E441" s="2" t="s">
        <v>124</v>
      </c>
      <c r="F441" s="2" t="s">
        <v>24</v>
      </c>
      <c r="G441">
        <v>3</v>
      </c>
      <c r="H441">
        <v>151</v>
      </c>
      <c r="I441">
        <v>55</v>
      </c>
      <c r="J441" s="3">
        <v>119000</v>
      </c>
      <c r="K441" s="3">
        <v>6545000</v>
      </c>
      <c r="L441" s="2" t="s">
        <v>33</v>
      </c>
      <c r="M441" s="2" t="s">
        <v>77</v>
      </c>
      <c r="N441">
        <v>2023</v>
      </c>
      <c r="O441" s="2" t="s">
        <v>143</v>
      </c>
      <c r="P441" s="2" t="s">
        <v>146</v>
      </c>
      <c r="Q441">
        <v>6</v>
      </c>
      <c r="R441" s="4">
        <v>45078</v>
      </c>
      <c r="S441" s="3">
        <v>119000</v>
      </c>
      <c r="T441" s="3">
        <v>0.65</v>
      </c>
    </row>
    <row r="442" spans="1:20" hidden="1" x14ac:dyDescent="0.3">
      <c r="A442" s="1">
        <v>45090</v>
      </c>
      <c r="B442" s="2" t="s">
        <v>46</v>
      </c>
      <c r="C442" s="2" t="s">
        <v>47</v>
      </c>
      <c r="D442" s="2" t="s">
        <v>54</v>
      </c>
      <c r="E442" s="2" t="s">
        <v>55</v>
      </c>
      <c r="F442" s="2" t="s">
        <v>24</v>
      </c>
      <c r="G442">
        <v>30</v>
      </c>
      <c r="H442">
        <v>320</v>
      </c>
      <c r="I442">
        <v>38</v>
      </c>
      <c r="J442" s="3">
        <v>1332100</v>
      </c>
      <c r="K442" s="3">
        <v>50619800</v>
      </c>
      <c r="L442" s="2" t="s">
        <v>33</v>
      </c>
      <c r="M442" s="2" t="s">
        <v>34</v>
      </c>
      <c r="N442">
        <v>2023</v>
      </c>
      <c r="O442" s="2" t="s">
        <v>143</v>
      </c>
      <c r="P442" s="2" t="s">
        <v>146</v>
      </c>
      <c r="Q442">
        <v>6</v>
      </c>
      <c r="R442" s="4">
        <v>45078</v>
      </c>
      <c r="S442" s="3">
        <v>1332100</v>
      </c>
      <c r="T442" s="3">
        <v>5.0599999999999996</v>
      </c>
    </row>
    <row r="443" spans="1:20" hidden="1" x14ac:dyDescent="0.3">
      <c r="A443" s="1">
        <v>45090</v>
      </c>
      <c r="B443" s="2" t="s">
        <v>20</v>
      </c>
      <c r="C443" s="2" t="s">
        <v>21</v>
      </c>
      <c r="D443" s="2" t="s">
        <v>50</v>
      </c>
      <c r="E443" s="2" t="s">
        <v>51</v>
      </c>
      <c r="F443" s="2" t="s">
        <v>24</v>
      </c>
      <c r="G443">
        <v>77</v>
      </c>
      <c r="H443">
        <v>528</v>
      </c>
      <c r="I443">
        <v>18</v>
      </c>
      <c r="J443" s="3">
        <v>4773300</v>
      </c>
      <c r="K443" s="3">
        <v>85919400</v>
      </c>
      <c r="L443" s="2" t="s">
        <v>33</v>
      </c>
      <c r="M443" s="2" t="s">
        <v>77</v>
      </c>
      <c r="N443">
        <v>2023</v>
      </c>
      <c r="O443" s="2" t="s">
        <v>143</v>
      </c>
      <c r="P443" s="2" t="s">
        <v>146</v>
      </c>
      <c r="Q443">
        <v>6</v>
      </c>
      <c r="R443" s="4">
        <v>45078</v>
      </c>
      <c r="S443" s="3">
        <v>4773300</v>
      </c>
      <c r="T443" s="3">
        <v>8.59</v>
      </c>
    </row>
    <row r="444" spans="1:20" hidden="1" x14ac:dyDescent="0.3">
      <c r="A444" s="1">
        <v>45091</v>
      </c>
      <c r="B444" s="2" t="s">
        <v>40</v>
      </c>
      <c r="C444" s="2" t="s">
        <v>105</v>
      </c>
      <c r="D444" s="2" t="s">
        <v>94</v>
      </c>
      <c r="E444" s="2" t="s">
        <v>140</v>
      </c>
      <c r="F444" s="2" t="s">
        <v>39</v>
      </c>
      <c r="G444">
        <v>35</v>
      </c>
      <c r="H444">
        <v>32</v>
      </c>
      <c r="I444">
        <v>35</v>
      </c>
      <c r="J444" s="3">
        <v>1841600</v>
      </c>
      <c r="K444" s="3">
        <v>64456000</v>
      </c>
      <c r="L444" s="2" t="s">
        <v>33</v>
      </c>
      <c r="M444" s="2" t="s">
        <v>77</v>
      </c>
      <c r="N444">
        <v>2023</v>
      </c>
      <c r="O444" s="2" t="s">
        <v>143</v>
      </c>
      <c r="P444" s="2" t="s">
        <v>146</v>
      </c>
      <c r="Q444">
        <v>6</v>
      </c>
      <c r="R444" s="4">
        <v>45078</v>
      </c>
      <c r="S444" s="3">
        <v>1841600</v>
      </c>
      <c r="T444" s="3">
        <v>6.45</v>
      </c>
    </row>
    <row r="445" spans="1:20" hidden="1" x14ac:dyDescent="0.3">
      <c r="A445" s="1">
        <v>45091</v>
      </c>
      <c r="B445" s="2" t="s">
        <v>35</v>
      </c>
      <c r="C445" s="2" t="s">
        <v>87</v>
      </c>
      <c r="D445" s="2" t="s">
        <v>88</v>
      </c>
      <c r="E445" s="2" t="s">
        <v>89</v>
      </c>
      <c r="F445" s="2" t="s">
        <v>39</v>
      </c>
      <c r="G445">
        <v>82</v>
      </c>
      <c r="H445">
        <v>580</v>
      </c>
      <c r="I445">
        <v>66</v>
      </c>
      <c r="J445" s="3">
        <v>4933600</v>
      </c>
      <c r="K445" s="3">
        <v>325617600</v>
      </c>
      <c r="L445" s="2" t="s">
        <v>92</v>
      </c>
      <c r="M445" s="2" t="s">
        <v>26</v>
      </c>
      <c r="N445">
        <v>2023</v>
      </c>
      <c r="O445" s="2" t="s">
        <v>143</v>
      </c>
      <c r="P445" s="2" t="s">
        <v>146</v>
      </c>
      <c r="Q445">
        <v>6</v>
      </c>
      <c r="R445" s="4">
        <v>45078</v>
      </c>
      <c r="S445" s="3">
        <v>4933600</v>
      </c>
      <c r="T445" s="3">
        <v>32.56</v>
      </c>
    </row>
    <row r="446" spans="1:20" hidden="1" x14ac:dyDescent="0.3">
      <c r="A446" s="1">
        <v>45091</v>
      </c>
      <c r="B446" s="2" t="s">
        <v>106</v>
      </c>
      <c r="C446" s="2" t="s">
        <v>120</v>
      </c>
      <c r="D446" s="2" t="s">
        <v>22</v>
      </c>
      <c r="E446" s="2" t="s">
        <v>23</v>
      </c>
      <c r="F446" s="2" t="s">
        <v>72</v>
      </c>
      <c r="G446">
        <v>82</v>
      </c>
      <c r="H446">
        <v>520</v>
      </c>
      <c r="I446">
        <v>42</v>
      </c>
      <c r="J446" s="3">
        <v>6806400</v>
      </c>
      <c r="K446" s="3">
        <v>285868800</v>
      </c>
      <c r="L446" s="2" t="s">
        <v>33</v>
      </c>
      <c r="M446" s="2" t="s">
        <v>26</v>
      </c>
      <c r="N446">
        <v>2023</v>
      </c>
      <c r="O446" s="2" t="s">
        <v>143</v>
      </c>
      <c r="P446" s="2" t="s">
        <v>146</v>
      </c>
      <c r="Q446">
        <v>6</v>
      </c>
      <c r="R446" s="4">
        <v>45078</v>
      </c>
      <c r="S446" s="3">
        <v>6806400</v>
      </c>
      <c r="T446" s="3">
        <v>28.59</v>
      </c>
    </row>
    <row r="447" spans="1:20" hidden="1" x14ac:dyDescent="0.3">
      <c r="A447" s="1">
        <v>45091</v>
      </c>
      <c r="B447" s="2" t="s">
        <v>90</v>
      </c>
      <c r="C447" s="2" t="s">
        <v>91</v>
      </c>
      <c r="D447" s="2" t="s">
        <v>102</v>
      </c>
      <c r="E447" s="2" t="s">
        <v>103</v>
      </c>
      <c r="F447" s="2" t="s">
        <v>24</v>
      </c>
      <c r="G447">
        <v>5</v>
      </c>
      <c r="H447">
        <v>150</v>
      </c>
      <c r="I447">
        <v>99</v>
      </c>
      <c r="J447" s="3">
        <v>141100</v>
      </c>
      <c r="K447" s="3">
        <v>13968900</v>
      </c>
      <c r="L447" s="2" t="s">
        <v>33</v>
      </c>
      <c r="M447" s="2" t="s">
        <v>26</v>
      </c>
      <c r="N447">
        <v>2023</v>
      </c>
      <c r="O447" s="2" t="s">
        <v>143</v>
      </c>
      <c r="P447" s="2" t="s">
        <v>146</v>
      </c>
      <c r="Q447">
        <v>6</v>
      </c>
      <c r="R447" s="4">
        <v>45078</v>
      </c>
      <c r="S447" s="3">
        <v>141100</v>
      </c>
      <c r="T447" s="3">
        <v>1.4</v>
      </c>
    </row>
    <row r="448" spans="1:20" hidden="1" x14ac:dyDescent="0.3">
      <c r="A448" s="1">
        <v>45091</v>
      </c>
      <c r="B448" s="2" t="s">
        <v>29</v>
      </c>
      <c r="C448" s="2" t="s">
        <v>96</v>
      </c>
      <c r="D448" s="2" t="s">
        <v>63</v>
      </c>
      <c r="E448" s="2" t="s">
        <v>64</v>
      </c>
      <c r="F448" s="2" t="s">
        <v>24</v>
      </c>
      <c r="G448">
        <v>3</v>
      </c>
      <c r="H448">
        <v>127</v>
      </c>
      <c r="I448">
        <v>16</v>
      </c>
      <c r="J448" s="3">
        <v>154700</v>
      </c>
      <c r="K448" s="3">
        <v>2475200</v>
      </c>
      <c r="L448" s="2" t="s">
        <v>33</v>
      </c>
      <c r="M448" s="2" t="s">
        <v>77</v>
      </c>
      <c r="N448">
        <v>2023</v>
      </c>
      <c r="O448" s="2" t="s">
        <v>143</v>
      </c>
      <c r="P448" s="2" t="s">
        <v>146</v>
      </c>
      <c r="Q448">
        <v>6</v>
      </c>
      <c r="R448" s="4">
        <v>45078</v>
      </c>
      <c r="S448" s="3">
        <v>154700</v>
      </c>
      <c r="T448" s="3">
        <v>0.25</v>
      </c>
    </row>
    <row r="449" spans="1:20" hidden="1" x14ac:dyDescent="0.3">
      <c r="A449" s="1">
        <v>45091</v>
      </c>
      <c r="B449" s="2" t="s">
        <v>48</v>
      </c>
      <c r="C449" s="2" t="s">
        <v>73</v>
      </c>
      <c r="D449" s="2" t="s">
        <v>88</v>
      </c>
      <c r="E449" s="2" t="s">
        <v>89</v>
      </c>
      <c r="F449" s="2" t="s">
        <v>24</v>
      </c>
      <c r="G449">
        <v>82</v>
      </c>
      <c r="H449">
        <v>580</v>
      </c>
      <c r="I449">
        <v>14</v>
      </c>
      <c r="J449" s="3">
        <v>5794800</v>
      </c>
      <c r="K449" s="3">
        <v>81127200</v>
      </c>
      <c r="L449" s="2" t="s">
        <v>33</v>
      </c>
      <c r="M449" s="2" t="s">
        <v>26</v>
      </c>
      <c r="N449">
        <v>2023</v>
      </c>
      <c r="O449" s="2" t="s">
        <v>143</v>
      </c>
      <c r="P449" s="2" t="s">
        <v>146</v>
      </c>
      <c r="Q449">
        <v>6</v>
      </c>
      <c r="R449" s="4">
        <v>45078</v>
      </c>
      <c r="S449" s="3">
        <v>5794800</v>
      </c>
      <c r="T449" s="3">
        <v>8.11</v>
      </c>
    </row>
    <row r="450" spans="1:20" hidden="1" x14ac:dyDescent="0.3">
      <c r="A450" s="1">
        <v>45092</v>
      </c>
      <c r="B450" s="2" t="s">
        <v>75</v>
      </c>
      <c r="C450" s="2" t="s">
        <v>134</v>
      </c>
      <c r="D450" s="2" t="s">
        <v>22</v>
      </c>
      <c r="E450" s="2" t="s">
        <v>23</v>
      </c>
      <c r="F450" s="2" t="s">
        <v>39</v>
      </c>
      <c r="G450">
        <v>82</v>
      </c>
      <c r="H450">
        <v>520</v>
      </c>
      <c r="I450">
        <v>75</v>
      </c>
      <c r="J450" s="3">
        <v>7275900</v>
      </c>
      <c r="K450" s="3">
        <v>545692500</v>
      </c>
      <c r="L450" s="2" t="s">
        <v>25</v>
      </c>
      <c r="M450" s="2" t="s">
        <v>26</v>
      </c>
      <c r="N450">
        <v>2023</v>
      </c>
      <c r="O450" s="2" t="s">
        <v>143</v>
      </c>
      <c r="P450" s="2" t="s">
        <v>146</v>
      </c>
      <c r="Q450">
        <v>6</v>
      </c>
      <c r="R450" s="4">
        <v>45078</v>
      </c>
      <c r="S450" s="3">
        <v>7275900</v>
      </c>
      <c r="T450" s="3">
        <v>54.57</v>
      </c>
    </row>
    <row r="451" spans="1:20" hidden="1" x14ac:dyDescent="0.3">
      <c r="A451" s="1">
        <v>45092</v>
      </c>
      <c r="B451" s="2" t="s">
        <v>20</v>
      </c>
      <c r="C451" s="2" t="s">
        <v>112</v>
      </c>
      <c r="D451" s="2" t="s">
        <v>57</v>
      </c>
      <c r="E451" s="2" t="s">
        <v>58</v>
      </c>
      <c r="F451" s="2" t="s">
        <v>24</v>
      </c>
      <c r="G451">
        <v>72</v>
      </c>
      <c r="H451">
        <v>488</v>
      </c>
      <c r="I451">
        <v>129</v>
      </c>
      <c r="J451" s="3">
        <v>5678900</v>
      </c>
      <c r="K451" s="3">
        <v>732578100</v>
      </c>
      <c r="L451" s="2" t="s">
        <v>92</v>
      </c>
      <c r="M451" s="2" t="s">
        <v>26</v>
      </c>
      <c r="N451">
        <v>2023</v>
      </c>
      <c r="O451" s="2" t="s">
        <v>143</v>
      </c>
      <c r="P451" s="2" t="s">
        <v>146</v>
      </c>
      <c r="Q451">
        <v>6</v>
      </c>
      <c r="R451" s="4">
        <v>45078</v>
      </c>
      <c r="S451" s="3">
        <v>5678900</v>
      </c>
      <c r="T451" s="3">
        <v>73.260000000000005</v>
      </c>
    </row>
    <row r="452" spans="1:20" hidden="1" x14ac:dyDescent="0.3">
      <c r="A452" s="1">
        <v>45093</v>
      </c>
      <c r="B452" s="2" t="s">
        <v>106</v>
      </c>
      <c r="C452" s="2" t="s">
        <v>120</v>
      </c>
      <c r="D452" s="2" t="s">
        <v>37</v>
      </c>
      <c r="E452" s="2" t="s">
        <v>38</v>
      </c>
      <c r="F452" s="2" t="s">
        <v>39</v>
      </c>
      <c r="G452">
        <v>66</v>
      </c>
      <c r="H452">
        <v>423</v>
      </c>
      <c r="I452">
        <v>30</v>
      </c>
      <c r="J452" s="3">
        <v>7870600</v>
      </c>
      <c r="K452" s="3">
        <v>236118000</v>
      </c>
      <c r="L452" s="2" t="s">
        <v>33</v>
      </c>
      <c r="M452" s="2" t="s">
        <v>34</v>
      </c>
      <c r="N452">
        <v>2023</v>
      </c>
      <c r="O452" s="2" t="s">
        <v>143</v>
      </c>
      <c r="P452" s="2" t="s">
        <v>146</v>
      </c>
      <c r="Q452">
        <v>6</v>
      </c>
      <c r="R452" s="4">
        <v>45078</v>
      </c>
      <c r="S452" s="3">
        <v>7870600</v>
      </c>
      <c r="T452" s="3">
        <v>23.61</v>
      </c>
    </row>
    <row r="453" spans="1:20" hidden="1" x14ac:dyDescent="0.3">
      <c r="A453" s="1">
        <v>45093</v>
      </c>
      <c r="B453" s="2" t="s">
        <v>29</v>
      </c>
      <c r="C453" s="2" t="s">
        <v>96</v>
      </c>
      <c r="D453" s="2" t="s">
        <v>37</v>
      </c>
      <c r="E453" s="2" t="s">
        <v>38</v>
      </c>
      <c r="F453" s="2" t="s">
        <v>72</v>
      </c>
      <c r="G453">
        <v>66</v>
      </c>
      <c r="H453">
        <v>423</v>
      </c>
      <c r="I453">
        <v>11</v>
      </c>
      <c r="J453" s="3">
        <v>7971200</v>
      </c>
      <c r="K453" s="3">
        <v>87683200</v>
      </c>
      <c r="L453" s="2" t="s">
        <v>33</v>
      </c>
      <c r="M453" s="2" t="s">
        <v>34</v>
      </c>
      <c r="N453">
        <v>2023</v>
      </c>
      <c r="O453" s="2" t="s">
        <v>143</v>
      </c>
      <c r="P453" s="2" t="s">
        <v>146</v>
      </c>
      <c r="Q453">
        <v>6</v>
      </c>
      <c r="R453" s="4">
        <v>45078</v>
      </c>
      <c r="S453" s="3">
        <v>7971200</v>
      </c>
      <c r="T453" s="3">
        <v>8.77</v>
      </c>
    </row>
    <row r="454" spans="1:20" hidden="1" x14ac:dyDescent="0.3">
      <c r="A454" s="1">
        <v>45094</v>
      </c>
      <c r="B454" s="2" t="s">
        <v>40</v>
      </c>
      <c r="C454" s="2" t="s">
        <v>41</v>
      </c>
      <c r="D454" s="2" t="s">
        <v>94</v>
      </c>
      <c r="E454" s="2" t="s">
        <v>95</v>
      </c>
      <c r="F454" s="2" t="s">
        <v>72</v>
      </c>
      <c r="G454">
        <v>40</v>
      </c>
      <c r="H454">
        <v>30</v>
      </c>
      <c r="I454">
        <v>143</v>
      </c>
      <c r="J454" s="3">
        <v>2574800</v>
      </c>
      <c r="K454" s="3">
        <v>368196400</v>
      </c>
      <c r="L454" s="2" t="s">
        <v>33</v>
      </c>
      <c r="M454" s="2" t="s">
        <v>97</v>
      </c>
      <c r="N454">
        <v>2023</v>
      </c>
      <c r="O454" s="2" t="s">
        <v>143</v>
      </c>
      <c r="P454" s="2" t="s">
        <v>146</v>
      </c>
      <c r="Q454">
        <v>6</v>
      </c>
      <c r="R454" s="4">
        <v>45078</v>
      </c>
      <c r="S454" s="3">
        <v>2574800</v>
      </c>
      <c r="T454" s="3">
        <v>36.82</v>
      </c>
    </row>
    <row r="455" spans="1:20" hidden="1" x14ac:dyDescent="0.3">
      <c r="A455" s="1">
        <v>45094</v>
      </c>
      <c r="B455" s="2" t="s">
        <v>35</v>
      </c>
      <c r="C455" s="2" t="s">
        <v>121</v>
      </c>
      <c r="D455" s="2" t="s">
        <v>82</v>
      </c>
      <c r="E455" s="2" t="s">
        <v>83</v>
      </c>
      <c r="F455" s="2" t="s">
        <v>24</v>
      </c>
      <c r="G455">
        <v>40</v>
      </c>
      <c r="H455">
        <v>39</v>
      </c>
      <c r="I455">
        <v>151</v>
      </c>
      <c r="J455" s="3">
        <v>1921700</v>
      </c>
      <c r="K455" s="3">
        <v>290176700</v>
      </c>
      <c r="L455" s="2" t="s">
        <v>92</v>
      </c>
      <c r="M455" s="2" t="s">
        <v>26</v>
      </c>
      <c r="N455">
        <v>2023</v>
      </c>
      <c r="O455" s="2" t="s">
        <v>143</v>
      </c>
      <c r="P455" s="2" t="s">
        <v>146</v>
      </c>
      <c r="Q455">
        <v>6</v>
      </c>
      <c r="R455" s="4">
        <v>45078</v>
      </c>
      <c r="S455" s="3">
        <v>1921700</v>
      </c>
      <c r="T455" s="3">
        <v>29.02</v>
      </c>
    </row>
    <row r="456" spans="1:20" hidden="1" x14ac:dyDescent="0.3">
      <c r="A456" s="1">
        <v>45094</v>
      </c>
      <c r="B456" s="2" t="s">
        <v>59</v>
      </c>
      <c r="C456" s="2" t="s">
        <v>81</v>
      </c>
      <c r="D456" s="2" t="s">
        <v>102</v>
      </c>
      <c r="E456" s="2" t="s">
        <v>103</v>
      </c>
      <c r="F456" s="2" t="s">
        <v>24</v>
      </c>
      <c r="G456">
        <v>5</v>
      </c>
      <c r="H456">
        <v>150</v>
      </c>
      <c r="I456">
        <v>108</v>
      </c>
      <c r="J456" s="3">
        <v>144700</v>
      </c>
      <c r="K456" s="3">
        <v>15627600</v>
      </c>
      <c r="L456" s="2" t="s">
        <v>33</v>
      </c>
      <c r="M456" s="2" t="s">
        <v>26</v>
      </c>
      <c r="N456">
        <v>2023</v>
      </c>
      <c r="O456" s="2" t="s">
        <v>143</v>
      </c>
      <c r="P456" s="2" t="s">
        <v>146</v>
      </c>
      <c r="Q456">
        <v>6</v>
      </c>
      <c r="R456" s="4">
        <v>45078</v>
      </c>
      <c r="S456" s="3">
        <v>144700</v>
      </c>
      <c r="T456" s="3">
        <v>1.56</v>
      </c>
    </row>
    <row r="457" spans="1:20" hidden="1" x14ac:dyDescent="0.3">
      <c r="A457" s="1">
        <v>45094</v>
      </c>
      <c r="B457" s="2" t="s">
        <v>52</v>
      </c>
      <c r="C457" s="2" t="s">
        <v>66</v>
      </c>
      <c r="D457" s="2" t="s">
        <v>50</v>
      </c>
      <c r="E457" s="2" t="s">
        <v>51</v>
      </c>
      <c r="F457" s="2" t="s">
        <v>24</v>
      </c>
      <c r="G457">
        <v>77</v>
      </c>
      <c r="H457">
        <v>528</v>
      </c>
      <c r="I457">
        <v>41</v>
      </c>
      <c r="J457" s="3">
        <v>4566300</v>
      </c>
      <c r="K457" s="3">
        <v>187218300</v>
      </c>
      <c r="L457" s="2" t="s">
        <v>33</v>
      </c>
      <c r="M457" s="2" t="s">
        <v>34</v>
      </c>
      <c r="N457">
        <v>2023</v>
      </c>
      <c r="O457" s="2" t="s">
        <v>143</v>
      </c>
      <c r="P457" s="2" t="s">
        <v>146</v>
      </c>
      <c r="Q457">
        <v>6</v>
      </c>
      <c r="R457" s="4">
        <v>45078</v>
      </c>
      <c r="S457" s="3">
        <v>4566300</v>
      </c>
      <c r="T457" s="3">
        <v>18.72</v>
      </c>
    </row>
    <row r="458" spans="1:20" hidden="1" x14ac:dyDescent="0.3">
      <c r="A458" s="1">
        <v>45095</v>
      </c>
      <c r="B458" s="2" t="s">
        <v>108</v>
      </c>
      <c r="C458" s="2" t="s">
        <v>109</v>
      </c>
      <c r="D458" s="2" t="s">
        <v>22</v>
      </c>
      <c r="E458" s="2" t="s">
        <v>23</v>
      </c>
      <c r="F458" s="2" t="s">
        <v>24</v>
      </c>
      <c r="G458">
        <v>82</v>
      </c>
      <c r="H458">
        <v>520</v>
      </c>
      <c r="I458">
        <v>54</v>
      </c>
      <c r="J458" s="3">
        <v>6134400</v>
      </c>
      <c r="K458" s="3">
        <v>331257600</v>
      </c>
      <c r="L458" s="2" t="s">
        <v>92</v>
      </c>
      <c r="M458" s="2" t="s">
        <v>26</v>
      </c>
      <c r="N458">
        <v>2023</v>
      </c>
      <c r="O458" s="2" t="s">
        <v>143</v>
      </c>
      <c r="P458" s="2" t="s">
        <v>146</v>
      </c>
      <c r="Q458">
        <v>6</v>
      </c>
      <c r="R458" s="4">
        <v>45078</v>
      </c>
      <c r="S458" s="3">
        <v>6134400</v>
      </c>
      <c r="T458" s="3">
        <v>33.130000000000003</v>
      </c>
    </row>
    <row r="459" spans="1:20" hidden="1" x14ac:dyDescent="0.3">
      <c r="A459" s="1">
        <v>45096</v>
      </c>
      <c r="B459" s="2" t="s">
        <v>35</v>
      </c>
      <c r="C459" s="2" t="s">
        <v>87</v>
      </c>
      <c r="D459" s="2" t="s">
        <v>54</v>
      </c>
      <c r="E459" s="2" t="s">
        <v>55</v>
      </c>
      <c r="F459" s="2" t="s">
        <v>72</v>
      </c>
      <c r="G459">
        <v>30</v>
      </c>
      <c r="H459">
        <v>320</v>
      </c>
      <c r="I459">
        <v>59</v>
      </c>
      <c r="J459" s="3">
        <v>1412900</v>
      </c>
      <c r="K459" s="3">
        <v>83361100</v>
      </c>
      <c r="L459" s="2" t="s">
        <v>33</v>
      </c>
      <c r="M459" s="2" t="s">
        <v>26</v>
      </c>
      <c r="N459">
        <v>2023</v>
      </c>
      <c r="O459" s="2" t="s">
        <v>143</v>
      </c>
      <c r="P459" s="2" t="s">
        <v>146</v>
      </c>
      <c r="Q459">
        <v>6</v>
      </c>
      <c r="R459" s="4">
        <v>45078</v>
      </c>
      <c r="S459" s="3">
        <v>1412900</v>
      </c>
      <c r="T459" s="3">
        <v>8.34</v>
      </c>
    </row>
    <row r="460" spans="1:20" hidden="1" x14ac:dyDescent="0.3">
      <c r="A460" s="1">
        <v>45097</v>
      </c>
      <c r="B460" s="2" t="s">
        <v>35</v>
      </c>
      <c r="C460" s="2" t="s">
        <v>132</v>
      </c>
      <c r="D460" s="2" t="s">
        <v>67</v>
      </c>
      <c r="E460" s="2" t="s">
        <v>68</v>
      </c>
      <c r="F460" s="2" t="s">
        <v>24</v>
      </c>
      <c r="G460">
        <v>66</v>
      </c>
      <c r="H460">
        <v>440</v>
      </c>
      <c r="I460">
        <v>17</v>
      </c>
      <c r="J460" s="3">
        <v>5317600</v>
      </c>
      <c r="K460" s="3">
        <v>90399200</v>
      </c>
      <c r="L460" s="2" t="s">
        <v>25</v>
      </c>
      <c r="M460" s="2" t="s">
        <v>77</v>
      </c>
      <c r="N460">
        <v>2023</v>
      </c>
      <c r="O460" s="2" t="s">
        <v>143</v>
      </c>
      <c r="P460" s="2" t="s">
        <v>146</v>
      </c>
      <c r="Q460">
        <v>6</v>
      </c>
      <c r="R460" s="4">
        <v>45078</v>
      </c>
      <c r="S460" s="3">
        <v>5317600</v>
      </c>
      <c r="T460" s="3">
        <v>9.0399999999999991</v>
      </c>
    </row>
    <row r="461" spans="1:20" hidden="1" x14ac:dyDescent="0.3">
      <c r="A461" s="1">
        <v>45097</v>
      </c>
      <c r="B461" s="2" t="s">
        <v>40</v>
      </c>
      <c r="C461" s="2" t="s">
        <v>105</v>
      </c>
      <c r="D461" s="2" t="s">
        <v>88</v>
      </c>
      <c r="E461" s="2" t="s">
        <v>89</v>
      </c>
      <c r="F461" s="2" t="s">
        <v>24</v>
      </c>
      <c r="G461">
        <v>82</v>
      </c>
      <c r="H461">
        <v>580</v>
      </c>
      <c r="I461">
        <v>42</v>
      </c>
      <c r="J461" s="3">
        <v>5078700</v>
      </c>
      <c r="K461" s="3">
        <v>213305400</v>
      </c>
      <c r="L461" s="2" t="s">
        <v>33</v>
      </c>
      <c r="M461" s="2" t="s">
        <v>77</v>
      </c>
      <c r="N461">
        <v>2023</v>
      </c>
      <c r="O461" s="2" t="s">
        <v>143</v>
      </c>
      <c r="P461" s="2" t="s">
        <v>146</v>
      </c>
      <c r="Q461">
        <v>6</v>
      </c>
      <c r="R461" s="4">
        <v>45078</v>
      </c>
      <c r="S461" s="3">
        <v>5078700</v>
      </c>
      <c r="T461" s="3">
        <v>21.33</v>
      </c>
    </row>
    <row r="462" spans="1:20" hidden="1" x14ac:dyDescent="0.3">
      <c r="A462" s="1">
        <v>45097</v>
      </c>
      <c r="B462" s="2" t="s">
        <v>40</v>
      </c>
      <c r="C462" s="2" t="s">
        <v>41</v>
      </c>
      <c r="D462" s="2" t="s">
        <v>57</v>
      </c>
      <c r="E462" s="2" t="s">
        <v>86</v>
      </c>
      <c r="F462" s="2" t="s">
        <v>39</v>
      </c>
      <c r="G462">
        <v>48</v>
      </c>
      <c r="H462">
        <v>39</v>
      </c>
      <c r="I462">
        <v>176</v>
      </c>
      <c r="J462" s="3">
        <v>2529500</v>
      </c>
      <c r="K462" s="3">
        <v>445192000</v>
      </c>
      <c r="L462" s="2" t="s">
        <v>25</v>
      </c>
      <c r="M462" s="2" t="s">
        <v>26</v>
      </c>
      <c r="N462">
        <v>2023</v>
      </c>
      <c r="O462" s="2" t="s">
        <v>143</v>
      </c>
      <c r="P462" s="2" t="s">
        <v>146</v>
      </c>
      <c r="Q462">
        <v>6</v>
      </c>
      <c r="R462" s="4">
        <v>45078</v>
      </c>
      <c r="S462" s="3">
        <v>2529500</v>
      </c>
      <c r="T462" s="3">
        <v>44.52</v>
      </c>
    </row>
    <row r="463" spans="1:20" hidden="1" x14ac:dyDescent="0.3">
      <c r="A463" s="1">
        <v>45097</v>
      </c>
      <c r="B463" s="2" t="s">
        <v>46</v>
      </c>
      <c r="C463" s="2" t="s">
        <v>47</v>
      </c>
      <c r="D463" s="2" t="s">
        <v>42</v>
      </c>
      <c r="E463" s="2" t="s">
        <v>43</v>
      </c>
      <c r="F463" s="2" t="s">
        <v>24</v>
      </c>
      <c r="G463">
        <v>3</v>
      </c>
      <c r="H463">
        <v>135</v>
      </c>
      <c r="I463">
        <v>169</v>
      </c>
      <c r="J463" s="3">
        <v>107700</v>
      </c>
      <c r="K463" s="3">
        <v>18201300</v>
      </c>
      <c r="L463" s="2" t="s">
        <v>33</v>
      </c>
      <c r="M463" s="2" t="s">
        <v>26</v>
      </c>
      <c r="N463">
        <v>2023</v>
      </c>
      <c r="O463" s="2" t="s">
        <v>143</v>
      </c>
      <c r="P463" s="2" t="s">
        <v>146</v>
      </c>
      <c r="Q463">
        <v>6</v>
      </c>
      <c r="R463" s="4">
        <v>45078</v>
      </c>
      <c r="S463" s="3">
        <v>107700</v>
      </c>
      <c r="T463" s="3">
        <v>1.82</v>
      </c>
    </row>
    <row r="464" spans="1:20" hidden="1" x14ac:dyDescent="0.3">
      <c r="A464" s="1">
        <v>45097</v>
      </c>
      <c r="B464" s="2" t="s">
        <v>40</v>
      </c>
      <c r="C464" s="2" t="s">
        <v>136</v>
      </c>
      <c r="D464" s="2" t="s">
        <v>42</v>
      </c>
      <c r="E464" s="2" t="s">
        <v>43</v>
      </c>
      <c r="F464" s="2" t="s">
        <v>24</v>
      </c>
      <c r="G464">
        <v>3</v>
      </c>
      <c r="H464">
        <v>135</v>
      </c>
      <c r="I464">
        <v>38</v>
      </c>
      <c r="J464" s="3">
        <v>116300</v>
      </c>
      <c r="K464" s="3">
        <v>4419400</v>
      </c>
      <c r="L464" s="2" t="s">
        <v>33</v>
      </c>
      <c r="M464" s="2" t="s">
        <v>77</v>
      </c>
      <c r="N464">
        <v>2023</v>
      </c>
      <c r="O464" s="2" t="s">
        <v>143</v>
      </c>
      <c r="P464" s="2" t="s">
        <v>146</v>
      </c>
      <c r="Q464">
        <v>6</v>
      </c>
      <c r="R464" s="4">
        <v>45078</v>
      </c>
      <c r="S464" s="3">
        <v>116300</v>
      </c>
      <c r="T464" s="3">
        <v>0.44</v>
      </c>
    </row>
    <row r="465" spans="1:20" hidden="1" x14ac:dyDescent="0.3">
      <c r="A465" s="1">
        <v>45098</v>
      </c>
      <c r="B465" s="2" t="s">
        <v>108</v>
      </c>
      <c r="C465" s="2" t="s">
        <v>109</v>
      </c>
      <c r="D465" s="2" t="s">
        <v>67</v>
      </c>
      <c r="E465" s="2" t="s">
        <v>68</v>
      </c>
      <c r="F465" s="2" t="s">
        <v>72</v>
      </c>
      <c r="G465">
        <v>66</v>
      </c>
      <c r="H465">
        <v>440</v>
      </c>
      <c r="I465">
        <v>38</v>
      </c>
      <c r="J465" s="3">
        <v>5702000</v>
      </c>
      <c r="K465" s="3">
        <v>216676000</v>
      </c>
      <c r="L465" s="2" t="s">
        <v>33</v>
      </c>
      <c r="M465" s="2" t="s">
        <v>26</v>
      </c>
      <c r="N465">
        <v>2023</v>
      </c>
      <c r="O465" s="2" t="s">
        <v>143</v>
      </c>
      <c r="P465" s="2" t="s">
        <v>146</v>
      </c>
      <c r="Q465">
        <v>6</v>
      </c>
      <c r="R465" s="4">
        <v>45078</v>
      </c>
      <c r="S465" s="3">
        <v>5702000</v>
      </c>
      <c r="T465" s="3">
        <v>21.67</v>
      </c>
    </row>
    <row r="466" spans="1:20" hidden="1" x14ac:dyDescent="0.3">
      <c r="A466" s="1">
        <v>45098</v>
      </c>
      <c r="B466" s="2" t="s">
        <v>108</v>
      </c>
      <c r="C466" s="2" t="s">
        <v>131</v>
      </c>
      <c r="D466" s="2" t="s">
        <v>42</v>
      </c>
      <c r="E466" s="2" t="s">
        <v>43</v>
      </c>
      <c r="F466" s="2" t="s">
        <v>24</v>
      </c>
      <c r="G466">
        <v>3</v>
      </c>
      <c r="H466">
        <v>135</v>
      </c>
      <c r="I466">
        <v>144</v>
      </c>
      <c r="J466" s="3">
        <v>123800</v>
      </c>
      <c r="K466" s="3">
        <v>17827200</v>
      </c>
      <c r="L466" s="2" t="s">
        <v>25</v>
      </c>
      <c r="M466" s="2" t="s">
        <v>97</v>
      </c>
      <c r="N466">
        <v>2023</v>
      </c>
      <c r="O466" s="2" t="s">
        <v>143</v>
      </c>
      <c r="P466" s="2" t="s">
        <v>146</v>
      </c>
      <c r="Q466">
        <v>6</v>
      </c>
      <c r="R466" s="4">
        <v>45078</v>
      </c>
      <c r="S466" s="3">
        <v>123800</v>
      </c>
      <c r="T466" s="3">
        <v>1.78</v>
      </c>
    </row>
    <row r="467" spans="1:20" hidden="1" x14ac:dyDescent="0.3">
      <c r="A467" s="1">
        <v>45098</v>
      </c>
      <c r="B467" s="2" t="s">
        <v>35</v>
      </c>
      <c r="C467" s="2" t="s">
        <v>36</v>
      </c>
      <c r="D467" s="2" t="s">
        <v>50</v>
      </c>
      <c r="E467" s="2" t="s">
        <v>51</v>
      </c>
      <c r="F467" s="2" t="s">
        <v>39</v>
      </c>
      <c r="G467">
        <v>77</v>
      </c>
      <c r="H467">
        <v>528</v>
      </c>
      <c r="I467">
        <v>72</v>
      </c>
      <c r="J467" s="3">
        <v>4337600</v>
      </c>
      <c r="K467" s="3">
        <v>312307200</v>
      </c>
      <c r="L467" s="2" t="s">
        <v>33</v>
      </c>
      <c r="M467" s="2" t="s">
        <v>26</v>
      </c>
      <c r="N467">
        <v>2023</v>
      </c>
      <c r="O467" s="2" t="s">
        <v>143</v>
      </c>
      <c r="P467" s="2" t="s">
        <v>146</v>
      </c>
      <c r="Q467">
        <v>6</v>
      </c>
      <c r="R467" s="4">
        <v>45078</v>
      </c>
      <c r="S467" s="3">
        <v>4337600</v>
      </c>
      <c r="T467" s="3">
        <v>31.23</v>
      </c>
    </row>
    <row r="468" spans="1:20" hidden="1" x14ac:dyDescent="0.3">
      <c r="A468" s="1">
        <v>45099</v>
      </c>
      <c r="B468" s="2" t="s">
        <v>46</v>
      </c>
      <c r="C468" s="2" t="s">
        <v>137</v>
      </c>
      <c r="D468" s="2" t="s">
        <v>22</v>
      </c>
      <c r="E468" s="2" t="s">
        <v>23</v>
      </c>
      <c r="F468" s="2" t="s">
        <v>24</v>
      </c>
      <c r="G468">
        <v>82</v>
      </c>
      <c r="H468">
        <v>520</v>
      </c>
      <c r="I468">
        <v>39</v>
      </c>
      <c r="J468" s="3">
        <v>7421200</v>
      </c>
      <c r="K468" s="3">
        <v>289426800</v>
      </c>
      <c r="L468" s="2" t="s">
        <v>33</v>
      </c>
      <c r="M468" s="2" t="s">
        <v>77</v>
      </c>
      <c r="N468">
        <v>2023</v>
      </c>
      <c r="O468" s="2" t="s">
        <v>143</v>
      </c>
      <c r="P468" s="2" t="s">
        <v>146</v>
      </c>
      <c r="Q468">
        <v>6</v>
      </c>
      <c r="R468" s="4">
        <v>45078</v>
      </c>
      <c r="S468" s="3">
        <v>7421200</v>
      </c>
      <c r="T468" s="3">
        <v>28.94</v>
      </c>
    </row>
    <row r="469" spans="1:20" hidden="1" x14ac:dyDescent="0.3">
      <c r="A469" s="1">
        <v>45100</v>
      </c>
      <c r="B469" s="2" t="s">
        <v>20</v>
      </c>
      <c r="C469" s="2" t="s">
        <v>21</v>
      </c>
      <c r="D469" s="2" t="s">
        <v>100</v>
      </c>
      <c r="E469" s="2" t="s">
        <v>101</v>
      </c>
      <c r="F469" s="2" t="s">
        <v>24</v>
      </c>
      <c r="G469">
        <v>3</v>
      </c>
      <c r="H469">
        <v>150</v>
      </c>
      <c r="I469">
        <v>57</v>
      </c>
      <c r="J469" s="3">
        <v>163000</v>
      </c>
      <c r="K469" s="3">
        <v>9291000</v>
      </c>
      <c r="L469" s="2" t="s">
        <v>33</v>
      </c>
      <c r="M469" s="2" t="s">
        <v>77</v>
      </c>
      <c r="N469">
        <v>2023</v>
      </c>
      <c r="O469" s="2" t="s">
        <v>143</v>
      </c>
      <c r="P469" s="2" t="s">
        <v>146</v>
      </c>
      <c r="Q469">
        <v>6</v>
      </c>
      <c r="R469" s="4">
        <v>45078</v>
      </c>
      <c r="S469" s="3">
        <v>163000</v>
      </c>
      <c r="T469" s="3">
        <v>0.93</v>
      </c>
    </row>
    <row r="470" spans="1:20" hidden="1" x14ac:dyDescent="0.3">
      <c r="A470" s="1">
        <v>45101</v>
      </c>
      <c r="B470" s="2" t="s">
        <v>48</v>
      </c>
      <c r="C470" s="2" t="s">
        <v>98</v>
      </c>
      <c r="D470" s="2" t="s">
        <v>88</v>
      </c>
      <c r="E470" s="2" t="s">
        <v>89</v>
      </c>
      <c r="F470" s="2" t="s">
        <v>24</v>
      </c>
      <c r="G470">
        <v>82</v>
      </c>
      <c r="H470">
        <v>580</v>
      </c>
      <c r="I470">
        <v>19</v>
      </c>
      <c r="J470" s="3">
        <v>5676200</v>
      </c>
      <c r="K470" s="3">
        <v>107847800</v>
      </c>
      <c r="L470" s="2" t="s">
        <v>33</v>
      </c>
      <c r="M470" s="2" t="s">
        <v>26</v>
      </c>
      <c r="N470">
        <v>2023</v>
      </c>
      <c r="O470" s="2" t="s">
        <v>143</v>
      </c>
      <c r="P470" s="2" t="s">
        <v>146</v>
      </c>
      <c r="Q470">
        <v>6</v>
      </c>
      <c r="R470" s="4">
        <v>45078</v>
      </c>
      <c r="S470" s="3">
        <v>5676200</v>
      </c>
      <c r="T470" s="3">
        <v>10.78</v>
      </c>
    </row>
    <row r="471" spans="1:20" hidden="1" x14ac:dyDescent="0.3">
      <c r="A471" s="1">
        <v>45101</v>
      </c>
      <c r="B471" s="2" t="s">
        <v>20</v>
      </c>
      <c r="C471" s="2" t="s">
        <v>21</v>
      </c>
      <c r="D471" s="2" t="s">
        <v>42</v>
      </c>
      <c r="E471" s="2" t="s">
        <v>43</v>
      </c>
      <c r="F471" s="2" t="s">
        <v>24</v>
      </c>
      <c r="G471">
        <v>3</v>
      </c>
      <c r="H471">
        <v>135</v>
      </c>
      <c r="I471">
        <v>77</v>
      </c>
      <c r="J471" s="3">
        <v>109500</v>
      </c>
      <c r="K471" s="3">
        <v>8431500</v>
      </c>
      <c r="L471" s="2" t="s">
        <v>25</v>
      </c>
      <c r="M471" s="2" t="s">
        <v>34</v>
      </c>
      <c r="N471">
        <v>2023</v>
      </c>
      <c r="O471" s="2" t="s">
        <v>143</v>
      </c>
      <c r="P471" s="2" t="s">
        <v>146</v>
      </c>
      <c r="Q471">
        <v>6</v>
      </c>
      <c r="R471" s="4">
        <v>45078</v>
      </c>
      <c r="S471" s="3">
        <v>109500</v>
      </c>
      <c r="T471" s="3">
        <v>0.84</v>
      </c>
    </row>
    <row r="472" spans="1:20" hidden="1" x14ac:dyDescent="0.3">
      <c r="A472" s="1">
        <v>45101</v>
      </c>
      <c r="B472" s="2" t="s">
        <v>106</v>
      </c>
      <c r="C472" s="2" t="s">
        <v>119</v>
      </c>
      <c r="D472" s="2" t="s">
        <v>79</v>
      </c>
      <c r="E472" s="2" t="s">
        <v>80</v>
      </c>
      <c r="F472" s="2" t="s">
        <v>24</v>
      </c>
      <c r="G472">
        <v>69</v>
      </c>
      <c r="H472">
        <v>418</v>
      </c>
      <c r="I472">
        <v>25</v>
      </c>
      <c r="J472" s="3">
        <v>5731100</v>
      </c>
      <c r="K472" s="3">
        <v>143277500</v>
      </c>
      <c r="L472" s="2" t="s">
        <v>33</v>
      </c>
      <c r="M472" s="2" t="s">
        <v>77</v>
      </c>
      <c r="N472">
        <v>2023</v>
      </c>
      <c r="O472" s="2" t="s">
        <v>143</v>
      </c>
      <c r="P472" s="2" t="s">
        <v>146</v>
      </c>
      <c r="Q472">
        <v>6</v>
      </c>
      <c r="R472" s="4">
        <v>45078</v>
      </c>
      <c r="S472" s="3">
        <v>5731100</v>
      </c>
      <c r="T472" s="3">
        <v>14.33</v>
      </c>
    </row>
    <row r="473" spans="1:20" hidden="1" x14ac:dyDescent="0.3">
      <c r="A473" s="1">
        <v>45101</v>
      </c>
      <c r="B473" s="2" t="s">
        <v>108</v>
      </c>
      <c r="C473" s="2" t="s">
        <v>109</v>
      </c>
      <c r="D473" s="2" t="s">
        <v>102</v>
      </c>
      <c r="E473" s="2" t="s">
        <v>103</v>
      </c>
      <c r="F473" s="2" t="s">
        <v>24</v>
      </c>
      <c r="G473">
        <v>5</v>
      </c>
      <c r="H473">
        <v>150</v>
      </c>
      <c r="I473">
        <v>87</v>
      </c>
      <c r="J473" s="3">
        <v>149800</v>
      </c>
      <c r="K473" s="3">
        <v>13032600</v>
      </c>
      <c r="L473" s="2" t="s">
        <v>25</v>
      </c>
      <c r="M473" s="2" t="s">
        <v>26</v>
      </c>
      <c r="N473">
        <v>2023</v>
      </c>
      <c r="O473" s="2" t="s">
        <v>143</v>
      </c>
      <c r="P473" s="2" t="s">
        <v>146</v>
      </c>
      <c r="Q473">
        <v>6</v>
      </c>
      <c r="R473" s="4">
        <v>45078</v>
      </c>
      <c r="S473" s="3">
        <v>149800</v>
      </c>
      <c r="T473" s="3">
        <v>1.3</v>
      </c>
    </row>
    <row r="474" spans="1:20" hidden="1" x14ac:dyDescent="0.3">
      <c r="A474" s="1">
        <v>45102</v>
      </c>
      <c r="B474" s="2" t="s">
        <v>40</v>
      </c>
      <c r="C474" s="2" t="s">
        <v>78</v>
      </c>
      <c r="D474" s="2" t="s">
        <v>82</v>
      </c>
      <c r="E474" s="2" t="s">
        <v>83</v>
      </c>
      <c r="F474" s="2" t="s">
        <v>24</v>
      </c>
      <c r="G474">
        <v>40</v>
      </c>
      <c r="H474">
        <v>39</v>
      </c>
      <c r="I474">
        <v>157</v>
      </c>
      <c r="J474" s="3">
        <v>2277300</v>
      </c>
      <c r="K474" s="3">
        <v>357536100</v>
      </c>
      <c r="L474" s="2" t="s">
        <v>33</v>
      </c>
      <c r="M474" s="2" t="s">
        <v>34</v>
      </c>
      <c r="N474">
        <v>2023</v>
      </c>
      <c r="O474" s="2" t="s">
        <v>143</v>
      </c>
      <c r="P474" s="2" t="s">
        <v>146</v>
      </c>
      <c r="Q474">
        <v>6</v>
      </c>
      <c r="R474" s="4">
        <v>45078</v>
      </c>
      <c r="S474" s="3">
        <v>2277300</v>
      </c>
      <c r="T474" s="3">
        <v>35.75</v>
      </c>
    </row>
    <row r="475" spans="1:20" hidden="1" x14ac:dyDescent="0.3">
      <c r="A475" s="1">
        <v>45102</v>
      </c>
      <c r="B475" s="2" t="s">
        <v>75</v>
      </c>
      <c r="C475" s="2" t="s">
        <v>134</v>
      </c>
      <c r="D475" s="2" t="s">
        <v>100</v>
      </c>
      <c r="E475" s="2" t="s">
        <v>101</v>
      </c>
      <c r="F475" s="2" t="s">
        <v>24</v>
      </c>
      <c r="G475">
        <v>3</v>
      </c>
      <c r="H475">
        <v>150</v>
      </c>
      <c r="I475">
        <v>167</v>
      </c>
      <c r="J475" s="3">
        <v>176000</v>
      </c>
      <c r="K475" s="3">
        <v>29392000</v>
      </c>
      <c r="L475" s="2" t="s">
        <v>33</v>
      </c>
      <c r="M475" s="2" t="s">
        <v>26</v>
      </c>
      <c r="N475">
        <v>2023</v>
      </c>
      <c r="O475" s="2" t="s">
        <v>143</v>
      </c>
      <c r="P475" s="2" t="s">
        <v>146</v>
      </c>
      <c r="Q475">
        <v>6</v>
      </c>
      <c r="R475" s="4">
        <v>45078</v>
      </c>
      <c r="S475" s="3">
        <v>176000</v>
      </c>
      <c r="T475" s="3">
        <v>2.94</v>
      </c>
    </row>
    <row r="476" spans="1:20" hidden="1" x14ac:dyDescent="0.3">
      <c r="A476" s="1">
        <v>45103</v>
      </c>
      <c r="B476" s="2" t="s">
        <v>46</v>
      </c>
      <c r="C476" s="2" t="s">
        <v>56</v>
      </c>
      <c r="D476" s="2" t="s">
        <v>31</v>
      </c>
      <c r="E476" s="2" t="s">
        <v>32</v>
      </c>
      <c r="F476" s="2" t="s">
        <v>24</v>
      </c>
      <c r="G476">
        <v>4</v>
      </c>
      <c r="H476">
        <v>195</v>
      </c>
      <c r="I476">
        <v>41</v>
      </c>
      <c r="J476" s="3">
        <v>120400</v>
      </c>
      <c r="K476" s="3">
        <v>4936400</v>
      </c>
      <c r="L476" s="2" t="s">
        <v>33</v>
      </c>
      <c r="M476" s="2" t="s">
        <v>26</v>
      </c>
      <c r="N476">
        <v>2023</v>
      </c>
      <c r="O476" s="2" t="s">
        <v>143</v>
      </c>
      <c r="P476" s="2" t="s">
        <v>146</v>
      </c>
      <c r="Q476">
        <v>6</v>
      </c>
      <c r="R476" s="4">
        <v>45078</v>
      </c>
      <c r="S476" s="3">
        <v>120400</v>
      </c>
      <c r="T476" s="3">
        <v>0.49</v>
      </c>
    </row>
    <row r="477" spans="1:20" hidden="1" x14ac:dyDescent="0.3">
      <c r="A477" s="1">
        <v>45104</v>
      </c>
      <c r="B477" s="2" t="s">
        <v>84</v>
      </c>
      <c r="C477" s="2" t="s">
        <v>85</v>
      </c>
      <c r="D477" s="2" t="s">
        <v>88</v>
      </c>
      <c r="E477" s="2" t="s">
        <v>111</v>
      </c>
      <c r="F477" s="2" t="s">
        <v>24</v>
      </c>
      <c r="G477">
        <v>60</v>
      </c>
      <c r="H477">
        <v>480</v>
      </c>
      <c r="I477">
        <v>27</v>
      </c>
      <c r="J477" s="3">
        <v>3071900</v>
      </c>
      <c r="K477" s="3">
        <v>82941300</v>
      </c>
      <c r="L477" s="2" t="s">
        <v>33</v>
      </c>
      <c r="M477" s="2" t="s">
        <v>77</v>
      </c>
      <c r="N477">
        <v>2023</v>
      </c>
      <c r="O477" s="2" t="s">
        <v>143</v>
      </c>
      <c r="P477" s="2" t="s">
        <v>146</v>
      </c>
      <c r="Q477">
        <v>6</v>
      </c>
      <c r="R477" s="4">
        <v>45078</v>
      </c>
      <c r="S477" s="3">
        <v>3071900</v>
      </c>
      <c r="T477" s="3">
        <v>8.2899999999999991</v>
      </c>
    </row>
    <row r="478" spans="1:20" hidden="1" x14ac:dyDescent="0.3">
      <c r="A478" s="1">
        <v>45104</v>
      </c>
      <c r="B478" s="2" t="s">
        <v>20</v>
      </c>
      <c r="C478" s="2" t="s">
        <v>21</v>
      </c>
      <c r="D478" s="2" t="s">
        <v>100</v>
      </c>
      <c r="E478" s="2" t="s">
        <v>101</v>
      </c>
      <c r="F478" s="2" t="s">
        <v>24</v>
      </c>
      <c r="G478">
        <v>3</v>
      </c>
      <c r="H478">
        <v>150</v>
      </c>
      <c r="I478">
        <v>16</v>
      </c>
      <c r="J478" s="3">
        <v>152900</v>
      </c>
      <c r="K478" s="3">
        <v>2446400</v>
      </c>
      <c r="L478" s="2" t="s">
        <v>25</v>
      </c>
      <c r="M478" s="2" t="s">
        <v>26</v>
      </c>
      <c r="N478">
        <v>2023</v>
      </c>
      <c r="O478" s="2" t="s">
        <v>143</v>
      </c>
      <c r="P478" s="2" t="s">
        <v>146</v>
      </c>
      <c r="Q478">
        <v>6</v>
      </c>
      <c r="R478" s="4">
        <v>45078</v>
      </c>
      <c r="S478" s="3">
        <v>152900</v>
      </c>
      <c r="T478" s="3">
        <v>0.24</v>
      </c>
    </row>
    <row r="479" spans="1:20" hidden="1" x14ac:dyDescent="0.3">
      <c r="A479" s="1">
        <v>45104</v>
      </c>
      <c r="B479" s="2" t="s">
        <v>29</v>
      </c>
      <c r="C479" s="2" t="s">
        <v>65</v>
      </c>
      <c r="D479" s="2" t="s">
        <v>31</v>
      </c>
      <c r="E479" s="2" t="s">
        <v>124</v>
      </c>
      <c r="F479" s="2" t="s">
        <v>24</v>
      </c>
      <c r="G479">
        <v>3</v>
      </c>
      <c r="H479">
        <v>151</v>
      </c>
      <c r="I479">
        <v>124</v>
      </c>
      <c r="J479" s="3">
        <v>126400</v>
      </c>
      <c r="K479" s="3">
        <v>15673600</v>
      </c>
      <c r="L479" s="2" t="s">
        <v>25</v>
      </c>
      <c r="M479" s="2" t="s">
        <v>26</v>
      </c>
      <c r="N479">
        <v>2023</v>
      </c>
      <c r="O479" s="2" t="s">
        <v>143</v>
      </c>
      <c r="P479" s="2" t="s">
        <v>146</v>
      </c>
      <c r="Q479">
        <v>6</v>
      </c>
      <c r="R479" s="4">
        <v>45078</v>
      </c>
      <c r="S479" s="3">
        <v>126400</v>
      </c>
      <c r="T479" s="3">
        <v>1.57</v>
      </c>
    </row>
    <row r="480" spans="1:20" hidden="1" x14ac:dyDescent="0.3">
      <c r="A480" s="1">
        <v>45104</v>
      </c>
      <c r="B480" s="2" t="s">
        <v>46</v>
      </c>
      <c r="C480" s="2" t="s">
        <v>56</v>
      </c>
      <c r="D480" s="2" t="s">
        <v>57</v>
      </c>
      <c r="E480" s="2" t="s">
        <v>58</v>
      </c>
      <c r="F480" s="2" t="s">
        <v>138</v>
      </c>
      <c r="G480">
        <v>72</v>
      </c>
      <c r="H480">
        <v>488</v>
      </c>
      <c r="I480">
        <v>152</v>
      </c>
      <c r="J480" s="3">
        <v>4562100</v>
      </c>
      <c r="K480" s="3">
        <v>693439200</v>
      </c>
      <c r="L480" s="2" t="s">
        <v>25</v>
      </c>
      <c r="M480" s="2" t="s">
        <v>34</v>
      </c>
      <c r="N480">
        <v>2023</v>
      </c>
      <c r="O480" s="2" t="s">
        <v>143</v>
      </c>
      <c r="P480" s="2" t="s">
        <v>146</v>
      </c>
      <c r="Q480">
        <v>6</v>
      </c>
      <c r="R480" s="4">
        <v>45078</v>
      </c>
      <c r="S480" s="3">
        <v>4562100</v>
      </c>
      <c r="T480" s="3">
        <v>69.34</v>
      </c>
    </row>
    <row r="481" spans="1:20" hidden="1" x14ac:dyDescent="0.3">
      <c r="A481" s="1">
        <v>45104</v>
      </c>
      <c r="B481" s="2" t="s">
        <v>29</v>
      </c>
      <c r="C481" s="2" t="s">
        <v>65</v>
      </c>
      <c r="D481" s="2" t="s">
        <v>31</v>
      </c>
      <c r="E481" s="2" t="s">
        <v>32</v>
      </c>
      <c r="F481" s="2" t="s">
        <v>24</v>
      </c>
      <c r="G481">
        <v>4</v>
      </c>
      <c r="H481">
        <v>195</v>
      </c>
      <c r="I481">
        <v>148</v>
      </c>
      <c r="J481" s="3">
        <v>150800</v>
      </c>
      <c r="K481" s="3">
        <v>22318400</v>
      </c>
      <c r="L481" s="2" t="s">
        <v>33</v>
      </c>
      <c r="M481" s="2" t="s">
        <v>26</v>
      </c>
      <c r="N481">
        <v>2023</v>
      </c>
      <c r="O481" s="2" t="s">
        <v>143</v>
      </c>
      <c r="P481" s="2" t="s">
        <v>146</v>
      </c>
      <c r="Q481">
        <v>6</v>
      </c>
      <c r="R481" s="4">
        <v>45078</v>
      </c>
      <c r="S481" s="3">
        <v>150800</v>
      </c>
      <c r="T481" s="3">
        <v>2.23</v>
      </c>
    </row>
    <row r="482" spans="1:20" hidden="1" x14ac:dyDescent="0.3">
      <c r="A482" s="1">
        <v>45105</v>
      </c>
      <c r="B482" s="2" t="s">
        <v>40</v>
      </c>
      <c r="C482" s="2" t="s">
        <v>78</v>
      </c>
      <c r="D482" s="2" t="s">
        <v>31</v>
      </c>
      <c r="E482" s="2" t="s">
        <v>32</v>
      </c>
      <c r="F482" s="2" t="s">
        <v>24</v>
      </c>
      <c r="G482">
        <v>4</v>
      </c>
      <c r="H482">
        <v>195</v>
      </c>
      <c r="I482">
        <v>128</v>
      </c>
      <c r="J482" s="3">
        <v>144900</v>
      </c>
      <c r="K482" s="3">
        <v>18547200</v>
      </c>
      <c r="L482" s="2" t="s">
        <v>33</v>
      </c>
      <c r="M482" s="2" t="s">
        <v>97</v>
      </c>
      <c r="N482">
        <v>2023</v>
      </c>
      <c r="O482" s="2" t="s">
        <v>143</v>
      </c>
      <c r="P482" s="2" t="s">
        <v>146</v>
      </c>
      <c r="Q482">
        <v>6</v>
      </c>
      <c r="R482" s="4">
        <v>45078</v>
      </c>
      <c r="S482" s="3">
        <v>144900</v>
      </c>
      <c r="T482" s="3">
        <v>1.85</v>
      </c>
    </row>
    <row r="483" spans="1:20" hidden="1" x14ac:dyDescent="0.3">
      <c r="A483" s="1">
        <v>45105</v>
      </c>
      <c r="B483" s="2" t="s">
        <v>46</v>
      </c>
      <c r="C483" s="2" t="s">
        <v>56</v>
      </c>
      <c r="D483" s="2" t="s">
        <v>79</v>
      </c>
      <c r="E483" s="2" t="s">
        <v>80</v>
      </c>
      <c r="F483" s="2" t="s">
        <v>72</v>
      </c>
      <c r="G483">
        <v>69</v>
      </c>
      <c r="H483">
        <v>418</v>
      </c>
      <c r="I483">
        <v>72</v>
      </c>
      <c r="J483" s="3">
        <v>5697100</v>
      </c>
      <c r="K483" s="3">
        <v>410191200</v>
      </c>
      <c r="L483" s="2" t="s">
        <v>33</v>
      </c>
      <c r="M483" s="2" t="s">
        <v>26</v>
      </c>
      <c r="N483">
        <v>2023</v>
      </c>
      <c r="O483" s="2" t="s">
        <v>143</v>
      </c>
      <c r="P483" s="2" t="s">
        <v>146</v>
      </c>
      <c r="Q483">
        <v>6</v>
      </c>
      <c r="R483" s="4">
        <v>45078</v>
      </c>
      <c r="S483" s="3">
        <v>5697100</v>
      </c>
      <c r="T483" s="3">
        <v>41.02</v>
      </c>
    </row>
    <row r="484" spans="1:20" hidden="1" x14ac:dyDescent="0.3">
      <c r="A484" s="1">
        <v>45105</v>
      </c>
      <c r="B484" s="2" t="s">
        <v>35</v>
      </c>
      <c r="C484" s="2" t="s">
        <v>87</v>
      </c>
      <c r="D484" s="2" t="s">
        <v>22</v>
      </c>
      <c r="E484" s="2" t="s">
        <v>23</v>
      </c>
      <c r="F484" s="2" t="s">
        <v>39</v>
      </c>
      <c r="G484">
        <v>82</v>
      </c>
      <c r="H484">
        <v>520</v>
      </c>
      <c r="I484">
        <v>70</v>
      </c>
      <c r="J484" s="3">
        <v>6779300</v>
      </c>
      <c r="K484" s="3">
        <v>474551000</v>
      </c>
      <c r="L484" s="2" t="s">
        <v>33</v>
      </c>
      <c r="M484" s="2" t="s">
        <v>26</v>
      </c>
      <c r="N484">
        <v>2023</v>
      </c>
      <c r="O484" s="2" t="s">
        <v>143</v>
      </c>
      <c r="P484" s="2" t="s">
        <v>146</v>
      </c>
      <c r="Q484">
        <v>6</v>
      </c>
      <c r="R484" s="4">
        <v>45078</v>
      </c>
      <c r="S484" s="3">
        <v>6779300</v>
      </c>
      <c r="T484" s="3">
        <v>47.46</v>
      </c>
    </row>
    <row r="485" spans="1:20" hidden="1" x14ac:dyDescent="0.3">
      <c r="A485" s="1">
        <v>45106</v>
      </c>
      <c r="B485" s="2" t="s">
        <v>106</v>
      </c>
      <c r="C485" s="2" t="s">
        <v>119</v>
      </c>
      <c r="D485" s="2" t="s">
        <v>82</v>
      </c>
      <c r="E485" s="2" t="s">
        <v>141</v>
      </c>
      <c r="F485" s="2" t="s">
        <v>72</v>
      </c>
      <c r="G485">
        <v>59</v>
      </c>
      <c r="H485">
        <v>55</v>
      </c>
      <c r="I485">
        <v>23</v>
      </c>
      <c r="J485" s="3">
        <v>2771100</v>
      </c>
      <c r="K485" s="3">
        <v>63735300</v>
      </c>
      <c r="L485" s="2" t="s">
        <v>25</v>
      </c>
      <c r="M485" s="2" t="s">
        <v>97</v>
      </c>
      <c r="N485">
        <v>2023</v>
      </c>
      <c r="O485" s="2" t="s">
        <v>143</v>
      </c>
      <c r="P485" s="2" t="s">
        <v>146</v>
      </c>
      <c r="Q485">
        <v>6</v>
      </c>
      <c r="R485" s="4">
        <v>45078</v>
      </c>
      <c r="S485" s="3">
        <v>2771100</v>
      </c>
      <c r="T485" s="3">
        <v>6.37</v>
      </c>
    </row>
    <row r="486" spans="1:20" hidden="1" x14ac:dyDescent="0.3">
      <c r="A486" s="1">
        <v>45106</v>
      </c>
      <c r="B486" s="2" t="s">
        <v>40</v>
      </c>
      <c r="C486" s="2" t="s">
        <v>41</v>
      </c>
      <c r="D486" s="2" t="s">
        <v>67</v>
      </c>
      <c r="E486" s="2" t="s">
        <v>68</v>
      </c>
      <c r="F486" s="2" t="s">
        <v>24</v>
      </c>
      <c r="G486">
        <v>66</v>
      </c>
      <c r="H486">
        <v>440</v>
      </c>
      <c r="I486">
        <v>7</v>
      </c>
      <c r="J486" s="3">
        <v>6641800</v>
      </c>
      <c r="K486" s="3">
        <v>46492600</v>
      </c>
      <c r="L486" s="2" t="s">
        <v>33</v>
      </c>
      <c r="M486" s="2" t="s">
        <v>26</v>
      </c>
      <c r="N486">
        <v>2023</v>
      </c>
      <c r="O486" s="2" t="s">
        <v>143</v>
      </c>
      <c r="P486" s="2" t="s">
        <v>146</v>
      </c>
      <c r="Q486">
        <v>6</v>
      </c>
      <c r="R486" s="4">
        <v>45078</v>
      </c>
      <c r="S486" s="3">
        <v>6641800</v>
      </c>
      <c r="T486" s="3">
        <v>4.6500000000000004</v>
      </c>
    </row>
    <row r="487" spans="1:20" hidden="1" x14ac:dyDescent="0.3">
      <c r="A487" s="1">
        <v>45106</v>
      </c>
      <c r="B487" s="2" t="s">
        <v>40</v>
      </c>
      <c r="C487" s="2" t="s">
        <v>78</v>
      </c>
      <c r="D487" s="2" t="s">
        <v>42</v>
      </c>
      <c r="E487" s="2" t="s">
        <v>43</v>
      </c>
      <c r="F487" s="2" t="s">
        <v>24</v>
      </c>
      <c r="G487">
        <v>3</v>
      </c>
      <c r="H487">
        <v>135</v>
      </c>
      <c r="I487">
        <v>43</v>
      </c>
      <c r="J487" s="3">
        <v>127500</v>
      </c>
      <c r="K487" s="3">
        <v>5482500</v>
      </c>
      <c r="L487" s="2" t="s">
        <v>25</v>
      </c>
      <c r="M487" s="2" t="s">
        <v>97</v>
      </c>
      <c r="N487">
        <v>2023</v>
      </c>
      <c r="O487" s="2" t="s">
        <v>143</v>
      </c>
      <c r="P487" s="2" t="s">
        <v>146</v>
      </c>
      <c r="Q487">
        <v>6</v>
      </c>
      <c r="R487" s="4">
        <v>45078</v>
      </c>
      <c r="S487" s="3">
        <v>127500</v>
      </c>
      <c r="T487" s="3">
        <v>0.55000000000000004</v>
      </c>
    </row>
    <row r="488" spans="1:20" hidden="1" x14ac:dyDescent="0.3">
      <c r="A488" s="1">
        <v>45106</v>
      </c>
      <c r="B488" s="2" t="s">
        <v>20</v>
      </c>
      <c r="C488" s="2" t="s">
        <v>112</v>
      </c>
      <c r="D488" s="2" t="s">
        <v>67</v>
      </c>
      <c r="E488" s="2" t="s">
        <v>68</v>
      </c>
      <c r="F488" s="2" t="s">
        <v>72</v>
      </c>
      <c r="G488">
        <v>66</v>
      </c>
      <c r="H488">
        <v>440</v>
      </c>
      <c r="I488">
        <v>69</v>
      </c>
      <c r="J488" s="3">
        <v>6746800</v>
      </c>
      <c r="K488" s="3">
        <v>465529200</v>
      </c>
      <c r="L488" s="2" t="s">
        <v>33</v>
      </c>
      <c r="M488" s="2" t="s">
        <v>26</v>
      </c>
      <c r="N488">
        <v>2023</v>
      </c>
      <c r="O488" s="2" t="s">
        <v>143</v>
      </c>
      <c r="P488" s="2" t="s">
        <v>146</v>
      </c>
      <c r="Q488">
        <v>6</v>
      </c>
      <c r="R488" s="4">
        <v>45078</v>
      </c>
      <c r="S488" s="3">
        <v>6746800</v>
      </c>
      <c r="T488" s="3">
        <v>46.55</v>
      </c>
    </row>
    <row r="489" spans="1:20" hidden="1" x14ac:dyDescent="0.3">
      <c r="A489" s="1">
        <v>45106</v>
      </c>
      <c r="B489" s="2" t="s">
        <v>46</v>
      </c>
      <c r="C489" s="2" t="s">
        <v>137</v>
      </c>
      <c r="D489" s="2" t="s">
        <v>50</v>
      </c>
      <c r="E489" s="2" t="s">
        <v>51</v>
      </c>
      <c r="F489" s="2" t="s">
        <v>24</v>
      </c>
      <c r="G489">
        <v>77</v>
      </c>
      <c r="H489">
        <v>528</v>
      </c>
      <c r="I489">
        <v>19</v>
      </c>
      <c r="J489" s="3">
        <v>4984500</v>
      </c>
      <c r="K489" s="3">
        <v>94705500</v>
      </c>
      <c r="L489" s="2" t="s">
        <v>33</v>
      </c>
      <c r="M489" s="2" t="s">
        <v>97</v>
      </c>
      <c r="N489">
        <v>2023</v>
      </c>
      <c r="O489" s="2" t="s">
        <v>143</v>
      </c>
      <c r="P489" s="2" t="s">
        <v>146</v>
      </c>
      <c r="Q489">
        <v>6</v>
      </c>
      <c r="R489" s="4">
        <v>45078</v>
      </c>
      <c r="S489" s="3">
        <v>4984500</v>
      </c>
      <c r="T489" s="3">
        <v>9.4700000000000006</v>
      </c>
    </row>
    <row r="490" spans="1:20" hidden="1" x14ac:dyDescent="0.3">
      <c r="A490" s="1">
        <v>45106</v>
      </c>
      <c r="B490" s="2" t="s">
        <v>90</v>
      </c>
      <c r="C490" s="2" t="s">
        <v>99</v>
      </c>
      <c r="D490" s="2" t="s">
        <v>50</v>
      </c>
      <c r="E490" s="2" t="s">
        <v>51</v>
      </c>
      <c r="F490" s="2" t="s">
        <v>39</v>
      </c>
      <c r="G490">
        <v>77</v>
      </c>
      <c r="H490">
        <v>528</v>
      </c>
      <c r="I490">
        <v>43</v>
      </c>
      <c r="J490" s="3">
        <v>4780000</v>
      </c>
      <c r="K490" s="3">
        <v>205540000</v>
      </c>
      <c r="L490" s="2" t="s">
        <v>33</v>
      </c>
      <c r="M490" s="2" t="s">
        <v>26</v>
      </c>
      <c r="N490">
        <v>2023</v>
      </c>
      <c r="O490" s="2" t="s">
        <v>143</v>
      </c>
      <c r="P490" s="2" t="s">
        <v>146</v>
      </c>
      <c r="Q490">
        <v>6</v>
      </c>
      <c r="R490" s="4">
        <v>45078</v>
      </c>
      <c r="S490" s="3">
        <v>4780000</v>
      </c>
      <c r="T490" s="3">
        <v>20.55</v>
      </c>
    </row>
    <row r="491" spans="1:20" hidden="1" x14ac:dyDescent="0.3">
      <c r="A491" s="1">
        <v>45106</v>
      </c>
      <c r="B491" s="2" t="s">
        <v>90</v>
      </c>
      <c r="C491" s="2" t="s">
        <v>128</v>
      </c>
      <c r="D491" s="2" t="s">
        <v>100</v>
      </c>
      <c r="E491" s="2" t="s">
        <v>101</v>
      </c>
      <c r="F491" s="2" t="s">
        <v>24</v>
      </c>
      <c r="G491">
        <v>3</v>
      </c>
      <c r="H491">
        <v>150</v>
      </c>
      <c r="I491">
        <v>61</v>
      </c>
      <c r="J491" s="3">
        <v>170300</v>
      </c>
      <c r="K491" s="3">
        <v>10388300</v>
      </c>
      <c r="L491" s="2" t="s">
        <v>33</v>
      </c>
      <c r="M491" s="2" t="s">
        <v>26</v>
      </c>
      <c r="N491">
        <v>2023</v>
      </c>
      <c r="O491" s="2" t="s">
        <v>143</v>
      </c>
      <c r="P491" s="2" t="s">
        <v>146</v>
      </c>
      <c r="Q491">
        <v>6</v>
      </c>
      <c r="R491" s="4">
        <v>45078</v>
      </c>
      <c r="S491" s="3">
        <v>170300</v>
      </c>
      <c r="T491" s="3">
        <v>1.04</v>
      </c>
    </row>
    <row r="492" spans="1:20" hidden="1" x14ac:dyDescent="0.3">
      <c r="A492" s="1">
        <v>45107</v>
      </c>
      <c r="B492" s="2" t="s">
        <v>40</v>
      </c>
      <c r="C492" s="2" t="s">
        <v>105</v>
      </c>
      <c r="D492" s="2" t="s">
        <v>88</v>
      </c>
      <c r="E492" s="2" t="s">
        <v>89</v>
      </c>
      <c r="F492" s="2" t="s">
        <v>24</v>
      </c>
      <c r="G492">
        <v>82</v>
      </c>
      <c r="H492">
        <v>580</v>
      </c>
      <c r="I492">
        <v>6</v>
      </c>
      <c r="J492" s="3">
        <v>5832100</v>
      </c>
      <c r="K492" s="3">
        <v>34992600</v>
      </c>
      <c r="L492" s="2" t="s">
        <v>33</v>
      </c>
      <c r="M492" s="2" t="s">
        <v>77</v>
      </c>
      <c r="N492">
        <v>2023</v>
      </c>
      <c r="O492" s="2" t="s">
        <v>143</v>
      </c>
      <c r="P492" s="2" t="s">
        <v>146</v>
      </c>
      <c r="Q492">
        <v>6</v>
      </c>
      <c r="R492" s="4">
        <v>45078</v>
      </c>
      <c r="S492" s="3">
        <v>5832100</v>
      </c>
      <c r="T492" s="3">
        <v>3.5</v>
      </c>
    </row>
    <row r="493" spans="1:20" hidden="1" x14ac:dyDescent="0.3">
      <c r="A493" s="1">
        <v>45107</v>
      </c>
      <c r="B493" s="2" t="s">
        <v>29</v>
      </c>
      <c r="C493" s="2" t="s">
        <v>96</v>
      </c>
      <c r="D493" s="2" t="s">
        <v>70</v>
      </c>
      <c r="E493" s="2" t="s">
        <v>71</v>
      </c>
      <c r="F493" s="2" t="s">
        <v>24</v>
      </c>
      <c r="G493">
        <v>50</v>
      </c>
      <c r="H493">
        <v>46</v>
      </c>
      <c r="I493">
        <v>59</v>
      </c>
      <c r="J493" s="3">
        <v>2745100</v>
      </c>
      <c r="K493" s="3">
        <v>161960900</v>
      </c>
      <c r="L493" s="2" t="s">
        <v>25</v>
      </c>
      <c r="M493" s="2" t="s">
        <v>26</v>
      </c>
      <c r="N493">
        <v>2023</v>
      </c>
      <c r="O493" s="2" t="s">
        <v>143</v>
      </c>
      <c r="P493" s="2" t="s">
        <v>146</v>
      </c>
      <c r="Q493">
        <v>6</v>
      </c>
      <c r="R493" s="4">
        <v>45078</v>
      </c>
      <c r="S493" s="3">
        <v>2745100</v>
      </c>
      <c r="T493" s="3">
        <v>16.2</v>
      </c>
    </row>
    <row r="494" spans="1:20" hidden="1" x14ac:dyDescent="0.3">
      <c r="A494" s="1">
        <v>45107</v>
      </c>
      <c r="B494" s="2" t="s">
        <v>48</v>
      </c>
      <c r="C494" s="2" t="s">
        <v>98</v>
      </c>
      <c r="D494" s="2" t="s">
        <v>88</v>
      </c>
      <c r="E494" s="2" t="s">
        <v>111</v>
      </c>
      <c r="F494" s="2" t="s">
        <v>24</v>
      </c>
      <c r="G494">
        <v>60</v>
      </c>
      <c r="H494">
        <v>480</v>
      </c>
      <c r="I494">
        <v>3</v>
      </c>
      <c r="J494" s="3">
        <v>3545100</v>
      </c>
      <c r="K494" s="3">
        <v>10635300</v>
      </c>
      <c r="L494" s="2" t="s">
        <v>33</v>
      </c>
      <c r="M494" s="2" t="s">
        <v>77</v>
      </c>
      <c r="N494">
        <v>2023</v>
      </c>
      <c r="O494" s="2" t="s">
        <v>143</v>
      </c>
      <c r="P494" s="2" t="s">
        <v>146</v>
      </c>
      <c r="Q494">
        <v>6</v>
      </c>
      <c r="R494" s="4">
        <v>45078</v>
      </c>
      <c r="S494" s="3">
        <v>3545100</v>
      </c>
      <c r="T494" s="3">
        <v>1.06</v>
      </c>
    </row>
    <row r="495" spans="1:20" hidden="1" x14ac:dyDescent="0.3">
      <c r="A495" s="1">
        <v>45107</v>
      </c>
      <c r="B495" s="2" t="s">
        <v>59</v>
      </c>
      <c r="C495" s="2" t="s">
        <v>81</v>
      </c>
      <c r="D495" s="2" t="s">
        <v>79</v>
      </c>
      <c r="E495" s="2" t="s">
        <v>80</v>
      </c>
      <c r="F495" s="2" t="s">
        <v>138</v>
      </c>
      <c r="G495">
        <v>69</v>
      </c>
      <c r="H495">
        <v>418</v>
      </c>
      <c r="I495">
        <v>62</v>
      </c>
      <c r="J495" s="3">
        <v>5862800</v>
      </c>
      <c r="K495" s="3">
        <v>363493600</v>
      </c>
      <c r="L495" s="2" t="s">
        <v>33</v>
      </c>
      <c r="M495" s="2" t="s">
        <v>26</v>
      </c>
      <c r="N495">
        <v>2023</v>
      </c>
      <c r="O495" s="2" t="s">
        <v>143</v>
      </c>
      <c r="P495" s="2" t="s">
        <v>146</v>
      </c>
      <c r="Q495">
        <v>6</v>
      </c>
      <c r="R495" s="4">
        <v>45078</v>
      </c>
      <c r="S495" s="3">
        <v>5862800</v>
      </c>
      <c r="T495" s="3">
        <v>36.35</v>
      </c>
    </row>
    <row r="496" spans="1:20" hidden="1" x14ac:dyDescent="0.3">
      <c r="A496" s="1">
        <v>45107</v>
      </c>
      <c r="B496" s="2" t="s">
        <v>48</v>
      </c>
      <c r="C496" s="2" t="s">
        <v>73</v>
      </c>
      <c r="D496" s="2" t="s">
        <v>57</v>
      </c>
      <c r="E496" s="2" t="s">
        <v>86</v>
      </c>
      <c r="F496" s="2" t="s">
        <v>24</v>
      </c>
      <c r="G496">
        <v>48</v>
      </c>
      <c r="H496">
        <v>39</v>
      </c>
      <c r="I496">
        <v>101</v>
      </c>
      <c r="J496" s="3">
        <v>2365900</v>
      </c>
      <c r="K496" s="3">
        <v>238955900</v>
      </c>
      <c r="L496" s="2" t="s">
        <v>25</v>
      </c>
      <c r="M496" s="2" t="s">
        <v>26</v>
      </c>
      <c r="N496">
        <v>2023</v>
      </c>
      <c r="O496" s="2" t="s">
        <v>143</v>
      </c>
      <c r="P496" s="2" t="s">
        <v>146</v>
      </c>
      <c r="Q496">
        <v>6</v>
      </c>
      <c r="R496" s="4">
        <v>45078</v>
      </c>
      <c r="S496" s="3">
        <v>2365900</v>
      </c>
      <c r="T496" s="3">
        <v>23.9</v>
      </c>
    </row>
    <row r="497" spans="1:20" hidden="1" x14ac:dyDescent="0.3">
      <c r="A497" s="1">
        <v>45108</v>
      </c>
      <c r="B497" s="2" t="s">
        <v>84</v>
      </c>
      <c r="C497" s="2" t="s">
        <v>113</v>
      </c>
      <c r="D497" s="2" t="s">
        <v>70</v>
      </c>
      <c r="E497" s="2" t="s">
        <v>71</v>
      </c>
      <c r="F497" s="2" t="s">
        <v>24</v>
      </c>
      <c r="G497">
        <v>50</v>
      </c>
      <c r="H497">
        <v>46</v>
      </c>
      <c r="I497">
        <v>11</v>
      </c>
      <c r="J497" s="3">
        <v>2397400</v>
      </c>
      <c r="K497" s="3">
        <v>26371400</v>
      </c>
      <c r="L497" s="2" t="s">
        <v>25</v>
      </c>
      <c r="M497" s="2" t="s">
        <v>77</v>
      </c>
      <c r="N497">
        <v>2023</v>
      </c>
      <c r="O497" s="2" t="s">
        <v>148</v>
      </c>
      <c r="P497" s="2" t="s">
        <v>149</v>
      </c>
      <c r="Q497">
        <v>7</v>
      </c>
      <c r="R497" s="4">
        <v>45108</v>
      </c>
      <c r="S497" s="3">
        <v>2397400</v>
      </c>
      <c r="T497" s="3">
        <v>2.64</v>
      </c>
    </row>
    <row r="498" spans="1:20" hidden="1" x14ac:dyDescent="0.3">
      <c r="A498" s="1">
        <v>45108</v>
      </c>
      <c r="B498" s="2" t="s">
        <v>40</v>
      </c>
      <c r="C498" s="2" t="s">
        <v>105</v>
      </c>
      <c r="D498" s="2" t="s">
        <v>88</v>
      </c>
      <c r="E498" s="2" t="s">
        <v>89</v>
      </c>
      <c r="F498" s="2" t="s">
        <v>24</v>
      </c>
      <c r="G498">
        <v>82</v>
      </c>
      <c r="H498">
        <v>580</v>
      </c>
      <c r="I498">
        <v>33</v>
      </c>
      <c r="J498" s="3">
        <v>5158300</v>
      </c>
      <c r="K498" s="3">
        <v>170223900</v>
      </c>
      <c r="L498" s="2" t="s">
        <v>92</v>
      </c>
      <c r="M498" s="2" t="s">
        <v>34</v>
      </c>
      <c r="N498">
        <v>2023</v>
      </c>
      <c r="O498" s="2" t="s">
        <v>148</v>
      </c>
      <c r="P498" s="2" t="s">
        <v>149</v>
      </c>
      <c r="Q498">
        <v>7</v>
      </c>
      <c r="R498" s="4">
        <v>45108</v>
      </c>
      <c r="S498" s="3">
        <v>5158300</v>
      </c>
      <c r="T498" s="3">
        <v>17.02</v>
      </c>
    </row>
    <row r="499" spans="1:20" hidden="1" x14ac:dyDescent="0.3">
      <c r="A499" s="1">
        <v>45108</v>
      </c>
      <c r="B499" s="2" t="s">
        <v>20</v>
      </c>
      <c r="C499" s="2" t="s">
        <v>112</v>
      </c>
      <c r="D499" s="2" t="s">
        <v>22</v>
      </c>
      <c r="E499" s="2" t="s">
        <v>23</v>
      </c>
      <c r="F499" s="2" t="s">
        <v>72</v>
      </c>
      <c r="G499">
        <v>82</v>
      </c>
      <c r="H499">
        <v>520</v>
      </c>
      <c r="I499">
        <v>56</v>
      </c>
      <c r="J499" s="3">
        <v>5810800</v>
      </c>
      <c r="K499" s="3">
        <v>325404800</v>
      </c>
      <c r="L499" s="2" t="s">
        <v>33</v>
      </c>
      <c r="M499" s="2" t="s">
        <v>26</v>
      </c>
      <c r="N499">
        <v>2023</v>
      </c>
      <c r="O499" s="2" t="s">
        <v>148</v>
      </c>
      <c r="P499" s="2" t="s">
        <v>149</v>
      </c>
      <c r="Q499">
        <v>7</v>
      </c>
      <c r="R499" s="4">
        <v>45108</v>
      </c>
      <c r="S499" s="3">
        <v>5810800</v>
      </c>
      <c r="T499" s="3">
        <v>32.54</v>
      </c>
    </row>
    <row r="500" spans="1:20" hidden="1" x14ac:dyDescent="0.3">
      <c r="A500" s="1">
        <v>45109</v>
      </c>
      <c r="B500" s="2" t="s">
        <v>108</v>
      </c>
      <c r="C500" s="2" t="s">
        <v>133</v>
      </c>
      <c r="D500" s="2" t="s">
        <v>42</v>
      </c>
      <c r="E500" s="2" t="s">
        <v>43</v>
      </c>
      <c r="F500" s="2" t="s">
        <v>24</v>
      </c>
      <c r="G500">
        <v>3</v>
      </c>
      <c r="H500">
        <v>135</v>
      </c>
      <c r="I500">
        <v>121</v>
      </c>
      <c r="J500" s="3">
        <v>118600</v>
      </c>
      <c r="K500" s="3">
        <v>14350600</v>
      </c>
      <c r="L500" s="2" t="s">
        <v>33</v>
      </c>
      <c r="M500" s="2" t="s">
        <v>77</v>
      </c>
      <c r="N500">
        <v>2023</v>
      </c>
      <c r="O500" s="2" t="s">
        <v>148</v>
      </c>
      <c r="P500" s="2" t="s">
        <v>149</v>
      </c>
      <c r="Q500">
        <v>7</v>
      </c>
      <c r="R500" s="4">
        <v>45108</v>
      </c>
      <c r="S500" s="3">
        <v>118600</v>
      </c>
      <c r="T500" s="3">
        <v>1.44</v>
      </c>
    </row>
    <row r="501" spans="1:20" hidden="1" x14ac:dyDescent="0.3">
      <c r="A501" s="1">
        <v>45109</v>
      </c>
      <c r="B501" s="2" t="s">
        <v>46</v>
      </c>
      <c r="C501" s="2" t="s">
        <v>110</v>
      </c>
      <c r="D501" s="2" t="s">
        <v>54</v>
      </c>
      <c r="E501" s="2" t="s">
        <v>55</v>
      </c>
      <c r="F501" s="2" t="s">
        <v>24</v>
      </c>
      <c r="G501">
        <v>30</v>
      </c>
      <c r="H501">
        <v>320</v>
      </c>
      <c r="I501">
        <v>49</v>
      </c>
      <c r="J501" s="3">
        <v>1310300</v>
      </c>
      <c r="K501" s="3">
        <v>64204700</v>
      </c>
      <c r="L501" s="2" t="s">
        <v>92</v>
      </c>
      <c r="M501" s="2" t="s">
        <v>34</v>
      </c>
      <c r="N501">
        <v>2023</v>
      </c>
      <c r="O501" s="2" t="s">
        <v>148</v>
      </c>
      <c r="P501" s="2" t="s">
        <v>149</v>
      </c>
      <c r="Q501">
        <v>7</v>
      </c>
      <c r="R501" s="4">
        <v>45108</v>
      </c>
      <c r="S501" s="3">
        <v>1310300</v>
      </c>
      <c r="T501" s="3">
        <v>6.42</v>
      </c>
    </row>
    <row r="502" spans="1:20" hidden="1" x14ac:dyDescent="0.3">
      <c r="A502" s="1">
        <v>45109</v>
      </c>
      <c r="B502" s="2" t="s">
        <v>59</v>
      </c>
      <c r="C502" s="2" t="s">
        <v>129</v>
      </c>
      <c r="D502" s="2" t="s">
        <v>88</v>
      </c>
      <c r="E502" s="2" t="s">
        <v>111</v>
      </c>
      <c r="F502" s="2" t="s">
        <v>24</v>
      </c>
      <c r="G502">
        <v>60</v>
      </c>
      <c r="H502">
        <v>480</v>
      </c>
      <c r="I502">
        <v>73</v>
      </c>
      <c r="J502" s="3">
        <v>3139700</v>
      </c>
      <c r="K502" s="3">
        <v>229198100</v>
      </c>
      <c r="L502" s="2" t="s">
        <v>33</v>
      </c>
      <c r="M502" s="2" t="s">
        <v>34</v>
      </c>
      <c r="N502">
        <v>2023</v>
      </c>
      <c r="O502" s="2" t="s">
        <v>148</v>
      </c>
      <c r="P502" s="2" t="s">
        <v>149</v>
      </c>
      <c r="Q502">
        <v>7</v>
      </c>
      <c r="R502" s="4">
        <v>45108</v>
      </c>
      <c r="S502" s="3">
        <v>3139700</v>
      </c>
      <c r="T502" s="3">
        <v>22.92</v>
      </c>
    </row>
    <row r="503" spans="1:20" hidden="1" x14ac:dyDescent="0.3">
      <c r="A503" s="1">
        <v>45109</v>
      </c>
      <c r="B503" s="2" t="s">
        <v>40</v>
      </c>
      <c r="C503" s="2" t="s">
        <v>78</v>
      </c>
      <c r="D503" s="2" t="s">
        <v>67</v>
      </c>
      <c r="E503" s="2" t="s">
        <v>118</v>
      </c>
      <c r="F503" s="2" t="s">
        <v>24</v>
      </c>
      <c r="G503">
        <v>84</v>
      </c>
      <c r="H503">
        <v>590</v>
      </c>
      <c r="I503">
        <v>47</v>
      </c>
      <c r="J503" s="3">
        <v>7667600</v>
      </c>
      <c r="K503" s="3">
        <v>360377200</v>
      </c>
      <c r="L503" s="2" t="s">
        <v>33</v>
      </c>
      <c r="M503" s="2" t="s">
        <v>34</v>
      </c>
      <c r="N503">
        <v>2023</v>
      </c>
      <c r="O503" s="2" t="s">
        <v>148</v>
      </c>
      <c r="P503" s="2" t="s">
        <v>149</v>
      </c>
      <c r="Q503">
        <v>7</v>
      </c>
      <c r="R503" s="4">
        <v>45108</v>
      </c>
      <c r="S503" s="3">
        <v>7667600</v>
      </c>
      <c r="T503" s="3">
        <v>36.04</v>
      </c>
    </row>
    <row r="504" spans="1:20" hidden="1" x14ac:dyDescent="0.3">
      <c r="A504" s="1">
        <v>45110</v>
      </c>
      <c r="B504" s="2" t="s">
        <v>46</v>
      </c>
      <c r="C504" s="2" t="s">
        <v>47</v>
      </c>
      <c r="D504" s="2" t="s">
        <v>102</v>
      </c>
      <c r="E504" s="2" t="s">
        <v>103</v>
      </c>
      <c r="F504" s="2" t="s">
        <v>24</v>
      </c>
      <c r="G504">
        <v>5</v>
      </c>
      <c r="H504">
        <v>150</v>
      </c>
      <c r="I504">
        <v>155</v>
      </c>
      <c r="J504" s="3">
        <v>178100</v>
      </c>
      <c r="K504" s="3">
        <v>27605500</v>
      </c>
      <c r="L504" s="2" t="s">
        <v>33</v>
      </c>
      <c r="M504" s="2" t="s">
        <v>26</v>
      </c>
      <c r="N504">
        <v>2023</v>
      </c>
      <c r="O504" s="2" t="s">
        <v>148</v>
      </c>
      <c r="P504" s="2" t="s">
        <v>149</v>
      </c>
      <c r="Q504">
        <v>7</v>
      </c>
      <c r="R504" s="4">
        <v>45108</v>
      </c>
      <c r="S504" s="3">
        <v>178100</v>
      </c>
      <c r="T504" s="3">
        <v>2.76</v>
      </c>
    </row>
    <row r="505" spans="1:20" hidden="1" x14ac:dyDescent="0.3">
      <c r="A505" s="1">
        <v>45110</v>
      </c>
      <c r="B505" s="2" t="s">
        <v>106</v>
      </c>
      <c r="C505" s="2" t="s">
        <v>120</v>
      </c>
      <c r="D505" s="2" t="s">
        <v>100</v>
      </c>
      <c r="E505" s="2" t="s">
        <v>101</v>
      </c>
      <c r="F505" s="2" t="s">
        <v>24</v>
      </c>
      <c r="G505">
        <v>3</v>
      </c>
      <c r="H505">
        <v>150</v>
      </c>
      <c r="I505">
        <v>21</v>
      </c>
      <c r="J505" s="3">
        <v>179500</v>
      </c>
      <c r="K505" s="3">
        <v>3769500</v>
      </c>
      <c r="L505" s="2" t="s">
        <v>33</v>
      </c>
      <c r="M505" s="2" t="s">
        <v>77</v>
      </c>
      <c r="N505">
        <v>2023</v>
      </c>
      <c r="O505" s="2" t="s">
        <v>148</v>
      </c>
      <c r="P505" s="2" t="s">
        <v>149</v>
      </c>
      <c r="Q505">
        <v>7</v>
      </c>
      <c r="R505" s="4">
        <v>45108</v>
      </c>
      <c r="S505" s="3">
        <v>179500</v>
      </c>
      <c r="T505" s="3">
        <v>0.38</v>
      </c>
    </row>
    <row r="506" spans="1:20" hidden="1" x14ac:dyDescent="0.3">
      <c r="A506" s="1">
        <v>45110</v>
      </c>
      <c r="B506" s="2" t="s">
        <v>59</v>
      </c>
      <c r="C506" s="2" t="s">
        <v>135</v>
      </c>
      <c r="D506" s="2" t="s">
        <v>54</v>
      </c>
      <c r="E506" s="2" t="s">
        <v>55</v>
      </c>
      <c r="F506" s="2" t="s">
        <v>24</v>
      </c>
      <c r="G506">
        <v>30</v>
      </c>
      <c r="H506">
        <v>320</v>
      </c>
      <c r="I506">
        <v>62</v>
      </c>
      <c r="J506" s="3">
        <v>1432800</v>
      </c>
      <c r="K506" s="3">
        <v>88833600</v>
      </c>
      <c r="L506" s="2" t="s">
        <v>33</v>
      </c>
      <c r="M506" s="2" t="s">
        <v>77</v>
      </c>
      <c r="N506">
        <v>2023</v>
      </c>
      <c r="O506" s="2" t="s">
        <v>148</v>
      </c>
      <c r="P506" s="2" t="s">
        <v>149</v>
      </c>
      <c r="Q506">
        <v>7</v>
      </c>
      <c r="R506" s="4">
        <v>45108</v>
      </c>
      <c r="S506" s="3">
        <v>1432800</v>
      </c>
      <c r="T506" s="3">
        <v>8.8800000000000008</v>
      </c>
    </row>
    <row r="507" spans="1:20" hidden="1" x14ac:dyDescent="0.3">
      <c r="A507" s="1">
        <v>45110</v>
      </c>
      <c r="B507" s="2" t="s">
        <v>46</v>
      </c>
      <c r="C507" s="2" t="s">
        <v>137</v>
      </c>
      <c r="D507" s="2" t="s">
        <v>50</v>
      </c>
      <c r="E507" s="2" t="s">
        <v>51</v>
      </c>
      <c r="F507" s="2" t="s">
        <v>24</v>
      </c>
      <c r="G507">
        <v>77</v>
      </c>
      <c r="H507">
        <v>528</v>
      </c>
      <c r="I507">
        <v>60</v>
      </c>
      <c r="J507" s="3">
        <v>5660700</v>
      </c>
      <c r="K507" s="3">
        <v>339642000</v>
      </c>
      <c r="L507" s="2" t="s">
        <v>33</v>
      </c>
      <c r="M507" s="2" t="s">
        <v>77</v>
      </c>
      <c r="N507">
        <v>2023</v>
      </c>
      <c r="O507" s="2" t="s">
        <v>148</v>
      </c>
      <c r="P507" s="2" t="s">
        <v>149</v>
      </c>
      <c r="Q507">
        <v>7</v>
      </c>
      <c r="R507" s="4">
        <v>45108</v>
      </c>
      <c r="S507" s="3">
        <v>5660700</v>
      </c>
      <c r="T507" s="3">
        <v>33.96</v>
      </c>
    </row>
    <row r="508" spans="1:20" hidden="1" x14ac:dyDescent="0.3">
      <c r="A508" s="1">
        <v>45111</v>
      </c>
      <c r="B508" s="2" t="s">
        <v>61</v>
      </c>
      <c r="C508" s="2" t="s">
        <v>62</v>
      </c>
      <c r="D508" s="2" t="s">
        <v>57</v>
      </c>
      <c r="E508" s="2" t="s">
        <v>86</v>
      </c>
      <c r="F508" s="2" t="s">
        <v>24</v>
      </c>
      <c r="G508">
        <v>48</v>
      </c>
      <c r="H508">
        <v>39</v>
      </c>
      <c r="I508">
        <v>130</v>
      </c>
      <c r="J508" s="3">
        <v>2683200</v>
      </c>
      <c r="K508" s="3">
        <v>348816000</v>
      </c>
      <c r="L508" s="2" t="s">
        <v>33</v>
      </c>
      <c r="M508" s="2" t="s">
        <v>77</v>
      </c>
      <c r="N508">
        <v>2023</v>
      </c>
      <c r="O508" s="2" t="s">
        <v>148</v>
      </c>
      <c r="P508" s="2" t="s">
        <v>149</v>
      </c>
      <c r="Q508">
        <v>7</v>
      </c>
      <c r="R508" s="4">
        <v>45108</v>
      </c>
      <c r="S508" s="3">
        <v>2683200</v>
      </c>
      <c r="T508" s="3">
        <v>34.880000000000003</v>
      </c>
    </row>
    <row r="509" spans="1:20" hidden="1" x14ac:dyDescent="0.3">
      <c r="A509" s="1">
        <v>45111</v>
      </c>
      <c r="B509" s="2" t="s">
        <v>75</v>
      </c>
      <c r="C509" s="2" t="s">
        <v>76</v>
      </c>
      <c r="D509" s="2" t="s">
        <v>100</v>
      </c>
      <c r="E509" s="2" t="s">
        <v>101</v>
      </c>
      <c r="F509" s="2" t="s">
        <v>24</v>
      </c>
      <c r="G509">
        <v>3</v>
      </c>
      <c r="H509">
        <v>150</v>
      </c>
      <c r="I509">
        <v>89</v>
      </c>
      <c r="J509" s="3">
        <v>135700</v>
      </c>
      <c r="K509" s="3">
        <v>12077300</v>
      </c>
      <c r="L509" s="2" t="s">
        <v>33</v>
      </c>
      <c r="M509" s="2" t="s">
        <v>26</v>
      </c>
      <c r="N509">
        <v>2023</v>
      </c>
      <c r="O509" s="2" t="s">
        <v>148</v>
      </c>
      <c r="P509" s="2" t="s">
        <v>149</v>
      </c>
      <c r="Q509">
        <v>7</v>
      </c>
      <c r="R509" s="4">
        <v>45108</v>
      </c>
      <c r="S509" s="3">
        <v>135700</v>
      </c>
      <c r="T509" s="3">
        <v>1.21</v>
      </c>
    </row>
    <row r="510" spans="1:20" hidden="1" x14ac:dyDescent="0.3">
      <c r="A510" s="1">
        <v>45111</v>
      </c>
      <c r="B510" s="2" t="s">
        <v>108</v>
      </c>
      <c r="C510" s="2" t="s">
        <v>109</v>
      </c>
      <c r="D510" s="2" t="s">
        <v>70</v>
      </c>
      <c r="E510" s="2" t="s">
        <v>71</v>
      </c>
      <c r="F510" s="2" t="s">
        <v>72</v>
      </c>
      <c r="G510">
        <v>50</v>
      </c>
      <c r="H510">
        <v>46</v>
      </c>
      <c r="I510">
        <v>89</v>
      </c>
      <c r="J510" s="3">
        <v>2663300</v>
      </c>
      <c r="K510" s="3">
        <v>237033700</v>
      </c>
      <c r="L510" s="2" t="s">
        <v>92</v>
      </c>
      <c r="M510" s="2" t="s">
        <v>26</v>
      </c>
      <c r="N510">
        <v>2023</v>
      </c>
      <c r="O510" s="2" t="s">
        <v>148</v>
      </c>
      <c r="P510" s="2" t="s">
        <v>149</v>
      </c>
      <c r="Q510">
        <v>7</v>
      </c>
      <c r="R510" s="4">
        <v>45108</v>
      </c>
      <c r="S510" s="3">
        <v>2663300</v>
      </c>
      <c r="T510" s="3">
        <v>23.7</v>
      </c>
    </row>
    <row r="511" spans="1:20" hidden="1" x14ac:dyDescent="0.3">
      <c r="A511" s="1">
        <v>45112</v>
      </c>
      <c r="B511" s="2" t="s">
        <v>46</v>
      </c>
      <c r="C511" s="2" t="s">
        <v>56</v>
      </c>
      <c r="D511" s="2" t="s">
        <v>63</v>
      </c>
      <c r="E511" s="2" t="s">
        <v>64</v>
      </c>
      <c r="F511" s="2" t="s">
        <v>24</v>
      </c>
      <c r="G511">
        <v>3</v>
      </c>
      <c r="H511">
        <v>127</v>
      </c>
      <c r="I511">
        <v>37</v>
      </c>
      <c r="J511" s="3">
        <v>143900</v>
      </c>
      <c r="K511" s="3">
        <v>5324300</v>
      </c>
      <c r="L511" s="2" t="s">
        <v>33</v>
      </c>
      <c r="M511" s="2" t="s">
        <v>26</v>
      </c>
      <c r="N511">
        <v>2023</v>
      </c>
      <c r="O511" s="2" t="s">
        <v>148</v>
      </c>
      <c r="P511" s="2" t="s">
        <v>149</v>
      </c>
      <c r="Q511">
        <v>7</v>
      </c>
      <c r="R511" s="4">
        <v>45108</v>
      </c>
      <c r="S511" s="3">
        <v>143900</v>
      </c>
      <c r="T511" s="3">
        <v>0.53</v>
      </c>
    </row>
    <row r="512" spans="1:20" hidden="1" x14ac:dyDescent="0.3">
      <c r="A512" s="1">
        <v>45112</v>
      </c>
      <c r="B512" s="2" t="s">
        <v>84</v>
      </c>
      <c r="C512" s="2" t="s">
        <v>113</v>
      </c>
      <c r="D512" s="2" t="s">
        <v>94</v>
      </c>
      <c r="E512" s="2" t="s">
        <v>140</v>
      </c>
      <c r="F512" s="2" t="s">
        <v>39</v>
      </c>
      <c r="G512">
        <v>35</v>
      </c>
      <c r="H512">
        <v>32</v>
      </c>
      <c r="I512">
        <v>142</v>
      </c>
      <c r="J512" s="3">
        <v>1967700</v>
      </c>
      <c r="K512" s="3">
        <v>279413400</v>
      </c>
      <c r="L512" s="2" t="s">
        <v>92</v>
      </c>
      <c r="M512" s="2" t="s">
        <v>77</v>
      </c>
      <c r="N512">
        <v>2023</v>
      </c>
      <c r="O512" s="2" t="s">
        <v>148</v>
      </c>
      <c r="P512" s="2" t="s">
        <v>149</v>
      </c>
      <c r="Q512">
        <v>7</v>
      </c>
      <c r="R512" s="4">
        <v>45108</v>
      </c>
      <c r="S512" s="3">
        <v>1967700</v>
      </c>
      <c r="T512" s="3">
        <v>27.94</v>
      </c>
    </row>
    <row r="513" spans="1:20" hidden="1" x14ac:dyDescent="0.3">
      <c r="A513" s="1">
        <v>45112</v>
      </c>
      <c r="B513" s="2" t="s">
        <v>40</v>
      </c>
      <c r="C513" s="2" t="s">
        <v>105</v>
      </c>
      <c r="D513" s="2" t="s">
        <v>54</v>
      </c>
      <c r="E513" s="2" t="s">
        <v>55</v>
      </c>
      <c r="F513" s="2" t="s">
        <v>24</v>
      </c>
      <c r="G513">
        <v>30</v>
      </c>
      <c r="H513">
        <v>320</v>
      </c>
      <c r="I513">
        <v>37</v>
      </c>
      <c r="J513" s="3">
        <v>1227900</v>
      </c>
      <c r="K513" s="3">
        <v>45432300</v>
      </c>
      <c r="L513" s="2" t="s">
        <v>25</v>
      </c>
      <c r="M513" s="2" t="s">
        <v>26</v>
      </c>
      <c r="N513">
        <v>2023</v>
      </c>
      <c r="O513" s="2" t="s">
        <v>148</v>
      </c>
      <c r="P513" s="2" t="s">
        <v>149</v>
      </c>
      <c r="Q513">
        <v>7</v>
      </c>
      <c r="R513" s="4">
        <v>45108</v>
      </c>
      <c r="S513" s="3">
        <v>1227900</v>
      </c>
      <c r="T513" s="3">
        <v>4.54</v>
      </c>
    </row>
    <row r="514" spans="1:20" hidden="1" x14ac:dyDescent="0.3">
      <c r="A514" s="1">
        <v>45112</v>
      </c>
      <c r="B514" s="2" t="s">
        <v>46</v>
      </c>
      <c r="C514" s="2" t="s">
        <v>47</v>
      </c>
      <c r="D514" s="2" t="s">
        <v>42</v>
      </c>
      <c r="E514" s="2" t="s">
        <v>43</v>
      </c>
      <c r="F514" s="2" t="s">
        <v>24</v>
      </c>
      <c r="G514">
        <v>3</v>
      </c>
      <c r="H514">
        <v>135</v>
      </c>
      <c r="I514">
        <v>60</v>
      </c>
      <c r="J514" s="3">
        <v>132700</v>
      </c>
      <c r="K514" s="3">
        <v>7962000</v>
      </c>
      <c r="L514" s="2" t="s">
        <v>33</v>
      </c>
      <c r="M514" s="2" t="s">
        <v>77</v>
      </c>
      <c r="N514">
        <v>2023</v>
      </c>
      <c r="O514" s="2" t="s">
        <v>148</v>
      </c>
      <c r="P514" s="2" t="s">
        <v>149</v>
      </c>
      <c r="Q514">
        <v>7</v>
      </c>
      <c r="R514" s="4">
        <v>45108</v>
      </c>
      <c r="S514" s="3">
        <v>132700</v>
      </c>
      <c r="T514" s="3">
        <v>0.8</v>
      </c>
    </row>
    <row r="515" spans="1:20" hidden="1" x14ac:dyDescent="0.3">
      <c r="A515" s="1">
        <v>45112</v>
      </c>
      <c r="B515" s="2" t="s">
        <v>40</v>
      </c>
      <c r="C515" s="2" t="s">
        <v>136</v>
      </c>
      <c r="D515" s="2" t="s">
        <v>63</v>
      </c>
      <c r="E515" s="2" t="s">
        <v>64</v>
      </c>
      <c r="F515" s="2" t="s">
        <v>24</v>
      </c>
      <c r="G515">
        <v>3</v>
      </c>
      <c r="H515">
        <v>127</v>
      </c>
      <c r="I515">
        <v>71</v>
      </c>
      <c r="J515" s="3">
        <v>174800</v>
      </c>
      <c r="K515" s="3">
        <v>12410800</v>
      </c>
      <c r="L515" s="2" t="s">
        <v>33</v>
      </c>
      <c r="M515" s="2" t="s">
        <v>97</v>
      </c>
      <c r="N515">
        <v>2023</v>
      </c>
      <c r="O515" s="2" t="s">
        <v>148</v>
      </c>
      <c r="P515" s="2" t="s">
        <v>149</v>
      </c>
      <c r="Q515">
        <v>7</v>
      </c>
      <c r="R515" s="4">
        <v>45108</v>
      </c>
      <c r="S515" s="3">
        <v>174800</v>
      </c>
      <c r="T515" s="3">
        <v>1.24</v>
      </c>
    </row>
    <row r="516" spans="1:20" hidden="1" x14ac:dyDescent="0.3">
      <c r="A516" s="1">
        <v>45113</v>
      </c>
      <c r="B516" s="2" t="s">
        <v>20</v>
      </c>
      <c r="C516" s="2" t="s">
        <v>112</v>
      </c>
      <c r="D516" s="2" t="s">
        <v>70</v>
      </c>
      <c r="E516" s="2" t="s">
        <v>74</v>
      </c>
      <c r="F516" s="2" t="s">
        <v>24</v>
      </c>
      <c r="G516">
        <v>25</v>
      </c>
      <c r="H516">
        <v>32</v>
      </c>
      <c r="I516">
        <v>171</v>
      </c>
      <c r="J516" s="3">
        <v>1065500</v>
      </c>
      <c r="K516" s="3">
        <v>182200500</v>
      </c>
      <c r="L516" s="2" t="s">
        <v>33</v>
      </c>
      <c r="M516" s="2" t="s">
        <v>26</v>
      </c>
      <c r="N516">
        <v>2023</v>
      </c>
      <c r="O516" s="2" t="s">
        <v>148</v>
      </c>
      <c r="P516" s="2" t="s">
        <v>149</v>
      </c>
      <c r="Q516">
        <v>7</v>
      </c>
      <c r="R516" s="4">
        <v>45108</v>
      </c>
      <c r="S516" s="3">
        <v>1065500</v>
      </c>
      <c r="T516" s="3">
        <v>18.22</v>
      </c>
    </row>
    <row r="517" spans="1:20" hidden="1" x14ac:dyDescent="0.3">
      <c r="A517" s="1">
        <v>45113</v>
      </c>
      <c r="B517" s="2" t="s">
        <v>35</v>
      </c>
      <c r="C517" s="2" t="s">
        <v>121</v>
      </c>
      <c r="D517" s="2" t="s">
        <v>88</v>
      </c>
      <c r="E517" s="2" t="s">
        <v>111</v>
      </c>
      <c r="F517" s="2" t="s">
        <v>39</v>
      </c>
      <c r="G517">
        <v>60</v>
      </c>
      <c r="H517">
        <v>480</v>
      </c>
      <c r="I517">
        <v>48</v>
      </c>
      <c r="J517" s="3">
        <v>3323700</v>
      </c>
      <c r="K517" s="3">
        <v>159537600</v>
      </c>
      <c r="L517" s="2" t="s">
        <v>25</v>
      </c>
      <c r="M517" s="2" t="s">
        <v>77</v>
      </c>
      <c r="N517">
        <v>2023</v>
      </c>
      <c r="O517" s="2" t="s">
        <v>148</v>
      </c>
      <c r="P517" s="2" t="s">
        <v>149</v>
      </c>
      <c r="Q517">
        <v>7</v>
      </c>
      <c r="R517" s="4">
        <v>45108</v>
      </c>
      <c r="S517" s="3">
        <v>3323700</v>
      </c>
      <c r="T517" s="3">
        <v>15.95</v>
      </c>
    </row>
    <row r="518" spans="1:20" hidden="1" x14ac:dyDescent="0.3">
      <c r="A518" s="1">
        <v>45114</v>
      </c>
      <c r="B518" s="2" t="s">
        <v>44</v>
      </c>
      <c r="C518" s="2" t="s">
        <v>142</v>
      </c>
      <c r="D518" s="2" t="s">
        <v>88</v>
      </c>
      <c r="E518" s="2" t="s">
        <v>111</v>
      </c>
      <c r="F518" s="2" t="s">
        <v>24</v>
      </c>
      <c r="G518">
        <v>60</v>
      </c>
      <c r="H518">
        <v>480</v>
      </c>
      <c r="I518">
        <v>66</v>
      </c>
      <c r="J518" s="3">
        <v>2955600</v>
      </c>
      <c r="K518" s="3">
        <v>195069600</v>
      </c>
      <c r="L518" s="2" t="s">
        <v>33</v>
      </c>
      <c r="M518" s="2" t="s">
        <v>26</v>
      </c>
      <c r="N518">
        <v>2023</v>
      </c>
      <c r="O518" s="2" t="s">
        <v>148</v>
      </c>
      <c r="P518" s="2" t="s">
        <v>149</v>
      </c>
      <c r="Q518">
        <v>7</v>
      </c>
      <c r="R518" s="4">
        <v>45108</v>
      </c>
      <c r="S518" s="3">
        <v>2955600</v>
      </c>
      <c r="T518" s="3">
        <v>19.510000000000002</v>
      </c>
    </row>
    <row r="519" spans="1:20" hidden="1" x14ac:dyDescent="0.3">
      <c r="A519" s="1">
        <v>45114</v>
      </c>
      <c r="B519" s="2" t="s">
        <v>20</v>
      </c>
      <c r="C519" s="2" t="s">
        <v>21</v>
      </c>
      <c r="D519" s="2" t="s">
        <v>67</v>
      </c>
      <c r="E519" s="2" t="s">
        <v>118</v>
      </c>
      <c r="F519" s="2" t="s">
        <v>24</v>
      </c>
      <c r="G519">
        <v>84</v>
      </c>
      <c r="H519">
        <v>590</v>
      </c>
      <c r="I519">
        <v>70</v>
      </c>
      <c r="J519" s="3">
        <v>7221400</v>
      </c>
      <c r="K519" s="3">
        <v>505498000</v>
      </c>
      <c r="L519" s="2" t="s">
        <v>33</v>
      </c>
      <c r="M519" s="2" t="s">
        <v>97</v>
      </c>
      <c r="N519">
        <v>2023</v>
      </c>
      <c r="O519" s="2" t="s">
        <v>148</v>
      </c>
      <c r="P519" s="2" t="s">
        <v>149</v>
      </c>
      <c r="Q519">
        <v>7</v>
      </c>
      <c r="R519" s="4">
        <v>45108</v>
      </c>
      <c r="S519" s="3">
        <v>7221400</v>
      </c>
      <c r="T519" s="3">
        <v>50.55</v>
      </c>
    </row>
    <row r="520" spans="1:20" hidden="1" x14ac:dyDescent="0.3">
      <c r="A520" s="1">
        <v>45114</v>
      </c>
      <c r="B520" s="2" t="s">
        <v>20</v>
      </c>
      <c r="C520" s="2" t="s">
        <v>112</v>
      </c>
      <c r="D520" s="2" t="s">
        <v>22</v>
      </c>
      <c r="E520" s="2" t="s">
        <v>23</v>
      </c>
      <c r="F520" s="2" t="s">
        <v>72</v>
      </c>
      <c r="G520">
        <v>82</v>
      </c>
      <c r="H520">
        <v>520</v>
      </c>
      <c r="I520">
        <v>63</v>
      </c>
      <c r="J520" s="3">
        <v>5944600</v>
      </c>
      <c r="K520" s="3">
        <v>374509800</v>
      </c>
      <c r="L520" s="2" t="s">
        <v>33</v>
      </c>
      <c r="M520" s="2" t="s">
        <v>34</v>
      </c>
      <c r="N520">
        <v>2023</v>
      </c>
      <c r="O520" s="2" t="s">
        <v>148</v>
      </c>
      <c r="P520" s="2" t="s">
        <v>149</v>
      </c>
      <c r="Q520">
        <v>7</v>
      </c>
      <c r="R520" s="4">
        <v>45108</v>
      </c>
      <c r="S520" s="3">
        <v>5944600</v>
      </c>
      <c r="T520" s="3">
        <v>37.450000000000003</v>
      </c>
    </row>
    <row r="521" spans="1:20" hidden="1" x14ac:dyDescent="0.3">
      <c r="A521" s="1">
        <v>45115</v>
      </c>
      <c r="B521" s="2" t="s">
        <v>46</v>
      </c>
      <c r="C521" s="2" t="s">
        <v>47</v>
      </c>
      <c r="D521" s="2" t="s">
        <v>67</v>
      </c>
      <c r="E521" s="2" t="s">
        <v>118</v>
      </c>
      <c r="F521" s="2" t="s">
        <v>39</v>
      </c>
      <c r="G521">
        <v>84</v>
      </c>
      <c r="H521">
        <v>590</v>
      </c>
      <c r="I521">
        <v>39</v>
      </c>
      <c r="J521" s="3">
        <v>7465800</v>
      </c>
      <c r="K521" s="3">
        <v>291166200</v>
      </c>
      <c r="L521" s="2" t="s">
        <v>25</v>
      </c>
      <c r="M521" s="2" t="s">
        <v>77</v>
      </c>
      <c r="N521">
        <v>2023</v>
      </c>
      <c r="O521" s="2" t="s">
        <v>148</v>
      </c>
      <c r="P521" s="2" t="s">
        <v>149</v>
      </c>
      <c r="Q521">
        <v>7</v>
      </c>
      <c r="R521" s="4">
        <v>45108</v>
      </c>
      <c r="S521" s="3">
        <v>7465800</v>
      </c>
      <c r="T521" s="3">
        <v>29.12</v>
      </c>
    </row>
    <row r="522" spans="1:20" hidden="1" x14ac:dyDescent="0.3">
      <c r="A522" s="1">
        <v>45116</v>
      </c>
      <c r="B522" s="2" t="s">
        <v>35</v>
      </c>
      <c r="C522" s="2" t="s">
        <v>121</v>
      </c>
      <c r="D522" s="2" t="s">
        <v>54</v>
      </c>
      <c r="E522" s="2" t="s">
        <v>55</v>
      </c>
      <c r="F522" s="2" t="s">
        <v>24</v>
      </c>
      <c r="G522">
        <v>30</v>
      </c>
      <c r="H522">
        <v>320</v>
      </c>
      <c r="I522">
        <v>6</v>
      </c>
      <c r="J522" s="3">
        <v>1514100</v>
      </c>
      <c r="K522" s="3">
        <v>9084600</v>
      </c>
      <c r="L522" s="2" t="s">
        <v>33</v>
      </c>
      <c r="M522" s="2" t="s">
        <v>26</v>
      </c>
      <c r="N522">
        <v>2023</v>
      </c>
      <c r="O522" s="2" t="s">
        <v>148</v>
      </c>
      <c r="P522" s="2" t="s">
        <v>149</v>
      </c>
      <c r="Q522">
        <v>7</v>
      </c>
      <c r="R522" s="4">
        <v>45108</v>
      </c>
      <c r="S522" s="3">
        <v>1514100</v>
      </c>
      <c r="T522" s="3">
        <v>0.91</v>
      </c>
    </row>
    <row r="523" spans="1:20" hidden="1" x14ac:dyDescent="0.3">
      <c r="A523" s="1">
        <v>45116</v>
      </c>
      <c r="B523" s="2" t="s">
        <v>40</v>
      </c>
      <c r="C523" s="2" t="s">
        <v>41</v>
      </c>
      <c r="D523" s="2" t="s">
        <v>63</v>
      </c>
      <c r="E523" s="2" t="s">
        <v>64</v>
      </c>
      <c r="F523" s="2" t="s">
        <v>24</v>
      </c>
      <c r="G523">
        <v>3</v>
      </c>
      <c r="H523">
        <v>127</v>
      </c>
      <c r="I523">
        <v>64</v>
      </c>
      <c r="J523" s="3">
        <v>150000</v>
      </c>
      <c r="K523" s="3">
        <v>9600000</v>
      </c>
      <c r="L523" s="2" t="s">
        <v>92</v>
      </c>
      <c r="M523" s="2" t="s">
        <v>26</v>
      </c>
      <c r="N523">
        <v>2023</v>
      </c>
      <c r="O523" s="2" t="s">
        <v>148</v>
      </c>
      <c r="P523" s="2" t="s">
        <v>149</v>
      </c>
      <c r="Q523">
        <v>7</v>
      </c>
      <c r="R523" s="4">
        <v>45108</v>
      </c>
      <c r="S523" s="3">
        <v>150000</v>
      </c>
      <c r="T523" s="3">
        <v>0.96</v>
      </c>
    </row>
    <row r="524" spans="1:20" hidden="1" x14ac:dyDescent="0.3">
      <c r="A524" s="1">
        <v>45117</v>
      </c>
      <c r="B524" s="2" t="s">
        <v>84</v>
      </c>
      <c r="C524" s="2" t="s">
        <v>85</v>
      </c>
      <c r="D524" s="2" t="s">
        <v>57</v>
      </c>
      <c r="E524" s="2" t="s">
        <v>86</v>
      </c>
      <c r="F524" s="2" t="s">
        <v>24</v>
      </c>
      <c r="G524">
        <v>48</v>
      </c>
      <c r="H524">
        <v>39</v>
      </c>
      <c r="I524">
        <v>97</v>
      </c>
      <c r="J524" s="3">
        <v>2646300</v>
      </c>
      <c r="K524" s="3">
        <v>256691100</v>
      </c>
      <c r="L524" s="2" t="s">
        <v>33</v>
      </c>
      <c r="M524" s="2" t="s">
        <v>26</v>
      </c>
      <c r="N524">
        <v>2023</v>
      </c>
      <c r="O524" s="2" t="s">
        <v>148</v>
      </c>
      <c r="P524" s="2" t="s">
        <v>149</v>
      </c>
      <c r="Q524">
        <v>7</v>
      </c>
      <c r="R524" s="4">
        <v>45108</v>
      </c>
      <c r="S524" s="3">
        <v>2646300</v>
      </c>
      <c r="T524" s="3">
        <v>25.67</v>
      </c>
    </row>
    <row r="525" spans="1:20" hidden="1" x14ac:dyDescent="0.3">
      <c r="A525" s="1">
        <v>45117</v>
      </c>
      <c r="B525" s="2" t="s">
        <v>29</v>
      </c>
      <c r="C525" s="2" t="s">
        <v>96</v>
      </c>
      <c r="D525" s="2" t="s">
        <v>37</v>
      </c>
      <c r="E525" s="2" t="s">
        <v>38</v>
      </c>
      <c r="F525" s="2" t="s">
        <v>24</v>
      </c>
      <c r="G525">
        <v>66</v>
      </c>
      <c r="H525">
        <v>423</v>
      </c>
      <c r="I525">
        <v>23</v>
      </c>
      <c r="J525" s="3">
        <v>9337400</v>
      </c>
      <c r="K525" s="3">
        <v>214760200</v>
      </c>
      <c r="L525" s="2" t="s">
        <v>33</v>
      </c>
      <c r="M525" s="2" t="s">
        <v>77</v>
      </c>
      <c r="N525">
        <v>2023</v>
      </c>
      <c r="O525" s="2" t="s">
        <v>148</v>
      </c>
      <c r="P525" s="2" t="s">
        <v>149</v>
      </c>
      <c r="Q525">
        <v>7</v>
      </c>
      <c r="R525" s="4">
        <v>45108</v>
      </c>
      <c r="S525" s="3">
        <v>9337400</v>
      </c>
      <c r="T525" s="3">
        <v>21.48</v>
      </c>
    </row>
    <row r="526" spans="1:20" hidden="1" x14ac:dyDescent="0.3">
      <c r="A526" s="1">
        <v>45117</v>
      </c>
      <c r="B526" s="2" t="s">
        <v>35</v>
      </c>
      <c r="C526" s="2" t="s">
        <v>36</v>
      </c>
      <c r="D526" s="2" t="s">
        <v>94</v>
      </c>
      <c r="E526" s="2" t="s">
        <v>140</v>
      </c>
      <c r="F526" s="2" t="s">
        <v>39</v>
      </c>
      <c r="G526">
        <v>35</v>
      </c>
      <c r="H526">
        <v>32</v>
      </c>
      <c r="I526">
        <v>115</v>
      </c>
      <c r="J526" s="3">
        <v>1847100</v>
      </c>
      <c r="K526" s="3">
        <v>212416500</v>
      </c>
      <c r="L526" s="2" t="s">
        <v>33</v>
      </c>
      <c r="M526" s="2" t="s">
        <v>34</v>
      </c>
      <c r="N526">
        <v>2023</v>
      </c>
      <c r="O526" s="2" t="s">
        <v>148</v>
      </c>
      <c r="P526" s="2" t="s">
        <v>149</v>
      </c>
      <c r="Q526">
        <v>7</v>
      </c>
      <c r="R526" s="4">
        <v>45108</v>
      </c>
      <c r="S526" s="3">
        <v>1847100</v>
      </c>
      <c r="T526" s="3">
        <v>21.24</v>
      </c>
    </row>
    <row r="527" spans="1:20" hidden="1" x14ac:dyDescent="0.3">
      <c r="A527" s="1">
        <v>45118</v>
      </c>
      <c r="B527" s="2" t="s">
        <v>90</v>
      </c>
      <c r="C527" s="2" t="s">
        <v>128</v>
      </c>
      <c r="D527" s="2" t="s">
        <v>50</v>
      </c>
      <c r="E527" s="2" t="s">
        <v>51</v>
      </c>
      <c r="F527" s="2" t="s">
        <v>24</v>
      </c>
      <c r="G527">
        <v>77</v>
      </c>
      <c r="H527">
        <v>528</v>
      </c>
      <c r="I527">
        <v>64</v>
      </c>
      <c r="J527" s="3">
        <v>4948500</v>
      </c>
      <c r="K527" s="3">
        <v>316704000</v>
      </c>
      <c r="L527" s="2" t="s">
        <v>25</v>
      </c>
      <c r="M527" s="2" t="s">
        <v>34</v>
      </c>
      <c r="N527">
        <v>2023</v>
      </c>
      <c r="O527" s="2" t="s">
        <v>148</v>
      </c>
      <c r="P527" s="2" t="s">
        <v>149</v>
      </c>
      <c r="Q527">
        <v>7</v>
      </c>
      <c r="R527" s="4">
        <v>45108</v>
      </c>
      <c r="S527" s="3">
        <v>4948500</v>
      </c>
      <c r="T527" s="3">
        <v>31.67</v>
      </c>
    </row>
    <row r="528" spans="1:20" hidden="1" x14ac:dyDescent="0.3">
      <c r="A528" s="1">
        <v>45118</v>
      </c>
      <c r="B528" s="2" t="s">
        <v>61</v>
      </c>
      <c r="C528" s="2" t="s">
        <v>62</v>
      </c>
      <c r="D528" s="2" t="s">
        <v>94</v>
      </c>
      <c r="E528" s="2" t="s">
        <v>140</v>
      </c>
      <c r="F528" s="2" t="s">
        <v>24</v>
      </c>
      <c r="G528">
        <v>35</v>
      </c>
      <c r="H528">
        <v>32</v>
      </c>
      <c r="I528">
        <v>98</v>
      </c>
      <c r="J528" s="3">
        <v>1914900</v>
      </c>
      <c r="K528" s="3">
        <v>187660200</v>
      </c>
      <c r="L528" s="2" t="s">
        <v>33</v>
      </c>
      <c r="M528" s="2" t="s">
        <v>77</v>
      </c>
      <c r="N528">
        <v>2023</v>
      </c>
      <c r="O528" s="2" t="s">
        <v>148</v>
      </c>
      <c r="P528" s="2" t="s">
        <v>149</v>
      </c>
      <c r="Q528">
        <v>7</v>
      </c>
      <c r="R528" s="4">
        <v>45108</v>
      </c>
      <c r="S528" s="3">
        <v>1914900</v>
      </c>
      <c r="T528" s="3">
        <v>18.77</v>
      </c>
    </row>
    <row r="529" spans="1:20" hidden="1" x14ac:dyDescent="0.3">
      <c r="A529" s="1">
        <v>45118</v>
      </c>
      <c r="B529" s="2" t="s">
        <v>46</v>
      </c>
      <c r="C529" s="2" t="s">
        <v>137</v>
      </c>
      <c r="D529" s="2" t="s">
        <v>63</v>
      </c>
      <c r="E529" s="2" t="s">
        <v>64</v>
      </c>
      <c r="F529" s="2" t="s">
        <v>24</v>
      </c>
      <c r="G529">
        <v>3</v>
      </c>
      <c r="H529">
        <v>127</v>
      </c>
      <c r="I529">
        <v>147</v>
      </c>
      <c r="J529" s="3">
        <v>141000</v>
      </c>
      <c r="K529" s="3">
        <v>20727000</v>
      </c>
      <c r="L529" s="2" t="s">
        <v>33</v>
      </c>
      <c r="M529" s="2" t="s">
        <v>26</v>
      </c>
      <c r="N529">
        <v>2023</v>
      </c>
      <c r="O529" s="2" t="s">
        <v>148</v>
      </c>
      <c r="P529" s="2" t="s">
        <v>149</v>
      </c>
      <c r="Q529">
        <v>7</v>
      </c>
      <c r="R529" s="4">
        <v>45108</v>
      </c>
      <c r="S529" s="3">
        <v>141000</v>
      </c>
      <c r="T529" s="3">
        <v>2.0699999999999998</v>
      </c>
    </row>
    <row r="530" spans="1:20" hidden="1" x14ac:dyDescent="0.3">
      <c r="A530" s="1">
        <v>45119</v>
      </c>
      <c r="B530" s="2" t="s">
        <v>29</v>
      </c>
      <c r="C530" s="2" t="s">
        <v>30</v>
      </c>
      <c r="D530" s="2" t="s">
        <v>102</v>
      </c>
      <c r="E530" s="2" t="s">
        <v>103</v>
      </c>
      <c r="F530" s="2" t="s">
        <v>24</v>
      </c>
      <c r="G530">
        <v>5</v>
      </c>
      <c r="H530">
        <v>150</v>
      </c>
      <c r="I530">
        <v>102</v>
      </c>
      <c r="J530" s="3">
        <v>142100</v>
      </c>
      <c r="K530" s="3">
        <v>14494200</v>
      </c>
      <c r="L530" s="2" t="s">
        <v>92</v>
      </c>
      <c r="M530" s="2" t="s">
        <v>26</v>
      </c>
      <c r="N530">
        <v>2023</v>
      </c>
      <c r="O530" s="2" t="s">
        <v>148</v>
      </c>
      <c r="P530" s="2" t="s">
        <v>149</v>
      </c>
      <c r="Q530">
        <v>7</v>
      </c>
      <c r="R530" s="4">
        <v>45108</v>
      </c>
      <c r="S530" s="3">
        <v>142100</v>
      </c>
      <c r="T530" s="3">
        <v>1.45</v>
      </c>
    </row>
    <row r="531" spans="1:20" hidden="1" x14ac:dyDescent="0.3">
      <c r="A531" s="1">
        <v>45119</v>
      </c>
      <c r="B531" s="2" t="s">
        <v>108</v>
      </c>
      <c r="C531" s="2" t="s">
        <v>133</v>
      </c>
      <c r="D531" s="2" t="s">
        <v>67</v>
      </c>
      <c r="E531" s="2" t="s">
        <v>68</v>
      </c>
      <c r="F531" s="2" t="s">
        <v>24</v>
      </c>
      <c r="G531">
        <v>66</v>
      </c>
      <c r="H531">
        <v>440</v>
      </c>
      <c r="I531">
        <v>12</v>
      </c>
      <c r="J531" s="3">
        <v>5298500</v>
      </c>
      <c r="K531" s="3">
        <v>63582000</v>
      </c>
      <c r="L531" s="2" t="s">
        <v>33</v>
      </c>
      <c r="M531" s="2" t="s">
        <v>77</v>
      </c>
      <c r="N531">
        <v>2023</v>
      </c>
      <c r="O531" s="2" t="s">
        <v>148</v>
      </c>
      <c r="P531" s="2" t="s">
        <v>149</v>
      </c>
      <c r="Q531">
        <v>7</v>
      </c>
      <c r="R531" s="4">
        <v>45108</v>
      </c>
      <c r="S531" s="3">
        <v>5298500</v>
      </c>
      <c r="T531" s="3">
        <v>6.36</v>
      </c>
    </row>
    <row r="532" spans="1:20" hidden="1" x14ac:dyDescent="0.3">
      <c r="A532" s="1">
        <v>45120</v>
      </c>
      <c r="B532" s="2" t="s">
        <v>84</v>
      </c>
      <c r="C532" s="2" t="s">
        <v>93</v>
      </c>
      <c r="D532" s="2" t="s">
        <v>94</v>
      </c>
      <c r="E532" s="2" t="s">
        <v>140</v>
      </c>
      <c r="F532" s="2" t="s">
        <v>24</v>
      </c>
      <c r="G532">
        <v>35</v>
      </c>
      <c r="H532">
        <v>32</v>
      </c>
      <c r="I532">
        <v>72</v>
      </c>
      <c r="J532" s="3">
        <v>1898200</v>
      </c>
      <c r="K532" s="3">
        <v>136670400</v>
      </c>
      <c r="L532" s="2" t="s">
        <v>33</v>
      </c>
      <c r="M532" s="2" t="s">
        <v>26</v>
      </c>
      <c r="N532">
        <v>2023</v>
      </c>
      <c r="O532" s="2" t="s">
        <v>148</v>
      </c>
      <c r="P532" s="2" t="s">
        <v>149</v>
      </c>
      <c r="Q532">
        <v>7</v>
      </c>
      <c r="R532" s="4">
        <v>45108</v>
      </c>
      <c r="S532" s="3">
        <v>1898200</v>
      </c>
      <c r="T532" s="3">
        <v>13.67</v>
      </c>
    </row>
    <row r="533" spans="1:20" hidden="1" x14ac:dyDescent="0.3">
      <c r="A533" s="1">
        <v>45120</v>
      </c>
      <c r="B533" s="2" t="s">
        <v>40</v>
      </c>
      <c r="C533" s="2" t="s">
        <v>41</v>
      </c>
      <c r="D533" s="2" t="s">
        <v>67</v>
      </c>
      <c r="E533" s="2" t="s">
        <v>68</v>
      </c>
      <c r="F533" s="2" t="s">
        <v>24</v>
      </c>
      <c r="G533">
        <v>66</v>
      </c>
      <c r="H533">
        <v>440</v>
      </c>
      <c r="I533">
        <v>6</v>
      </c>
      <c r="J533" s="3">
        <v>6501700</v>
      </c>
      <c r="K533" s="3">
        <v>39010200</v>
      </c>
      <c r="L533" s="2" t="s">
        <v>33</v>
      </c>
      <c r="M533" s="2" t="s">
        <v>26</v>
      </c>
      <c r="N533">
        <v>2023</v>
      </c>
      <c r="O533" s="2" t="s">
        <v>148</v>
      </c>
      <c r="P533" s="2" t="s">
        <v>149</v>
      </c>
      <c r="Q533">
        <v>7</v>
      </c>
      <c r="R533" s="4">
        <v>45108</v>
      </c>
      <c r="S533" s="3">
        <v>6501700</v>
      </c>
      <c r="T533" s="3">
        <v>3.9</v>
      </c>
    </row>
    <row r="534" spans="1:20" hidden="1" x14ac:dyDescent="0.3">
      <c r="A534" s="1">
        <v>45121</v>
      </c>
      <c r="B534" s="2" t="s">
        <v>46</v>
      </c>
      <c r="C534" s="2" t="s">
        <v>47</v>
      </c>
      <c r="D534" s="2" t="s">
        <v>67</v>
      </c>
      <c r="E534" s="2" t="s">
        <v>68</v>
      </c>
      <c r="F534" s="2" t="s">
        <v>24</v>
      </c>
      <c r="G534">
        <v>66</v>
      </c>
      <c r="H534">
        <v>440</v>
      </c>
      <c r="I534">
        <v>70</v>
      </c>
      <c r="J534" s="3">
        <v>5495600</v>
      </c>
      <c r="K534" s="3">
        <v>384692000</v>
      </c>
      <c r="L534" s="2" t="s">
        <v>33</v>
      </c>
      <c r="M534" s="2" t="s">
        <v>77</v>
      </c>
      <c r="N534">
        <v>2023</v>
      </c>
      <c r="O534" s="2" t="s">
        <v>148</v>
      </c>
      <c r="P534" s="2" t="s">
        <v>149</v>
      </c>
      <c r="Q534">
        <v>7</v>
      </c>
      <c r="R534" s="4">
        <v>45108</v>
      </c>
      <c r="S534" s="3">
        <v>5495600</v>
      </c>
      <c r="T534" s="3">
        <v>38.47</v>
      </c>
    </row>
    <row r="535" spans="1:20" hidden="1" x14ac:dyDescent="0.3">
      <c r="A535" s="1">
        <v>45121</v>
      </c>
      <c r="B535" s="2" t="s">
        <v>90</v>
      </c>
      <c r="C535" s="2" t="s">
        <v>91</v>
      </c>
      <c r="D535" s="2" t="s">
        <v>54</v>
      </c>
      <c r="E535" s="2" t="s">
        <v>55</v>
      </c>
      <c r="F535" s="2" t="s">
        <v>39</v>
      </c>
      <c r="G535">
        <v>30</v>
      </c>
      <c r="H535">
        <v>320</v>
      </c>
      <c r="I535">
        <v>31</v>
      </c>
      <c r="J535" s="3">
        <v>1576800</v>
      </c>
      <c r="K535" s="3">
        <v>48880800</v>
      </c>
      <c r="L535" s="2" t="s">
        <v>33</v>
      </c>
      <c r="M535" s="2" t="s">
        <v>26</v>
      </c>
      <c r="N535">
        <v>2023</v>
      </c>
      <c r="O535" s="2" t="s">
        <v>148</v>
      </c>
      <c r="P535" s="2" t="s">
        <v>149</v>
      </c>
      <c r="Q535">
        <v>7</v>
      </c>
      <c r="R535" s="4">
        <v>45108</v>
      </c>
      <c r="S535" s="3">
        <v>1576800</v>
      </c>
      <c r="T535" s="3">
        <v>4.8899999999999997</v>
      </c>
    </row>
    <row r="536" spans="1:20" hidden="1" x14ac:dyDescent="0.3">
      <c r="A536" s="1">
        <v>45121</v>
      </c>
      <c r="B536" s="2" t="s">
        <v>44</v>
      </c>
      <c r="C536" s="2" t="s">
        <v>45</v>
      </c>
      <c r="D536" s="2" t="s">
        <v>102</v>
      </c>
      <c r="E536" s="2" t="s">
        <v>103</v>
      </c>
      <c r="F536" s="2" t="s">
        <v>24</v>
      </c>
      <c r="G536">
        <v>5</v>
      </c>
      <c r="H536">
        <v>150</v>
      </c>
      <c r="I536">
        <v>49</v>
      </c>
      <c r="J536" s="3">
        <v>141800</v>
      </c>
      <c r="K536" s="3">
        <v>6948200</v>
      </c>
      <c r="L536" s="2" t="s">
        <v>25</v>
      </c>
      <c r="M536" s="2" t="s">
        <v>77</v>
      </c>
      <c r="N536">
        <v>2023</v>
      </c>
      <c r="O536" s="2" t="s">
        <v>148</v>
      </c>
      <c r="P536" s="2" t="s">
        <v>149</v>
      </c>
      <c r="Q536">
        <v>7</v>
      </c>
      <c r="R536" s="4">
        <v>45108</v>
      </c>
      <c r="S536" s="3">
        <v>141800</v>
      </c>
      <c r="T536" s="3">
        <v>0.69</v>
      </c>
    </row>
    <row r="537" spans="1:20" hidden="1" x14ac:dyDescent="0.3">
      <c r="A537" s="1">
        <v>45121</v>
      </c>
      <c r="B537" s="2" t="s">
        <v>29</v>
      </c>
      <c r="C537" s="2" t="s">
        <v>65</v>
      </c>
      <c r="D537" s="2" t="s">
        <v>100</v>
      </c>
      <c r="E537" s="2" t="s">
        <v>101</v>
      </c>
      <c r="F537" s="2" t="s">
        <v>24</v>
      </c>
      <c r="G537">
        <v>3</v>
      </c>
      <c r="H537">
        <v>150</v>
      </c>
      <c r="I537">
        <v>102</v>
      </c>
      <c r="J537" s="3">
        <v>151000</v>
      </c>
      <c r="K537" s="3">
        <v>15402000</v>
      </c>
      <c r="L537" s="2" t="s">
        <v>33</v>
      </c>
      <c r="M537" s="2" t="s">
        <v>34</v>
      </c>
      <c r="N537">
        <v>2023</v>
      </c>
      <c r="O537" s="2" t="s">
        <v>148</v>
      </c>
      <c r="P537" s="2" t="s">
        <v>149</v>
      </c>
      <c r="Q537">
        <v>7</v>
      </c>
      <c r="R537" s="4">
        <v>45108</v>
      </c>
      <c r="S537" s="3">
        <v>151000</v>
      </c>
      <c r="T537" s="3">
        <v>1.54</v>
      </c>
    </row>
    <row r="538" spans="1:20" hidden="1" x14ac:dyDescent="0.3">
      <c r="A538" s="1">
        <v>45121</v>
      </c>
      <c r="B538" s="2" t="s">
        <v>84</v>
      </c>
      <c r="C538" s="2" t="s">
        <v>113</v>
      </c>
      <c r="D538" s="2" t="s">
        <v>102</v>
      </c>
      <c r="E538" s="2" t="s">
        <v>103</v>
      </c>
      <c r="F538" s="2" t="s">
        <v>24</v>
      </c>
      <c r="G538">
        <v>5</v>
      </c>
      <c r="H538">
        <v>150</v>
      </c>
      <c r="I538">
        <v>125</v>
      </c>
      <c r="J538" s="3">
        <v>185400</v>
      </c>
      <c r="K538" s="3">
        <v>23175000</v>
      </c>
      <c r="L538" s="2" t="s">
        <v>25</v>
      </c>
      <c r="M538" s="2" t="s">
        <v>26</v>
      </c>
      <c r="N538">
        <v>2023</v>
      </c>
      <c r="O538" s="2" t="s">
        <v>148</v>
      </c>
      <c r="P538" s="2" t="s">
        <v>149</v>
      </c>
      <c r="Q538">
        <v>7</v>
      </c>
      <c r="R538" s="4">
        <v>45108</v>
      </c>
      <c r="S538" s="3">
        <v>185400</v>
      </c>
      <c r="T538" s="3">
        <v>2.3199999999999998</v>
      </c>
    </row>
    <row r="539" spans="1:20" hidden="1" x14ac:dyDescent="0.3">
      <c r="A539" s="1">
        <v>45122</v>
      </c>
      <c r="B539" s="2" t="s">
        <v>108</v>
      </c>
      <c r="C539" s="2" t="s">
        <v>109</v>
      </c>
      <c r="D539" s="2" t="s">
        <v>70</v>
      </c>
      <c r="E539" s="2" t="s">
        <v>74</v>
      </c>
      <c r="F539" s="2" t="s">
        <v>24</v>
      </c>
      <c r="G539">
        <v>25</v>
      </c>
      <c r="H539">
        <v>32</v>
      </c>
      <c r="I539">
        <v>142</v>
      </c>
      <c r="J539" s="3">
        <v>1023800</v>
      </c>
      <c r="K539" s="3">
        <v>145379600</v>
      </c>
      <c r="L539" s="2" t="s">
        <v>92</v>
      </c>
      <c r="M539" s="2" t="s">
        <v>26</v>
      </c>
      <c r="N539">
        <v>2023</v>
      </c>
      <c r="O539" s="2" t="s">
        <v>148</v>
      </c>
      <c r="P539" s="2" t="s">
        <v>149</v>
      </c>
      <c r="Q539">
        <v>7</v>
      </c>
      <c r="R539" s="4">
        <v>45108</v>
      </c>
      <c r="S539" s="3">
        <v>1023800</v>
      </c>
      <c r="T539" s="3">
        <v>14.54</v>
      </c>
    </row>
    <row r="540" spans="1:20" hidden="1" x14ac:dyDescent="0.3">
      <c r="A540" s="1">
        <v>45122</v>
      </c>
      <c r="B540" s="2" t="s">
        <v>59</v>
      </c>
      <c r="C540" s="2" t="s">
        <v>60</v>
      </c>
      <c r="D540" s="2" t="s">
        <v>102</v>
      </c>
      <c r="E540" s="2" t="s">
        <v>103</v>
      </c>
      <c r="F540" s="2" t="s">
        <v>24</v>
      </c>
      <c r="G540">
        <v>5</v>
      </c>
      <c r="H540">
        <v>150</v>
      </c>
      <c r="I540">
        <v>102</v>
      </c>
      <c r="J540" s="3">
        <v>158200</v>
      </c>
      <c r="K540" s="3">
        <v>16136400</v>
      </c>
      <c r="L540" s="2" t="s">
        <v>92</v>
      </c>
      <c r="M540" s="2" t="s">
        <v>26</v>
      </c>
      <c r="N540">
        <v>2023</v>
      </c>
      <c r="O540" s="2" t="s">
        <v>148</v>
      </c>
      <c r="P540" s="2" t="s">
        <v>149</v>
      </c>
      <c r="Q540">
        <v>7</v>
      </c>
      <c r="R540" s="4">
        <v>45108</v>
      </c>
      <c r="S540" s="3">
        <v>158200</v>
      </c>
      <c r="T540" s="3">
        <v>1.61</v>
      </c>
    </row>
    <row r="541" spans="1:20" hidden="1" x14ac:dyDescent="0.3">
      <c r="A541" s="1">
        <v>45122</v>
      </c>
      <c r="B541" s="2" t="s">
        <v>84</v>
      </c>
      <c r="C541" s="2" t="s">
        <v>113</v>
      </c>
      <c r="D541" s="2" t="s">
        <v>63</v>
      </c>
      <c r="E541" s="2" t="s">
        <v>64</v>
      </c>
      <c r="F541" s="2" t="s">
        <v>24</v>
      </c>
      <c r="G541">
        <v>3</v>
      </c>
      <c r="H541">
        <v>127</v>
      </c>
      <c r="I541">
        <v>179</v>
      </c>
      <c r="J541" s="3">
        <v>154800</v>
      </c>
      <c r="K541" s="3">
        <v>27709200</v>
      </c>
      <c r="L541" s="2" t="s">
        <v>92</v>
      </c>
      <c r="M541" s="2" t="s">
        <v>77</v>
      </c>
      <c r="N541">
        <v>2023</v>
      </c>
      <c r="O541" s="2" t="s">
        <v>148</v>
      </c>
      <c r="P541" s="2" t="s">
        <v>149</v>
      </c>
      <c r="Q541">
        <v>7</v>
      </c>
      <c r="R541" s="4">
        <v>45108</v>
      </c>
      <c r="S541" s="3">
        <v>154800</v>
      </c>
      <c r="T541" s="3">
        <v>2.77</v>
      </c>
    </row>
    <row r="542" spans="1:20" hidden="1" x14ac:dyDescent="0.3">
      <c r="A542" s="1">
        <v>45123</v>
      </c>
      <c r="B542" s="2" t="s">
        <v>40</v>
      </c>
      <c r="C542" s="2" t="s">
        <v>78</v>
      </c>
      <c r="D542" s="2" t="s">
        <v>37</v>
      </c>
      <c r="E542" s="2" t="s">
        <v>38</v>
      </c>
      <c r="F542" s="2" t="s">
        <v>24</v>
      </c>
      <c r="G542">
        <v>66</v>
      </c>
      <c r="H542">
        <v>423</v>
      </c>
      <c r="I542">
        <v>15</v>
      </c>
      <c r="J542" s="3">
        <v>8698600</v>
      </c>
      <c r="K542" s="3">
        <v>130479000</v>
      </c>
      <c r="L542" s="2" t="s">
        <v>33</v>
      </c>
      <c r="M542" s="2" t="s">
        <v>26</v>
      </c>
      <c r="N542">
        <v>2023</v>
      </c>
      <c r="O542" s="2" t="s">
        <v>148</v>
      </c>
      <c r="P542" s="2" t="s">
        <v>149</v>
      </c>
      <c r="Q542">
        <v>7</v>
      </c>
      <c r="R542" s="4">
        <v>45108</v>
      </c>
      <c r="S542" s="3">
        <v>8698600</v>
      </c>
      <c r="T542" s="3">
        <v>13.05</v>
      </c>
    </row>
    <row r="543" spans="1:20" hidden="1" x14ac:dyDescent="0.3">
      <c r="A543" s="1">
        <v>45123</v>
      </c>
      <c r="B543" s="2" t="s">
        <v>29</v>
      </c>
      <c r="C543" s="2" t="s">
        <v>96</v>
      </c>
      <c r="D543" s="2" t="s">
        <v>31</v>
      </c>
      <c r="E543" s="2" t="s">
        <v>32</v>
      </c>
      <c r="F543" s="2" t="s">
        <v>24</v>
      </c>
      <c r="G543">
        <v>4</v>
      </c>
      <c r="H543">
        <v>195</v>
      </c>
      <c r="I543">
        <v>105</v>
      </c>
      <c r="J543" s="3">
        <v>149700</v>
      </c>
      <c r="K543" s="3">
        <v>15718500</v>
      </c>
      <c r="L543" s="2" t="s">
        <v>33</v>
      </c>
      <c r="M543" s="2" t="s">
        <v>26</v>
      </c>
      <c r="N543">
        <v>2023</v>
      </c>
      <c r="O543" s="2" t="s">
        <v>148</v>
      </c>
      <c r="P543" s="2" t="s">
        <v>149</v>
      </c>
      <c r="Q543">
        <v>7</v>
      </c>
      <c r="R543" s="4">
        <v>45108</v>
      </c>
      <c r="S543" s="3">
        <v>149700</v>
      </c>
      <c r="T543" s="3">
        <v>1.57</v>
      </c>
    </row>
    <row r="544" spans="1:20" hidden="1" x14ac:dyDescent="0.3">
      <c r="A544" s="1">
        <v>45123</v>
      </c>
      <c r="B544" s="2" t="s">
        <v>59</v>
      </c>
      <c r="C544" s="2" t="s">
        <v>135</v>
      </c>
      <c r="D544" s="2" t="s">
        <v>31</v>
      </c>
      <c r="E544" s="2" t="s">
        <v>124</v>
      </c>
      <c r="F544" s="2" t="s">
        <v>24</v>
      </c>
      <c r="G544">
        <v>3</v>
      </c>
      <c r="H544">
        <v>151</v>
      </c>
      <c r="I544">
        <v>48</v>
      </c>
      <c r="J544" s="3">
        <v>117300</v>
      </c>
      <c r="K544" s="3">
        <v>5630400</v>
      </c>
      <c r="L544" s="2" t="s">
        <v>33</v>
      </c>
      <c r="M544" s="2" t="s">
        <v>77</v>
      </c>
      <c r="N544">
        <v>2023</v>
      </c>
      <c r="O544" s="2" t="s">
        <v>148</v>
      </c>
      <c r="P544" s="2" t="s">
        <v>149</v>
      </c>
      <c r="Q544">
        <v>7</v>
      </c>
      <c r="R544" s="4">
        <v>45108</v>
      </c>
      <c r="S544" s="3">
        <v>117300</v>
      </c>
      <c r="T544" s="3">
        <v>0.56000000000000005</v>
      </c>
    </row>
    <row r="545" spans="1:20" hidden="1" x14ac:dyDescent="0.3">
      <c r="A545" s="1">
        <v>45123</v>
      </c>
      <c r="B545" s="2" t="s">
        <v>46</v>
      </c>
      <c r="C545" s="2" t="s">
        <v>137</v>
      </c>
      <c r="D545" s="2" t="s">
        <v>70</v>
      </c>
      <c r="E545" s="2" t="s">
        <v>74</v>
      </c>
      <c r="F545" s="2" t="s">
        <v>39</v>
      </c>
      <c r="G545">
        <v>25</v>
      </c>
      <c r="H545">
        <v>32</v>
      </c>
      <c r="I545">
        <v>42</v>
      </c>
      <c r="J545" s="3">
        <v>1207600</v>
      </c>
      <c r="K545" s="3">
        <v>50719200</v>
      </c>
      <c r="L545" s="2" t="s">
        <v>33</v>
      </c>
      <c r="M545" s="2" t="s">
        <v>26</v>
      </c>
      <c r="N545">
        <v>2023</v>
      </c>
      <c r="O545" s="2" t="s">
        <v>148</v>
      </c>
      <c r="P545" s="2" t="s">
        <v>149</v>
      </c>
      <c r="Q545">
        <v>7</v>
      </c>
      <c r="R545" s="4">
        <v>45108</v>
      </c>
      <c r="S545" s="3">
        <v>1207600</v>
      </c>
      <c r="T545" s="3">
        <v>5.07</v>
      </c>
    </row>
    <row r="546" spans="1:20" hidden="1" x14ac:dyDescent="0.3">
      <c r="A546" s="1">
        <v>45124</v>
      </c>
      <c r="B546" s="2" t="s">
        <v>90</v>
      </c>
      <c r="C546" s="2" t="s">
        <v>128</v>
      </c>
      <c r="D546" s="2" t="s">
        <v>22</v>
      </c>
      <c r="E546" s="2" t="s">
        <v>23</v>
      </c>
      <c r="F546" s="2" t="s">
        <v>24</v>
      </c>
      <c r="G546">
        <v>82</v>
      </c>
      <c r="H546">
        <v>520</v>
      </c>
      <c r="I546">
        <v>17</v>
      </c>
      <c r="J546" s="3">
        <v>6156500</v>
      </c>
      <c r="K546" s="3">
        <v>104660500</v>
      </c>
      <c r="L546" s="2" t="s">
        <v>33</v>
      </c>
      <c r="M546" s="2" t="s">
        <v>34</v>
      </c>
      <c r="N546">
        <v>2023</v>
      </c>
      <c r="O546" s="2" t="s">
        <v>148</v>
      </c>
      <c r="P546" s="2" t="s">
        <v>149</v>
      </c>
      <c r="Q546">
        <v>7</v>
      </c>
      <c r="R546" s="4">
        <v>45108</v>
      </c>
      <c r="S546" s="3">
        <v>6156500</v>
      </c>
      <c r="T546" s="3">
        <v>10.47</v>
      </c>
    </row>
    <row r="547" spans="1:20" hidden="1" x14ac:dyDescent="0.3">
      <c r="A547" s="1">
        <v>45124</v>
      </c>
      <c r="B547" s="2" t="s">
        <v>40</v>
      </c>
      <c r="C547" s="2" t="s">
        <v>41</v>
      </c>
      <c r="D547" s="2" t="s">
        <v>37</v>
      </c>
      <c r="E547" s="2" t="s">
        <v>38</v>
      </c>
      <c r="F547" s="2" t="s">
        <v>24</v>
      </c>
      <c r="G547">
        <v>66</v>
      </c>
      <c r="H547">
        <v>423</v>
      </c>
      <c r="I547">
        <v>39</v>
      </c>
      <c r="J547" s="3">
        <v>8787700</v>
      </c>
      <c r="K547" s="3">
        <v>342720300</v>
      </c>
      <c r="L547" s="2" t="s">
        <v>33</v>
      </c>
      <c r="M547" s="2" t="s">
        <v>26</v>
      </c>
      <c r="N547">
        <v>2023</v>
      </c>
      <c r="O547" s="2" t="s">
        <v>148</v>
      </c>
      <c r="P547" s="2" t="s">
        <v>149</v>
      </c>
      <c r="Q547">
        <v>7</v>
      </c>
      <c r="R547" s="4">
        <v>45108</v>
      </c>
      <c r="S547" s="3">
        <v>8787700</v>
      </c>
      <c r="T547" s="3">
        <v>34.270000000000003</v>
      </c>
    </row>
    <row r="548" spans="1:20" hidden="1" x14ac:dyDescent="0.3">
      <c r="A548" s="1">
        <v>45124</v>
      </c>
      <c r="B548" s="2" t="s">
        <v>84</v>
      </c>
      <c r="C548" s="2" t="s">
        <v>113</v>
      </c>
      <c r="D548" s="2" t="s">
        <v>102</v>
      </c>
      <c r="E548" s="2" t="s">
        <v>103</v>
      </c>
      <c r="F548" s="2" t="s">
        <v>24</v>
      </c>
      <c r="G548">
        <v>5</v>
      </c>
      <c r="H548">
        <v>150</v>
      </c>
      <c r="I548">
        <v>26</v>
      </c>
      <c r="J548" s="3">
        <v>164200</v>
      </c>
      <c r="K548" s="3">
        <v>4269200</v>
      </c>
      <c r="L548" s="2" t="s">
        <v>25</v>
      </c>
      <c r="M548" s="2" t="s">
        <v>26</v>
      </c>
      <c r="N548">
        <v>2023</v>
      </c>
      <c r="O548" s="2" t="s">
        <v>148</v>
      </c>
      <c r="P548" s="2" t="s">
        <v>149</v>
      </c>
      <c r="Q548">
        <v>7</v>
      </c>
      <c r="R548" s="4">
        <v>45108</v>
      </c>
      <c r="S548" s="3">
        <v>164200</v>
      </c>
      <c r="T548" s="3">
        <v>0.43</v>
      </c>
    </row>
    <row r="549" spans="1:20" hidden="1" x14ac:dyDescent="0.3">
      <c r="A549" s="1">
        <v>45125</v>
      </c>
      <c r="B549" s="2" t="s">
        <v>59</v>
      </c>
      <c r="C549" s="2" t="s">
        <v>135</v>
      </c>
      <c r="D549" s="2" t="s">
        <v>57</v>
      </c>
      <c r="E549" s="2" t="s">
        <v>58</v>
      </c>
      <c r="F549" s="2" t="s">
        <v>24</v>
      </c>
      <c r="G549">
        <v>72</v>
      </c>
      <c r="H549">
        <v>488</v>
      </c>
      <c r="I549">
        <v>32</v>
      </c>
      <c r="J549" s="3">
        <v>5709700</v>
      </c>
      <c r="K549" s="3">
        <v>182710400</v>
      </c>
      <c r="L549" s="2" t="s">
        <v>33</v>
      </c>
      <c r="M549" s="2" t="s">
        <v>26</v>
      </c>
      <c r="N549">
        <v>2023</v>
      </c>
      <c r="O549" s="2" t="s">
        <v>148</v>
      </c>
      <c r="P549" s="2" t="s">
        <v>149</v>
      </c>
      <c r="Q549">
        <v>7</v>
      </c>
      <c r="R549" s="4">
        <v>45108</v>
      </c>
      <c r="S549" s="3">
        <v>5709700</v>
      </c>
      <c r="T549" s="3">
        <v>18.27</v>
      </c>
    </row>
    <row r="550" spans="1:20" hidden="1" x14ac:dyDescent="0.3">
      <c r="A550" s="1">
        <v>45125</v>
      </c>
      <c r="B550" s="2" t="s">
        <v>59</v>
      </c>
      <c r="C550" s="2" t="s">
        <v>60</v>
      </c>
      <c r="D550" s="2" t="s">
        <v>42</v>
      </c>
      <c r="E550" s="2" t="s">
        <v>43</v>
      </c>
      <c r="F550" s="2" t="s">
        <v>24</v>
      </c>
      <c r="G550">
        <v>3</v>
      </c>
      <c r="H550">
        <v>135</v>
      </c>
      <c r="I550">
        <v>161</v>
      </c>
      <c r="J550" s="3">
        <v>121100</v>
      </c>
      <c r="K550" s="3">
        <v>19497100</v>
      </c>
      <c r="L550" s="2" t="s">
        <v>33</v>
      </c>
      <c r="M550" s="2" t="s">
        <v>97</v>
      </c>
      <c r="N550">
        <v>2023</v>
      </c>
      <c r="O550" s="2" t="s">
        <v>148</v>
      </c>
      <c r="P550" s="2" t="s">
        <v>149</v>
      </c>
      <c r="Q550">
        <v>7</v>
      </c>
      <c r="R550" s="4">
        <v>45108</v>
      </c>
      <c r="S550" s="3">
        <v>121100</v>
      </c>
      <c r="T550" s="3">
        <v>1.95</v>
      </c>
    </row>
    <row r="551" spans="1:20" hidden="1" x14ac:dyDescent="0.3">
      <c r="A551" s="1">
        <v>45125</v>
      </c>
      <c r="B551" s="2" t="s">
        <v>20</v>
      </c>
      <c r="C551" s="2" t="s">
        <v>112</v>
      </c>
      <c r="D551" s="2" t="s">
        <v>22</v>
      </c>
      <c r="E551" s="2" t="s">
        <v>23</v>
      </c>
      <c r="F551" s="2" t="s">
        <v>72</v>
      </c>
      <c r="G551">
        <v>82</v>
      </c>
      <c r="H551">
        <v>520</v>
      </c>
      <c r="I551">
        <v>26</v>
      </c>
      <c r="J551" s="3">
        <v>6388300</v>
      </c>
      <c r="K551" s="3">
        <v>166095800</v>
      </c>
      <c r="L551" s="2" t="s">
        <v>25</v>
      </c>
      <c r="M551" s="2" t="s">
        <v>77</v>
      </c>
      <c r="N551">
        <v>2023</v>
      </c>
      <c r="O551" s="2" t="s">
        <v>148</v>
      </c>
      <c r="P551" s="2" t="s">
        <v>149</v>
      </c>
      <c r="Q551">
        <v>7</v>
      </c>
      <c r="R551" s="4">
        <v>45108</v>
      </c>
      <c r="S551" s="3">
        <v>6388300</v>
      </c>
      <c r="T551" s="3">
        <v>16.61</v>
      </c>
    </row>
    <row r="552" spans="1:20" hidden="1" x14ac:dyDescent="0.3">
      <c r="A552" s="1">
        <v>45126</v>
      </c>
      <c r="B552" s="2" t="s">
        <v>108</v>
      </c>
      <c r="C552" s="2" t="s">
        <v>131</v>
      </c>
      <c r="D552" s="2" t="s">
        <v>94</v>
      </c>
      <c r="E552" s="2" t="s">
        <v>140</v>
      </c>
      <c r="F552" s="2" t="s">
        <v>24</v>
      </c>
      <c r="G552">
        <v>35</v>
      </c>
      <c r="H552">
        <v>32</v>
      </c>
      <c r="I552">
        <v>145</v>
      </c>
      <c r="J552" s="3">
        <v>2146700</v>
      </c>
      <c r="K552" s="3">
        <v>311271500</v>
      </c>
      <c r="L552" s="2" t="s">
        <v>33</v>
      </c>
      <c r="M552" s="2" t="s">
        <v>77</v>
      </c>
      <c r="N552">
        <v>2023</v>
      </c>
      <c r="O552" s="2" t="s">
        <v>148</v>
      </c>
      <c r="P552" s="2" t="s">
        <v>149</v>
      </c>
      <c r="Q552">
        <v>7</v>
      </c>
      <c r="R552" s="4">
        <v>45108</v>
      </c>
      <c r="S552" s="3">
        <v>2146700</v>
      </c>
      <c r="T552" s="3">
        <v>31.13</v>
      </c>
    </row>
    <row r="553" spans="1:20" hidden="1" x14ac:dyDescent="0.3">
      <c r="A553" s="1">
        <v>45126</v>
      </c>
      <c r="B553" s="2" t="s">
        <v>40</v>
      </c>
      <c r="C553" s="2" t="s">
        <v>78</v>
      </c>
      <c r="D553" s="2" t="s">
        <v>31</v>
      </c>
      <c r="E553" s="2" t="s">
        <v>32</v>
      </c>
      <c r="F553" s="2" t="s">
        <v>24</v>
      </c>
      <c r="G553">
        <v>4</v>
      </c>
      <c r="H553">
        <v>195</v>
      </c>
      <c r="I553">
        <v>80</v>
      </c>
      <c r="J553" s="3">
        <v>150100</v>
      </c>
      <c r="K553" s="3">
        <v>12008000</v>
      </c>
      <c r="L553" s="2" t="s">
        <v>33</v>
      </c>
      <c r="M553" s="2" t="s">
        <v>26</v>
      </c>
      <c r="N553">
        <v>2023</v>
      </c>
      <c r="O553" s="2" t="s">
        <v>148</v>
      </c>
      <c r="P553" s="2" t="s">
        <v>149</v>
      </c>
      <c r="Q553">
        <v>7</v>
      </c>
      <c r="R553" s="4">
        <v>45108</v>
      </c>
      <c r="S553" s="3">
        <v>150100</v>
      </c>
      <c r="T553" s="3">
        <v>1.2</v>
      </c>
    </row>
    <row r="554" spans="1:20" hidden="1" x14ac:dyDescent="0.3">
      <c r="A554" s="1">
        <v>45126</v>
      </c>
      <c r="B554" s="2" t="s">
        <v>44</v>
      </c>
      <c r="C554" s="2" t="s">
        <v>45</v>
      </c>
      <c r="D554" s="2" t="s">
        <v>82</v>
      </c>
      <c r="E554" s="2" t="s">
        <v>141</v>
      </c>
      <c r="F554" s="2" t="s">
        <v>24</v>
      </c>
      <c r="G554">
        <v>59</v>
      </c>
      <c r="H554">
        <v>55</v>
      </c>
      <c r="I554">
        <v>152</v>
      </c>
      <c r="J554" s="3">
        <v>2229200</v>
      </c>
      <c r="K554" s="3">
        <v>338838400</v>
      </c>
      <c r="L554" s="2" t="s">
        <v>25</v>
      </c>
      <c r="M554" s="2" t="s">
        <v>26</v>
      </c>
      <c r="N554">
        <v>2023</v>
      </c>
      <c r="O554" s="2" t="s">
        <v>148</v>
      </c>
      <c r="P554" s="2" t="s">
        <v>149</v>
      </c>
      <c r="Q554">
        <v>7</v>
      </c>
      <c r="R554" s="4">
        <v>45108</v>
      </c>
      <c r="S554" s="3">
        <v>2229200</v>
      </c>
      <c r="T554" s="3">
        <v>33.880000000000003</v>
      </c>
    </row>
    <row r="555" spans="1:20" hidden="1" x14ac:dyDescent="0.3">
      <c r="A555" s="1">
        <v>45127</v>
      </c>
      <c r="B555" s="2" t="s">
        <v>75</v>
      </c>
      <c r="C555" s="2" t="s">
        <v>76</v>
      </c>
      <c r="D555" s="2" t="s">
        <v>82</v>
      </c>
      <c r="E555" s="2" t="s">
        <v>83</v>
      </c>
      <c r="F555" s="2" t="s">
        <v>72</v>
      </c>
      <c r="G555">
        <v>40</v>
      </c>
      <c r="H555">
        <v>39</v>
      </c>
      <c r="I555">
        <v>156</v>
      </c>
      <c r="J555" s="3">
        <v>2110100</v>
      </c>
      <c r="K555" s="3">
        <v>329175600</v>
      </c>
      <c r="L555" s="2" t="s">
        <v>33</v>
      </c>
      <c r="M555" s="2" t="s">
        <v>97</v>
      </c>
      <c r="N555">
        <v>2023</v>
      </c>
      <c r="O555" s="2" t="s">
        <v>148</v>
      </c>
      <c r="P555" s="2" t="s">
        <v>149</v>
      </c>
      <c r="Q555">
        <v>7</v>
      </c>
      <c r="R555" s="4">
        <v>45108</v>
      </c>
      <c r="S555" s="3">
        <v>2110100</v>
      </c>
      <c r="T555" s="3">
        <v>32.92</v>
      </c>
    </row>
    <row r="556" spans="1:20" hidden="1" x14ac:dyDescent="0.3">
      <c r="A556" s="1">
        <v>45127</v>
      </c>
      <c r="B556" s="2" t="s">
        <v>35</v>
      </c>
      <c r="C556" s="2" t="s">
        <v>36</v>
      </c>
      <c r="D556" s="2" t="s">
        <v>70</v>
      </c>
      <c r="E556" s="2" t="s">
        <v>74</v>
      </c>
      <c r="F556" s="2" t="s">
        <v>24</v>
      </c>
      <c r="G556">
        <v>25</v>
      </c>
      <c r="H556">
        <v>32</v>
      </c>
      <c r="I556">
        <v>117</v>
      </c>
      <c r="J556" s="3">
        <v>1015100</v>
      </c>
      <c r="K556" s="3">
        <v>118766700</v>
      </c>
      <c r="L556" s="2" t="s">
        <v>25</v>
      </c>
      <c r="M556" s="2" t="s">
        <v>77</v>
      </c>
      <c r="N556">
        <v>2023</v>
      </c>
      <c r="O556" s="2" t="s">
        <v>148</v>
      </c>
      <c r="P556" s="2" t="s">
        <v>149</v>
      </c>
      <c r="Q556">
        <v>7</v>
      </c>
      <c r="R556" s="4">
        <v>45108</v>
      </c>
      <c r="S556" s="3">
        <v>1015100</v>
      </c>
      <c r="T556" s="3">
        <v>11.88</v>
      </c>
    </row>
    <row r="557" spans="1:20" hidden="1" x14ac:dyDescent="0.3">
      <c r="A557" s="1">
        <v>45128</v>
      </c>
      <c r="B557" s="2" t="s">
        <v>59</v>
      </c>
      <c r="C557" s="2" t="s">
        <v>129</v>
      </c>
      <c r="D557" s="2" t="s">
        <v>42</v>
      </c>
      <c r="E557" s="2" t="s">
        <v>43</v>
      </c>
      <c r="F557" s="2" t="s">
        <v>24</v>
      </c>
      <c r="G557">
        <v>3</v>
      </c>
      <c r="H557">
        <v>135</v>
      </c>
      <c r="I557">
        <v>75</v>
      </c>
      <c r="J557" s="3">
        <v>133600</v>
      </c>
      <c r="K557" s="3">
        <v>10020000</v>
      </c>
      <c r="L557" s="2" t="s">
        <v>33</v>
      </c>
      <c r="M557" s="2" t="s">
        <v>26</v>
      </c>
      <c r="N557">
        <v>2023</v>
      </c>
      <c r="O557" s="2" t="s">
        <v>148</v>
      </c>
      <c r="P557" s="2" t="s">
        <v>149</v>
      </c>
      <c r="Q557">
        <v>7</v>
      </c>
      <c r="R557" s="4">
        <v>45108</v>
      </c>
      <c r="S557" s="3">
        <v>133600</v>
      </c>
      <c r="T557" s="3">
        <v>1</v>
      </c>
    </row>
    <row r="558" spans="1:20" hidden="1" x14ac:dyDescent="0.3">
      <c r="A558" s="1">
        <v>45128</v>
      </c>
      <c r="B558" s="2" t="s">
        <v>48</v>
      </c>
      <c r="C558" s="2" t="s">
        <v>73</v>
      </c>
      <c r="D558" s="2" t="s">
        <v>57</v>
      </c>
      <c r="E558" s="2" t="s">
        <v>86</v>
      </c>
      <c r="F558" s="2" t="s">
        <v>39</v>
      </c>
      <c r="G558">
        <v>48</v>
      </c>
      <c r="H558">
        <v>39</v>
      </c>
      <c r="I558">
        <v>123</v>
      </c>
      <c r="J558" s="3">
        <v>2138200</v>
      </c>
      <c r="K558" s="3">
        <v>262998600</v>
      </c>
      <c r="L558" s="2" t="s">
        <v>25</v>
      </c>
      <c r="M558" s="2" t="s">
        <v>26</v>
      </c>
      <c r="N558">
        <v>2023</v>
      </c>
      <c r="O558" s="2" t="s">
        <v>148</v>
      </c>
      <c r="P558" s="2" t="s">
        <v>149</v>
      </c>
      <c r="Q558">
        <v>7</v>
      </c>
      <c r="R558" s="4">
        <v>45108</v>
      </c>
      <c r="S558" s="3">
        <v>2138200</v>
      </c>
      <c r="T558" s="3">
        <v>26.3</v>
      </c>
    </row>
    <row r="559" spans="1:20" hidden="1" x14ac:dyDescent="0.3">
      <c r="A559" s="1">
        <v>45128</v>
      </c>
      <c r="B559" s="2" t="s">
        <v>90</v>
      </c>
      <c r="C559" s="2" t="s">
        <v>114</v>
      </c>
      <c r="D559" s="2" t="s">
        <v>63</v>
      </c>
      <c r="E559" s="2" t="s">
        <v>64</v>
      </c>
      <c r="F559" s="2" t="s">
        <v>24</v>
      </c>
      <c r="G559">
        <v>3</v>
      </c>
      <c r="H559">
        <v>127</v>
      </c>
      <c r="I559">
        <v>150</v>
      </c>
      <c r="J559" s="3">
        <v>157000</v>
      </c>
      <c r="K559" s="3">
        <v>23550000</v>
      </c>
      <c r="L559" s="2" t="s">
        <v>33</v>
      </c>
      <c r="M559" s="2" t="s">
        <v>26</v>
      </c>
      <c r="N559">
        <v>2023</v>
      </c>
      <c r="O559" s="2" t="s">
        <v>148</v>
      </c>
      <c r="P559" s="2" t="s">
        <v>149</v>
      </c>
      <c r="Q559">
        <v>7</v>
      </c>
      <c r="R559" s="4">
        <v>45108</v>
      </c>
      <c r="S559" s="3">
        <v>157000</v>
      </c>
      <c r="T559" s="3">
        <v>2.36</v>
      </c>
    </row>
    <row r="560" spans="1:20" hidden="1" x14ac:dyDescent="0.3">
      <c r="A560" s="1">
        <v>45129</v>
      </c>
      <c r="B560" s="2" t="s">
        <v>35</v>
      </c>
      <c r="C560" s="2" t="s">
        <v>121</v>
      </c>
      <c r="D560" s="2" t="s">
        <v>42</v>
      </c>
      <c r="E560" s="2" t="s">
        <v>43</v>
      </c>
      <c r="F560" s="2" t="s">
        <v>24</v>
      </c>
      <c r="G560">
        <v>3</v>
      </c>
      <c r="H560">
        <v>135</v>
      </c>
      <c r="I560">
        <v>62</v>
      </c>
      <c r="J560" s="3">
        <v>115700</v>
      </c>
      <c r="K560" s="3">
        <v>7173400</v>
      </c>
      <c r="L560" s="2" t="s">
        <v>33</v>
      </c>
      <c r="M560" s="2" t="s">
        <v>26</v>
      </c>
      <c r="N560">
        <v>2023</v>
      </c>
      <c r="O560" s="2" t="s">
        <v>148</v>
      </c>
      <c r="P560" s="2" t="s">
        <v>149</v>
      </c>
      <c r="Q560">
        <v>7</v>
      </c>
      <c r="R560" s="4">
        <v>45108</v>
      </c>
      <c r="S560" s="3">
        <v>115700</v>
      </c>
      <c r="T560" s="3">
        <v>0.72</v>
      </c>
    </row>
    <row r="561" spans="1:20" hidden="1" x14ac:dyDescent="0.3">
      <c r="A561" s="1">
        <v>45129</v>
      </c>
      <c r="B561" s="2" t="s">
        <v>59</v>
      </c>
      <c r="C561" s="2" t="s">
        <v>129</v>
      </c>
      <c r="D561" s="2" t="s">
        <v>37</v>
      </c>
      <c r="E561" s="2" t="s">
        <v>38</v>
      </c>
      <c r="F561" s="2" t="s">
        <v>72</v>
      </c>
      <c r="G561">
        <v>66</v>
      </c>
      <c r="H561">
        <v>423</v>
      </c>
      <c r="I561">
        <v>30</v>
      </c>
      <c r="J561" s="3">
        <v>9258700</v>
      </c>
      <c r="K561" s="3">
        <v>277761000</v>
      </c>
      <c r="L561" s="2" t="s">
        <v>33</v>
      </c>
      <c r="M561" s="2" t="s">
        <v>77</v>
      </c>
      <c r="N561">
        <v>2023</v>
      </c>
      <c r="O561" s="2" t="s">
        <v>148</v>
      </c>
      <c r="P561" s="2" t="s">
        <v>149</v>
      </c>
      <c r="Q561">
        <v>7</v>
      </c>
      <c r="R561" s="4">
        <v>45108</v>
      </c>
      <c r="S561" s="3">
        <v>9258700</v>
      </c>
      <c r="T561" s="3">
        <v>27.78</v>
      </c>
    </row>
    <row r="562" spans="1:20" hidden="1" x14ac:dyDescent="0.3">
      <c r="A562" s="1">
        <v>45129</v>
      </c>
      <c r="B562" s="2" t="s">
        <v>40</v>
      </c>
      <c r="C562" s="2" t="s">
        <v>78</v>
      </c>
      <c r="D562" s="2" t="s">
        <v>94</v>
      </c>
      <c r="E562" s="2" t="s">
        <v>115</v>
      </c>
      <c r="F562" s="2" t="s">
        <v>24</v>
      </c>
      <c r="G562">
        <v>24</v>
      </c>
      <c r="H562">
        <v>24</v>
      </c>
      <c r="I562">
        <v>88</v>
      </c>
      <c r="J562" s="3">
        <v>1656100</v>
      </c>
      <c r="K562" s="3">
        <v>145736800</v>
      </c>
      <c r="L562" s="2" t="s">
        <v>33</v>
      </c>
      <c r="M562" s="2" t="s">
        <v>26</v>
      </c>
      <c r="N562">
        <v>2023</v>
      </c>
      <c r="O562" s="2" t="s">
        <v>148</v>
      </c>
      <c r="P562" s="2" t="s">
        <v>149</v>
      </c>
      <c r="Q562">
        <v>7</v>
      </c>
      <c r="R562" s="4">
        <v>45108</v>
      </c>
      <c r="S562" s="3">
        <v>1656100</v>
      </c>
      <c r="T562" s="3">
        <v>14.57</v>
      </c>
    </row>
    <row r="563" spans="1:20" hidden="1" x14ac:dyDescent="0.3">
      <c r="A563" s="1">
        <v>45130</v>
      </c>
      <c r="B563" s="2" t="s">
        <v>40</v>
      </c>
      <c r="C563" s="2" t="s">
        <v>78</v>
      </c>
      <c r="D563" s="2" t="s">
        <v>94</v>
      </c>
      <c r="E563" s="2" t="s">
        <v>140</v>
      </c>
      <c r="F563" s="2" t="s">
        <v>24</v>
      </c>
      <c r="G563">
        <v>35</v>
      </c>
      <c r="H563">
        <v>32</v>
      </c>
      <c r="I563">
        <v>155</v>
      </c>
      <c r="J563" s="3">
        <v>1651500</v>
      </c>
      <c r="K563" s="3">
        <v>255982500</v>
      </c>
      <c r="L563" s="2" t="s">
        <v>25</v>
      </c>
      <c r="M563" s="2" t="s">
        <v>77</v>
      </c>
      <c r="N563">
        <v>2023</v>
      </c>
      <c r="O563" s="2" t="s">
        <v>148</v>
      </c>
      <c r="P563" s="2" t="s">
        <v>149</v>
      </c>
      <c r="Q563">
        <v>7</v>
      </c>
      <c r="R563" s="4">
        <v>45108</v>
      </c>
      <c r="S563" s="3">
        <v>1651500</v>
      </c>
      <c r="T563" s="3">
        <v>25.6</v>
      </c>
    </row>
    <row r="564" spans="1:20" hidden="1" x14ac:dyDescent="0.3">
      <c r="A564" s="1">
        <v>45130</v>
      </c>
      <c r="B564" s="2" t="s">
        <v>40</v>
      </c>
      <c r="C564" s="2" t="s">
        <v>41</v>
      </c>
      <c r="D564" s="2" t="s">
        <v>67</v>
      </c>
      <c r="E564" s="2" t="s">
        <v>118</v>
      </c>
      <c r="F564" s="2" t="s">
        <v>39</v>
      </c>
      <c r="G564">
        <v>84</v>
      </c>
      <c r="H564">
        <v>590</v>
      </c>
      <c r="I564">
        <v>17</v>
      </c>
      <c r="J564" s="3">
        <v>8432800</v>
      </c>
      <c r="K564" s="3">
        <v>143357600</v>
      </c>
      <c r="L564" s="2" t="s">
        <v>33</v>
      </c>
      <c r="M564" s="2" t="s">
        <v>77</v>
      </c>
      <c r="N564">
        <v>2023</v>
      </c>
      <c r="O564" s="2" t="s">
        <v>148</v>
      </c>
      <c r="P564" s="2" t="s">
        <v>149</v>
      </c>
      <c r="Q564">
        <v>7</v>
      </c>
      <c r="R564" s="4">
        <v>45108</v>
      </c>
      <c r="S564" s="3">
        <v>8432800</v>
      </c>
      <c r="T564" s="3">
        <v>14.34</v>
      </c>
    </row>
    <row r="565" spans="1:20" hidden="1" x14ac:dyDescent="0.3">
      <c r="A565" s="1">
        <v>45131</v>
      </c>
      <c r="B565" s="2" t="s">
        <v>61</v>
      </c>
      <c r="C565" s="2" t="s">
        <v>127</v>
      </c>
      <c r="D565" s="2" t="s">
        <v>79</v>
      </c>
      <c r="E565" s="2" t="s">
        <v>80</v>
      </c>
      <c r="F565" s="2" t="s">
        <v>39</v>
      </c>
      <c r="G565">
        <v>69</v>
      </c>
      <c r="H565">
        <v>418</v>
      </c>
      <c r="I565">
        <v>26</v>
      </c>
      <c r="J565" s="3">
        <v>5400900</v>
      </c>
      <c r="K565" s="3">
        <v>140423400</v>
      </c>
      <c r="L565" s="2" t="s">
        <v>33</v>
      </c>
      <c r="M565" s="2" t="s">
        <v>26</v>
      </c>
      <c r="N565">
        <v>2023</v>
      </c>
      <c r="O565" s="2" t="s">
        <v>148</v>
      </c>
      <c r="P565" s="2" t="s">
        <v>149</v>
      </c>
      <c r="Q565">
        <v>7</v>
      </c>
      <c r="R565" s="4">
        <v>45108</v>
      </c>
      <c r="S565" s="3">
        <v>5400900</v>
      </c>
      <c r="T565" s="3">
        <v>14.04</v>
      </c>
    </row>
    <row r="566" spans="1:20" hidden="1" x14ac:dyDescent="0.3">
      <c r="A566" s="1">
        <v>45132</v>
      </c>
      <c r="B566" s="2" t="s">
        <v>48</v>
      </c>
      <c r="C566" s="2" t="s">
        <v>49</v>
      </c>
      <c r="D566" s="2" t="s">
        <v>37</v>
      </c>
      <c r="E566" s="2" t="s">
        <v>38</v>
      </c>
      <c r="F566" s="2" t="s">
        <v>24</v>
      </c>
      <c r="G566">
        <v>66</v>
      </c>
      <c r="H566">
        <v>423</v>
      </c>
      <c r="I566">
        <v>40</v>
      </c>
      <c r="J566" s="3">
        <v>8821400</v>
      </c>
      <c r="K566" s="3">
        <v>352856000</v>
      </c>
      <c r="L566" s="2" t="s">
        <v>33</v>
      </c>
      <c r="M566" s="2" t="s">
        <v>77</v>
      </c>
      <c r="N566">
        <v>2023</v>
      </c>
      <c r="O566" s="2" t="s">
        <v>148</v>
      </c>
      <c r="P566" s="2" t="s">
        <v>149</v>
      </c>
      <c r="Q566">
        <v>7</v>
      </c>
      <c r="R566" s="4">
        <v>45108</v>
      </c>
      <c r="S566" s="3">
        <v>8821400</v>
      </c>
      <c r="T566" s="3">
        <v>35.29</v>
      </c>
    </row>
    <row r="567" spans="1:20" hidden="1" x14ac:dyDescent="0.3">
      <c r="A567" s="1">
        <v>45132</v>
      </c>
      <c r="B567" s="2" t="s">
        <v>29</v>
      </c>
      <c r="C567" s="2" t="s">
        <v>96</v>
      </c>
      <c r="D567" s="2" t="s">
        <v>22</v>
      </c>
      <c r="E567" s="2" t="s">
        <v>23</v>
      </c>
      <c r="F567" s="2" t="s">
        <v>24</v>
      </c>
      <c r="G567">
        <v>82</v>
      </c>
      <c r="H567">
        <v>520</v>
      </c>
      <c r="I567">
        <v>41</v>
      </c>
      <c r="J567" s="3">
        <v>7603900</v>
      </c>
      <c r="K567" s="3">
        <v>311759900</v>
      </c>
      <c r="L567" s="2" t="s">
        <v>33</v>
      </c>
      <c r="M567" s="2" t="s">
        <v>77</v>
      </c>
      <c r="N567">
        <v>2023</v>
      </c>
      <c r="O567" s="2" t="s">
        <v>148</v>
      </c>
      <c r="P567" s="2" t="s">
        <v>149</v>
      </c>
      <c r="Q567">
        <v>7</v>
      </c>
      <c r="R567" s="4">
        <v>45108</v>
      </c>
      <c r="S567" s="3">
        <v>7603900</v>
      </c>
      <c r="T567" s="3">
        <v>31.18</v>
      </c>
    </row>
    <row r="568" spans="1:20" hidden="1" x14ac:dyDescent="0.3">
      <c r="A568" s="1">
        <v>45132</v>
      </c>
      <c r="B568" s="2" t="s">
        <v>35</v>
      </c>
      <c r="C568" s="2" t="s">
        <v>121</v>
      </c>
      <c r="D568" s="2" t="s">
        <v>88</v>
      </c>
      <c r="E568" s="2" t="s">
        <v>111</v>
      </c>
      <c r="F568" s="2" t="s">
        <v>24</v>
      </c>
      <c r="G568">
        <v>60</v>
      </c>
      <c r="H568">
        <v>480</v>
      </c>
      <c r="I568">
        <v>33</v>
      </c>
      <c r="J568" s="3">
        <v>2951400</v>
      </c>
      <c r="K568" s="3">
        <v>97396200</v>
      </c>
      <c r="L568" s="2" t="s">
        <v>92</v>
      </c>
      <c r="M568" s="2" t="s">
        <v>26</v>
      </c>
      <c r="N568">
        <v>2023</v>
      </c>
      <c r="O568" s="2" t="s">
        <v>148</v>
      </c>
      <c r="P568" s="2" t="s">
        <v>149</v>
      </c>
      <c r="Q568">
        <v>7</v>
      </c>
      <c r="R568" s="4">
        <v>45108</v>
      </c>
      <c r="S568" s="3">
        <v>2951400</v>
      </c>
      <c r="T568" s="3">
        <v>9.74</v>
      </c>
    </row>
    <row r="569" spans="1:20" hidden="1" x14ac:dyDescent="0.3">
      <c r="A569" s="1">
        <v>45132</v>
      </c>
      <c r="B569" s="2" t="s">
        <v>20</v>
      </c>
      <c r="C569" s="2" t="s">
        <v>21</v>
      </c>
      <c r="D569" s="2" t="s">
        <v>63</v>
      </c>
      <c r="E569" s="2" t="s">
        <v>64</v>
      </c>
      <c r="F569" s="2" t="s">
        <v>24</v>
      </c>
      <c r="G569">
        <v>3</v>
      </c>
      <c r="H569">
        <v>127</v>
      </c>
      <c r="I569">
        <v>18</v>
      </c>
      <c r="J569" s="3">
        <v>174300</v>
      </c>
      <c r="K569" s="3">
        <v>3137400</v>
      </c>
      <c r="L569" s="2" t="s">
        <v>33</v>
      </c>
      <c r="M569" s="2" t="s">
        <v>26</v>
      </c>
      <c r="N569">
        <v>2023</v>
      </c>
      <c r="O569" s="2" t="s">
        <v>148</v>
      </c>
      <c r="P569" s="2" t="s">
        <v>149</v>
      </c>
      <c r="Q569">
        <v>7</v>
      </c>
      <c r="R569" s="4">
        <v>45108</v>
      </c>
      <c r="S569" s="3">
        <v>174300</v>
      </c>
      <c r="T569" s="3">
        <v>0.31</v>
      </c>
    </row>
    <row r="570" spans="1:20" hidden="1" x14ac:dyDescent="0.3">
      <c r="A570" s="1">
        <v>45133</v>
      </c>
      <c r="B570" s="2" t="s">
        <v>84</v>
      </c>
      <c r="C570" s="2" t="s">
        <v>113</v>
      </c>
      <c r="D570" s="2" t="s">
        <v>31</v>
      </c>
      <c r="E570" s="2" t="s">
        <v>124</v>
      </c>
      <c r="F570" s="2" t="s">
        <v>24</v>
      </c>
      <c r="G570">
        <v>3</v>
      </c>
      <c r="H570">
        <v>151</v>
      </c>
      <c r="I570">
        <v>60</v>
      </c>
      <c r="J570" s="3">
        <v>94500</v>
      </c>
      <c r="K570" s="3">
        <v>5670000</v>
      </c>
      <c r="L570" s="2" t="s">
        <v>33</v>
      </c>
      <c r="M570" s="2" t="s">
        <v>77</v>
      </c>
      <c r="N570">
        <v>2023</v>
      </c>
      <c r="O570" s="2" t="s">
        <v>148</v>
      </c>
      <c r="P570" s="2" t="s">
        <v>149</v>
      </c>
      <c r="Q570">
        <v>7</v>
      </c>
      <c r="R570" s="4">
        <v>45108</v>
      </c>
      <c r="S570" s="3">
        <v>94500</v>
      </c>
      <c r="T570" s="3">
        <v>0.56999999999999995</v>
      </c>
    </row>
    <row r="571" spans="1:20" hidden="1" x14ac:dyDescent="0.3">
      <c r="A571" s="1">
        <v>45133</v>
      </c>
      <c r="B571" s="2" t="s">
        <v>46</v>
      </c>
      <c r="C571" s="2" t="s">
        <v>47</v>
      </c>
      <c r="D571" s="2" t="s">
        <v>22</v>
      </c>
      <c r="E571" s="2" t="s">
        <v>23</v>
      </c>
      <c r="F571" s="2" t="s">
        <v>24</v>
      </c>
      <c r="G571">
        <v>82</v>
      </c>
      <c r="H571">
        <v>520</v>
      </c>
      <c r="I571">
        <v>11</v>
      </c>
      <c r="J571" s="3">
        <v>6221400</v>
      </c>
      <c r="K571" s="3">
        <v>68435400</v>
      </c>
      <c r="L571" s="2" t="s">
        <v>33</v>
      </c>
      <c r="M571" s="2" t="s">
        <v>34</v>
      </c>
      <c r="N571">
        <v>2023</v>
      </c>
      <c r="O571" s="2" t="s">
        <v>148</v>
      </c>
      <c r="P571" s="2" t="s">
        <v>149</v>
      </c>
      <c r="Q571">
        <v>7</v>
      </c>
      <c r="R571" s="4">
        <v>45108</v>
      </c>
      <c r="S571" s="3">
        <v>6221400</v>
      </c>
      <c r="T571" s="3">
        <v>6.84</v>
      </c>
    </row>
    <row r="572" spans="1:20" hidden="1" x14ac:dyDescent="0.3">
      <c r="A572" s="1">
        <v>45133</v>
      </c>
      <c r="B572" s="2" t="s">
        <v>84</v>
      </c>
      <c r="C572" s="2" t="s">
        <v>113</v>
      </c>
      <c r="D572" s="2" t="s">
        <v>63</v>
      </c>
      <c r="E572" s="2" t="s">
        <v>64</v>
      </c>
      <c r="F572" s="2" t="s">
        <v>24</v>
      </c>
      <c r="G572">
        <v>3</v>
      </c>
      <c r="H572">
        <v>127</v>
      </c>
      <c r="I572">
        <v>51</v>
      </c>
      <c r="J572" s="3">
        <v>142400</v>
      </c>
      <c r="K572" s="3">
        <v>7262400</v>
      </c>
      <c r="L572" s="2" t="s">
        <v>25</v>
      </c>
      <c r="M572" s="2" t="s">
        <v>26</v>
      </c>
      <c r="N572">
        <v>2023</v>
      </c>
      <c r="O572" s="2" t="s">
        <v>148</v>
      </c>
      <c r="P572" s="2" t="s">
        <v>149</v>
      </c>
      <c r="Q572">
        <v>7</v>
      </c>
      <c r="R572" s="4">
        <v>45108</v>
      </c>
      <c r="S572" s="3">
        <v>142400</v>
      </c>
      <c r="T572" s="3">
        <v>0.73</v>
      </c>
    </row>
    <row r="573" spans="1:20" hidden="1" x14ac:dyDescent="0.3">
      <c r="A573" s="1">
        <v>45133</v>
      </c>
      <c r="B573" s="2" t="s">
        <v>29</v>
      </c>
      <c r="C573" s="2" t="s">
        <v>104</v>
      </c>
      <c r="D573" s="2" t="s">
        <v>37</v>
      </c>
      <c r="E573" s="2" t="s">
        <v>38</v>
      </c>
      <c r="F573" s="2" t="s">
        <v>24</v>
      </c>
      <c r="G573">
        <v>66</v>
      </c>
      <c r="H573">
        <v>423</v>
      </c>
      <c r="I573">
        <v>3</v>
      </c>
      <c r="J573" s="3">
        <v>7773900</v>
      </c>
      <c r="K573" s="3">
        <v>23321700</v>
      </c>
      <c r="L573" s="2" t="s">
        <v>25</v>
      </c>
      <c r="M573" s="2" t="s">
        <v>34</v>
      </c>
      <c r="N573">
        <v>2023</v>
      </c>
      <c r="O573" s="2" t="s">
        <v>148</v>
      </c>
      <c r="P573" s="2" t="s">
        <v>149</v>
      </c>
      <c r="Q573">
        <v>7</v>
      </c>
      <c r="R573" s="4">
        <v>45108</v>
      </c>
      <c r="S573" s="3">
        <v>7773900</v>
      </c>
      <c r="T573" s="3">
        <v>2.33</v>
      </c>
    </row>
    <row r="574" spans="1:20" hidden="1" x14ac:dyDescent="0.3">
      <c r="A574" s="1">
        <v>45134</v>
      </c>
      <c r="B574" s="2" t="s">
        <v>29</v>
      </c>
      <c r="C574" s="2" t="s">
        <v>96</v>
      </c>
      <c r="D574" s="2" t="s">
        <v>22</v>
      </c>
      <c r="E574" s="2" t="s">
        <v>23</v>
      </c>
      <c r="F574" s="2" t="s">
        <v>24</v>
      </c>
      <c r="G574">
        <v>82</v>
      </c>
      <c r="H574">
        <v>520</v>
      </c>
      <c r="I574">
        <v>46</v>
      </c>
      <c r="J574" s="3">
        <v>5974200</v>
      </c>
      <c r="K574" s="3">
        <v>274813200</v>
      </c>
      <c r="L574" s="2" t="s">
        <v>33</v>
      </c>
      <c r="M574" s="2" t="s">
        <v>77</v>
      </c>
      <c r="N574">
        <v>2023</v>
      </c>
      <c r="O574" s="2" t="s">
        <v>148</v>
      </c>
      <c r="P574" s="2" t="s">
        <v>149</v>
      </c>
      <c r="Q574">
        <v>7</v>
      </c>
      <c r="R574" s="4">
        <v>45108</v>
      </c>
      <c r="S574" s="3">
        <v>5974200</v>
      </c>
      <c r="T574" s="3">
        <v>27.48</v>
      </c>
    </row>
    <row r="575" spans="1:20" hidden="1" x14ac:dyDescent="0.3">
      <c r="A575" s="1">
        <v>45134</v>
      </c>
      <c r="B575" s="2" t="s">
        <v>90</v>
      </c>
      <c r="C575" s="2" t="s">
        <v>99</v>
      </c>
      <c r="D575" s="2" t="s">
        <v>37</v>
      </c>
      <c r="E575" s="2" t="s">
        <v>38</v>
      </c>
      <c r="F575" s="2" t="s">
        <v>24</v>
      </c>
      <c r="G575">
        <v>66</v>
      </c>
      <c r="H575">
        <v>423</v>
      </c>
      <c r="I575">
        <v>24</v>
      </c>
      <c r="J575" s="3">
        <v>8576200</v>
      </c>
      <c r="K575" s="3">
        <v>205828800</v>
      </c>
      <c r="L575" s="2" t="s">
        <v>33</v>
      </c>
      <c r="M575" s="2" t="s">
        <v>77</v>
      </c>
      <c r="N575">
        <v>2023</v>
      </c>
      <c r="O575" s="2" t="s">
        <v>148</v>
      </c>
      <c r="P575" s="2" t="s">
        <v>149</v>
      </c>
      <c r="Q575">
        <v>7</v>
      </c>
      <c r="R575" s="4">
        <v>45108</v>
      </c>
      <c r="S575" s="3">
        <v>8576200</v>
      </c>
      <c r="T575" s="3">
        <v>20.58</v>
      </c>
    </row>
    <row r="576" spans="1:20" hidden="1" x14ac:dyDescent="0.3">
      <c r="A576" s="1">
        <v>45134</v>
      </c>
      <c r="B576" s="2" t="s">
        <v>35</v>
      </c>
      <c r="C576" s="2" t="s">
        <v>121</v>
      </c>
      <c r="D576" s="2" t="s">
        <v>54</v>
      </c>
      <c r="E576" s="2" t="s">
        <v>55</v>
      </c>
      <c r="F576" s="2" t="s">
        <v>24</v>
      </c>
      <c r="G576">
        <v>30</v>
      </c>
      <c r="H576">
        <v>320</v>
      </c>
      <c r="I576">
        <v>15</v>
      </c>
      <c r="J576" s="3">
        <v>1225900</v>
      </c>
      <c r="K576" s="3">
        <v>18388500</v>
      </c>
      <c r="L576" s="2" t="s">
        <v>33</v>
      </c>
      <c r="M576" s="2" t="s">
        <v>26</v>
      </c>
      <c r="N576">
        <v>2023</v>
      </c>
      <c r="O576" s="2" t="s">
        <v>148</v>
      </c>
      <c r="P576" s="2" t="s">
        <v>149</v>
      </c>
      <c r="Q576">
        <v>7</v>
      </c>
      <c r="R576" s="4">
        <v>45108</v>
      </c>
      <c r="S576" s="3">
        <v>1225900</v>
      </c>
      <c r="T576" s="3">
        <v>1.84</v>
      </c>
    </row>
    <row r="577" spans="1:20" hidden="1" x14ac:dyDescent="0.3">
      <c r="A577" s="1">
        <v>45134</v>
      </c>
      <c r="B577" s="2" t="s">
        <v>108</v>
      </c>
      <c r="C577" s="2" t="s">
        <v>109</v>
      </c>
      <c r="D577" s="2" t="s">
        <v>22</v>
      </c>
      <c r="E577" s="2" t="s">
        <v>23</v>
      </c>
      <c r="F577" s="2" t="s">
        <v>24</v>
      </c>
      <c r="G577">
        <v>82</v>
      </c>
      <c r="H577">
        <v>520</v>
      </c>
      <c r="I577">
        <v>16</v>
      </c>
      <c r="J577" s="3">
        <v>6943700</v>
      </c>
      <c r="K577" s="3">
        <v>111099200</v>
      </c>
      <c r="L577" s="2" t="s">
        <v>33</v>
      </c>
      <c r="M577" s="2" t="s">
        <v>34</v>
      </c>
      <c r="N577">
        <v>2023</v>
      </c>
      <c r="O577" s="2" t="s">
        <v>148</v>
      </c>
      <c r="P577" s="2" t="s">
        <v>149</v>
      </c>
      <c r="Q577">
        <v>7</v>
      </c>
      <c r="R577" s="4">
        <v>45108</v>
      </c>
      <c r="S577" s="3">
        <v>6943700</v>
      </c>
      <c r="T577" s="3">
        <v>11.11</v>
      </c>
    </row>
    <row r="578" spans="1:20" hidden="1" x14ac:dyDescent="0.3">
      <c r="A578" s="1">
        <v>45134</v>
      </c>
      <c r="B578" s="2" t="s">
        <v>106</v>
      </c>
      <c r="C578" s="2" t="s">
        <v>107</v>
      </c>
      <c r="D578" s="2" t="s">
        <v>37</v>
      </c>
      <c r="E578" s="2" t="s">
        <v>38</v>
      </c>
      <c r="F578" s="2" t="s">
        <v>24</v>
      </c>
      <c r="G578">
        <v>66</v>
      </c>
      <c r="H578">
        <v>423</v>
      </c>
      <c r="I578">
        <v>35</v>
      </c>
      <c r="J578" s="3">
        <v>7970800</v>
      </c>
      <c r="K578" s="3">
        <v>278978000</v>
      </c>
      <c r="L578" s="2" t="s">
        <v>33</v>
      </c>
      <c r="M578" s="2" t="s">
        <v>26</v>
      </c>
      <c r="N578">
        <v>2023</v>
      </c>
      <c r="O578" s="2" t="s">
        <v>148</v>
      </c>
      <c r="P578" s="2" t="s">
        <v>149</v>
      </c>
      <c r="Q578">
        <v>7</v>
      </c>
      <c r="R578" s="4">
        <v>45108</v>
      </c>
      <c r="S578" s="3">
        <v>7970800</v>
      </c>
      <c r="T578" s="3">
        <v>27.9</v>
      </c>
    </row>
    <row r="579" spans="1:20" hidden="1" x14ac:dyDescent="0.3">
      <c r="A579" s="1">
        <v>45135</v>
      </c>
      <c r="B579" s="2" t="s">
        <v>46</v>
      </c>
      <c r="C579" s="2" t="s">
        <v>47</v>
      </c>
      <c r="D579" s="2" t="s">
        <v>82</v>
      </c>
      <c r="E579" s="2" t="s">
        <v>141</v>
      </c>
      <c r="F579" s="2" t="s">
        <v>24</v>
      </c>
      <c r="G579">
        <v>59</v>
      </c>
      <c r="H579">
        <v>55</v>
      </c>
      <c r="I579">
        <v>143</v>
      </c>
      <c r="J579" s="3">
        <v>3057600</v>
      </c>
      <c r="K579" s="3">
        <v>437236800</v>
      </c>
      <c r="L579" s="2" t="s">
        <v>33</v>
      </c>
      <c r="M579" s="2" t="s">
        <v>26</v>
      </c>
      <c r="N579">
        <v>2023</v>
      </c>
      <c r="O579" s="2" t="s">
        <v>148</v>
      </c>
      <c r="P579" s="2" t="s">
        <v>149</v>
      </c>
      <c r="Q579">
        <v>7</v>
      </c>
      <c r="R579" s="4">
        <v>45108</v>
      </c>
      <c r="S579" s="3">
        <v>3057600</v>
      </c>
      <c r="T579" s="3">
        <v>43.72</v>
      </c>
    </row>
    <row r="580" spans="1:20" hidden="1" x14ac:dyDescent="0.3">
      <c r="A580" s="1">
        <v>45135</v>
      </c>
      <c r="B580" s="2" t="s">
        <v>40</v>
      </c>
      <c r="C580" s="2" t="s">
        <v>136</v>
      </c>
      <c r="D580" s="2" t="s">
        <v>82</v>
      </c>
      <c r="E580" s="2" t="s">
        <v>83</v>
      </c>
      <c r="F580" s="2" t="s">
        <v>24</v>
      </c>
      <c r="G580">
        <v>40</v>
      </c>
      <c r="H580">
        <v>39</v>
      </c>
      <c r="I580">
        <v>14</v>
      </c>
      <c r="J580" s="3">
        <v>2508900</v>
      </c>
      <c r="K580" s="3">
        <v>35124600</v>
      </c>
      <c r="L580" s="2" t="s">
        <v>33</v>
      </c>
      <c r="M580" s="2" t="s">
        <v>77</v>
      </c>
      <c r="N580">
        <v>2023</v>
      </c>
      <c r="O580" s="2" t="s">
        <v>148</v>
      </c>
      <c r="P580" s="2" t="s">
        <v>149</v>
      </c>
      <c r="Q580">
        <v>7</v>
      </c>
      <c r="R580" s="4">
        <v>45108</v>
      </c>
      <c r="S580" s="3">
        <v>2508900</v>
      </c>
      <c r="T580" s="3">
        <v>3.51</v>
      </c>
    </row>
    <row r="581" spans="1:20" hidden="1" x14ac:dyDescent="0.3">
      <c r="A581" s="1">
        <v>45136</v>
      </c>
      <c r="B581" s="2" t="s">
        <v>84</v>
      </c>
      <c r="C581" s="2" t="s">
        <v>93</v>
      </c>
      <c r="D581" s="2" t="s">
        <v>31</v>
      </c>
      <c r="E581" s="2" t="s">
        <v>124</v>
      </c>
      <c r="F581" s="2" t="s">
        <v>24</v>
      </c>
      <c r="G581">
        <v>3</v>
      </c>
      <c r="H581">
        <v>151</v>
      </c>
      <c r="I581">
        <v>166</v>
      </c>
      <c r="J581" s="3">
        <v>120000</v>
      </c>
      <c r="K581" s="3">
        <v>19920000</v>
      </c>
      <c r="L581" s="2" t="s">
        <v>33</v>
      </c>
      <c r="M581" s="2" t="s">
        <v>26</v>
      </c>
      <c r="N581">
        <v>2023</v>
      </c>
      <c r="O581" s="2" t="s">
        <v>148</v>
      </c>
      <c r="P581" s="2" t="s">
        <v>149</v>
      </c>
      <c r="Q581">
        <v>7</v>
      </c>
      <c r="R581" s="4">
        <v>45108</v>
      </c>
      <c r="S581" s="3">
        <v>120000</v>
      </c>
      <c r="T581" s="3">
        <v>1.99</v>
      </c>
    </row>
    <row r="582" spans="1:20" hidden="1" x14ac:dyDescent="0.3">
      <c r="A582" s="1">
        <v>45137</v>
      </c>
      <c r="B582" s="2" t="s">
        <v>61</v>
      </c>
      <c r="C582" s="2" t="s">
        <v>127</v>
      </c>
      <c r="D582" s="2" t="s">
        <v>57</v>
      </c>
      <c r="E582" s="2" t="s">
        <v>86</v>
      </c>
      <c r="F582" s="2" t="s">
        <v>24</v>
      </c>
      <c r="G582">
        <v>48</v>
      </c>
      <c r="H582">
        <v>39</v>
      </c>
      <c r="I582">
        <v>29</v>
      </c>
      <c r="J582" s="3">
        <v>2258900</v>
      </c>
      <c r="K582" s="3">
        <v>65508100</v>
      </c>
      <c r="L582" s="2" t="s">
        <v>25</v>
      </c>
      <c r="M582" s="2" t="s">
        <v>26</v>
      </c>
      <c r="N582">
        <v>2023</v>
      </c>
      <c r="O582" s="2" t="s">
        <v>148</v>
      </c>
      <c r="P582" s="2" t="s">
        <v>149</v>
      </c>
      <c r="Q582">
        <v>7</v>
      </c>
      <c r="R582" s="4">
        <v>45108</v>
      </c>
      <c r="S582" s="3">
        <v>2258900</v>
      </c>
      <c r="T582" s="3">
        <v>6.55</v>
      </c>
    </row>
    <row r="583" spans="1:20" hidden="1" x14ac:dyDescent="0.3">
      <c r="A583" s="1">
        <v>45137</v>
      </c>
      <c r="B583" s="2" t="s">
        <v>108</v>
      </c>
      <c r="C583" s="2" t="s">
        <v>131</v>
      </c>
      <c r="D583" s="2" t="s">
        <v>42</v>
      </c>
      <c r="E583" s="2" t="s">
        <v>43</v>
      </c>
      <c r="F583" s="2" t="s">
        <v>24</v>
      </c>
      <c r="G583">
        <v>3</v>
      </c>
      <c r="H583">
        <v>135</v>
      </c>
      <c r="I583">
        <v>71</v>
      </c>
      <c r="J583" s="3">
        <v>123800</v>
      </c>
      <c r="K583" s="3">
        <v>8789800</v>
      </c>
      <c r="L583" s="2" t="s">
        <v>33</v>
      </c>
      <c r="M583" s="2" t="s">
        <v>77</v>
      </c>
      <c r="N583">
        <v>2023</v>
      </c>
      <c r="O583" s="2" t="s">
        <v>148</v>
      </c>
      <c r="P583" s="2" t="s">
        <v>149</v>
      </c>
      <c r="Q583">
        <v>7</v>
      </c>
      <c r="R583" s="4">
        <v>45108</v>
      </c>
      <c r="S583" s="3">
        <v>123800</v>
      </c>
      <c r="T583" s="3">
        <v>0.88</v>
      </c>
    </row>
    <row r="584" spans="1:20" hidden="1" x14ac:dyDescent="0.3">
      <c r="A584" s="1">
        <v>45137</v>
      </c>
      <c r="B584" s="2" t="s">
        <v>35</v>
      </c>
      <c r="C584" s="2" t="s">
        <v>121</v>
      </c>
      <c r="D584" s="2" t="s">
        <v>57</v>
      </c>
      <c r="E584" s="2" t="s">
        <v>86</v>
      </c>
      <c r="F584" s="2" t="s">
        <v>24</v>
      </c>
      <c r="G584">
        <v>48</v>
      </c>
      <c r="H584">
        <v>39</v>
      </c>
      <c r="I584">
        <v>118</v>
      </c>
      <c r="J584" s="3">
        <v>2050000</v>
      </c>
      <c r="K584" s="3">
        <v>241900000</v>
      </c>
      <c r="L584" s="2" t="s">
        <v>33</v>
      </c>
      <c r="M584" s="2" t="s">
        <v>26</v>
      </c>
      <c r="N584">
        <v>2023</v>
      </c>
      <c r="O584" s="2" t="s">
        <v>148</v>
      </c>
      <c r="P584" s="2" t="s">
        <v>149</v>
      </c>
      <c r="Q584">
        <v>7</v>
      </c>
      <c r="R584" s="4">
        <v>45108</v>
      </c>
      <c r="S584" s="3">
        <v>2050000</v>
      </c>
      <c r="T584" s="3">
        <v>24.19</v>
      </c>
    </row>
    <row r="585" spans="1:20" hidden="1" x14ac:dyDescent="0.3">
      <c r="A585" s="1">
        <v>45137</v>
      </c>
      <c r="B585" s="2" t="s">
        <v>90</v>
      </c>
      <c r="C585" s="2" t="s">
        <v>114</v>
      </c>
      <c r="D585" s="2" t="s">
        <v>63</v>
      </c>
      <c r="E585" s="2" t="s">
        <v>64</v>
      </c>
      <c r="F585" s="2" t="s">
        <v>24</v>
      </c>
      <c r="G585">
        <v>3</v>
      </c>
      <c r="H585">
        <v>127</v>
      </c>
      <c r="I585">
        <v>33</v>
      </c>
      <c r="J585" s="3">
        <v>149400</v>
      </c>
      <c r="K585" s="3">
        <v>4930200</v>
      </c>
      <c r="L585" s="2" t="s">
        <v>33</v>
      </c>
      <c r="M585" s="2" t="s">
        <v>97</v>
      </c>
      <c r="N585">
        <v>2023</v>
      </c>
      <c r="O585" s="2" t="s">
        <v>148</v>
      </c>
      <c r="P585" s="2" t="s">
        <v>149</v>
      </c>
      <c r="Q585">
        <v>7</v>
      </c>
      <c r="R585" s="4">
        <v>45108</v>
      </c>
      <c r="S585" s="3">
        <v>149400</v>
      </c>
      <c r="T585" s="3">
        <v>0.49</v>
      </c>
    </row>
    <row r="586" spans="1:20" hidden="1" x14ac:dyDescent="0.3">
      <c r="A586" s="1">
        <v>45138</v>
      </c>
      <c r="B586" s="2" t="s">
        <v>84</v>
      </c>
      <c r="C586" s="2" t="s">
        <v>85</v>
      </c>
      <c r="D586" s="2" t="s">
        <v>70</v>
      </c>
      <c r="E586" s="2" t="s">
        <v>74</v>
      </c>
      <c r="F586" s="2" t="s">
        <v>39</v>
      </c>
      <c r="G586">
        <v>25</v>
      </c>
      <c r="H586">
        <v>32</v>
      </c>
      <c r="I586">
        <v>118</v>
      </c>
      <c r="J586" s="3">
        <v>1125400</v>
      </c>
      <c r="K586" s="3">
        <v>132797200</v>
      </c>
      <c r="L586" s="2" t="s">
        <v>33</v>
      </c>
      <c r="M586" s="2" t="s">
        <v>97</v>
      </c>
      <c r="N586">
        <v>2023</v>
      </c>
      <c r="O586" s="2" t="s">
        <v>148</v>
      </c>
      <c r="P586" s="2" t="s">
        <v>149</v>
      </c>
      <c r="Q586">
        <v>7</v>
      </c>
      <c r="R586" s="4">
        <v>45108</v>
      </c>
      <c r="S586" s="3">
        <v>1125400</v>
      </c>
      <c r="T586" s="3">
        <v>13.28</v>
      </c>
    </row>
    <row r="587" spans="1:20" hidden="1" x14ac:dyDescent="0.3">
      <c r="A587" s="1">
        <v>45138</v>
      </c>
      <c r="B587" s="2" t="s">
        <v>90</v>
      </c>
      <c r="C587" s="2" t="s">
        <v>128</v>
      </c>
      <c r="D587" s="2" t="s">
        <v>54</v>
      </c>
      <c r="E587" s="2" t="s">
        <v>55</v>
      </c>
      <c r="F587" s="2" t="s">
        <v>72</v>
      </c>
      <c r="G587">
        <v>30</v>
      </c>
      <c r="H587">
        <v>320</v>
      </c>
      <c r="I587">
        <v>6</v>
      </c>
      <c r="J587" s="3">
        <v>1351400</v>
      </c>
      <c r="K587" s="3">
        <v>8108400</v>
      </c>
      <c r="L587" s="2" t="s">
        <v>33</v>
      </c>
      <c r="M587" s="2" t="s">
        <v>34</v>
      </c>
      <c r="N587">
        <v>2023</v>
      </c>
      <c r="O587" s="2" t="s">
        <v>148</v>
      </c>
      <c r="P587" s="2" t="s">
        <v>149</v>
      </c>
      <c r="Q587">
        <v>7</v>
      </c>
      <c r="R587" s="4">
        <v>45108</v>
      </c>
      <c r="S587" s="3">
        <v>1351400</v>
      </c>
      <c r="T587" s="3">
        <v>0.81</v>
      </c>
    </row>
    <row r="588" spans="1:20" hidden="1" x14ac:dyDescent="0.3">
      <c r="A588" s="1">
        <v>45139</v>
      </c>
      <c r="B588" s="2" t="s">
        <v>90</v>
      </c>
      <c r="C588" s="2" t="s">
        <v>99</v>
      </c>
      <c r="D588" s="2" t="s">
        <v>22</v>
      </c>
      <c r="E588" s="2" t="s">
        <v>23</v>
      </c>
      <c r="F588" s="2" t="s">
        <v>39</v>
      </c>
      <c r="G588">
        <v>82</v>
      </c>
      <c r="H588">
        <v>520</v>
      </c>
      <c r="I588">
        <v>79</v>
      </c>
      <c r="J588" s="3">
        <v>6630300</v>
      </c>
      <c r="K588" s="3">
        <v>523793700</v>
      </c>
      <c r="L588" s="2" t="s">
        <v>25</v>
      </c>
      <c r="M588" s="2" t="s">
        <v>77</v>
      </c>
      <c r="N588">
        <v>2023</v>
      </c>
      <c r="O588" s="2" t="s">
        <v>148</v>
      </c>
      <c r="P588" s="2" t="s">
        <v>150</v>
      </c>
      <c r="Q588">
        <v>8</v>
      </c>
      <c r="R588" s="4">
        <v>45139</v>
      </c>
      <c r="S588" s="3">
        <v>6630300</v>
      </c>
      <c r="T588" s="3">
        <v>52.38</v>
      </c>
    </row>
    <row r="589" spans="1:20" hidden="1" x14ac:dyDescent="0.3">
      <c r="A589" s="1">
        <v>45139</v>
      </c>
      <c r="B589" s="2" t="s">
        <v>44</v>
      </c>
      <c r="C589" s="2" t="s">
        <v>142</v>
      </c>
      <c r="D589" s="2" t="s">
        <v>54</v>
      </c>
      <c r="E589" s="2" t="s">
        <v>55</v>
      </c>
      <c r="F589" s="2" t="s">
        <v>24</v>
      </c>
      <c r="G589">
        <v>30</v>
      </c>
      <c r="H589">
        <v>320</v>
      </c>
      <c r="I589">
        <v>13</v>
      </c>
      <c r="J589" s="3">
        <v>1286600</v>
      </c>
      <c r="K589" s="3">
        <v>16725800</v>
      </c>
      <c r="L589" s="2" t="s">
        <v>33</v>
      </c>
      <c r="M589" s="2" t="s">
        <v>77</v>
      </c>
      <c r="N589">
        <v>2023</v>
      </c>
      <c r="O589" s="2" t="s">
        <v>148</v>
      </c>
      <c r="P589" s="2" t="s">
        <v>150</v>
      </c>
      <c r="Q589">
        <v>8</v>
      </c>
      <c r="R589" s="4">
        <v>45139</v>
      </c>
      <c r="S589" s="3">
        <v>1286600</v>
      </c>
      <c r="T589" s="3">
        <v>1.67</v>
      </c>
    </row>
    <row r="590" spans="1:20" hidden="1" x14ac:dyDescent="0.3">
      <c r="A590" s="1">
        <v>45139</v>
      </c>
      <c r="B590" s="2" t="s">
        <v>48</v>
      </c>
      <c r="C590" s="2" t="s">
        <v>98</v>
      </c>
      <c r="D590" s="2" t="s">
        <v>37</v>
      </c>
      <c r="E590" s="2" t="s">
        <v>38</v>
      </c>
      <c r="F590" s="2" t="s">
        <v>24</v>
      </c>
      <c r="G590">
        <v>66</v>
      </c>
      <c r="H590">
        <v>423</v>
      </c>
      <c r="I590">
        <v>51</v>
      </c>
      <c r="J590" s="3">
        <v>8775400</v>
      </c>
      <c r="K590" s="3">
        <v>447545400</v>
      </c>
      <c r="L590" s="2" t="s">
        <v>25</v>
      </c>
      <c r="M590" s="2" t="s">
        <v>77</v>
      </c>
      <c r="N590">
        <v>2023</v>
      </c>
      <c r="O590" s="2" t="s">
        <v>148</v>
      </c>
      <c r="P590" s="2" t="s">
        <v>150</v>
      </c>
      <c r="Q590">
        <v>8</v>
      </c>
      <c r="R590" s="4">
        <v>45139</v>
      </c>
      <c r="S590" s="3">
        <v>8775400</v>
      </c>
      <c r="T590" s="3">
        <v>44.75</v>
      </c>
    </row>
    <row r="591" spans="1:20" hidden="1" x14ac:dyDescent="0.3">
      <c r="A591" s="1">
        <v>45140</v>
      </c>
      <c r="B591" s="2" t="s">
        <v>108</v>
      </c>
      <c r="C591" s="2" t="s">
        <v>123</v>
      </c>
      <c r="D591" s="2" t="s">
        <v>79</v>
      </c>
      <c r="E591" s="2" t="s">
        <v>80</v>
      </c>
      <c r="F591" s="2" t="s">
        <v>24</v>
      </c>
      <c r="G591">
        <v>69</v>
      </c>
      <c r="H591">
        <v>418</v>
      </c>
      <c r="I591">
        <v>48</v>
      </c>
      <c r="J591" s="3">
        <v>5235700</v>
      </c>
      <c r="K591" s="3">
        <v>251313600</v>
      </c>
      <c r="L591" s="2" t="s">
        <v>33</v>
      </c>
      <c r="M591" s="2" t="s">
        <v>26</v>
      </c>
      <c r="N591">
        <v>2023</v>
      </c>
      <c r="O591" s="2" t="s">
        <v>148</v>
      </c>
      <c r="P591" s="2" t="s">
        <v>150</v>
      </c>
      <c r="Q591">
        <v>8</v>
      </c>
      <c r="R591" s="4">
        <v>45139</v>
      </c>
      <c r="S591" s="3">
        <v>5235700</v>
      </c>
      <c r="T591" s="3">
        <v>25.13</v>
      </c>
    </row>
    <row r="592" spans="1:20" hidden="1" x14ac:dyDescent="0.3">
      <c r="A592" s="1">
        <v>45140</v>
      </c>
      <c r="B592" s="2" t="s">
        <v>20</v>
      </c>
      <c r="C592" s="2" t="s">
        <v>125</v>
      </c>
      <c r="D592" s="2" t="s">
        <v>54</v>
      </c>
      <c r="E592" s="2" t="s">
        <v>55</v>
      </c>
      <c r="F592" s="2" t="s">
        <v>24</v>
      </c>
      <c r="G592">
        <v>30</v>
      </c>
      <c r="H592">
        <v>320</v>
      </c>
      <c r="I592">
        <v>74</v>
      </c>
      <c r="J592" s="3">
        <v>1522000</v>
      </c>
      <c r="K592" s="3">
        <v>112628000</v>
      </c>
      <c r="L592" s="2" t="s">
        <v>33</v>
      </c>
      <c r="M592" s="2" t="s">
        <v>77</v>
      </c>
      <c r="N592">
        <v>2023</v>
      </c>
      <c r="O592" s="2" t="s">
        <v>148</v>
      </c>
      <c r="P592" s="2" t="s">
        <v>150</v>
      </c>
      <c r="Q592">
        <v>8</v>
      </c>
      <c r="R592" s="4">
        <v>45139</v>
      </c>
      <c r="S592" s="3">
        <v>1522000</v>
      </c>
      <c r="T592" s="3">
        <v>11.26</v>
      </c>
    </row>
    <row r="593" spans="1:20" hidden="1" x14ac:dyDescent="0.3">
      <c r="A593" s="1">
        <v>45140</v>
      </c>
      <c r="B593" s="2" t="s">
        <v>90</v>
      </c>
      <c r="C593" s="2" t="s">
        <v>99</v>
      </c>
      <c r="D593" s="2" t="s">
        <v>70</v>
      </c>
      <c r="E593" s="2" t="s">
        <v>71</v>
      </c>
      <c r="F593" s="2" t="s">
        <v>24</v>
      </c>
      <c r="G593">
        <v>50</v>
      </c>
      <c r="H593">
        <v>46</v>
      </c>
      <c r="I593">
        <v>133</v>
      </c>
      <c r="J593" s="3">
        <v>2797400</v>
      </c>
      <c r="K593" s="3">
        <v>372054200</v>
      </c>
      <c r="L593" s="2" t="s">
        <v>33</v>
      </c>
      <c r="M593" s="2" t="s">
        <v>77</v>
      </c>
      <c r="N593">
        <v>2023</v>
      </c>
      <c r="O593" s="2" t="s">
        <v>148</v>
      </c>
      <c r="P593" s="2" t="s">
        <v>150</v>
      </c>
      <c r="Q593">
        <v>8</v>
      </c>
      <c r="R593" s="4">
        <v>45139</v>
      </c>
      <c r="S593" s="3">
        <v>2797400</v>
      </c>
      <c r="T593" s="3">
        <v>37.21</v>
      </c>
    </row>
    <row r="594" spans="1:20" hidden="1" x14ac:dyDescent="0.3">
      <c r="A594" s="1">
        <v>45140</v>
      </c>
      <c r="B594" s="2" t="s">
        <v>48</v>
      </c>
      <c r="C594" s="2" t="s">
        <v>69</v>
      </c>
      <c r="D594" s="2" t="s">
        <v>82</v>
      </c>
      <c r="E594" s="2" t="s">
        <v>141</v>
      </c>
      <c r="F594" s="2" t="s">
        <v>39</v>
      </c>
      <c r="G594">
        <v>59</v>
      </c>
      <c r="H594">
        <v>55</v>
      </c>
      <c r="I594">
        <v>168</v>
      </c>
      <c r="J594" s="3">
        <v>2656500</v>
      </c>
      <c r="K594" s="3">
        <v>446292000</v>
      </c>
      <c r="L594" s="2" t="s">
        <v>33</v>
      </c>
      <c r="M594" s="2" t="s">
        <v>26</v>
      </c>
      <c r="N594">
        <v>2023</v>
      </c>
      <c r="O594" s="2" t="s">
        <v>148</v>
      </c>
      <c r="P594" s="2" t="s">
        <v>150</v>
      </c>
      <c r="Q594">
        <v>8</v>
      </c>
      <c r="R594" s="4">
        <v>45139</v>
      </c>
      <c r="S594" s="3">
        <v>2656500</v>
      </c>
      <c r="T594" s="3">
        <v>44.63</v>
      </c>
    </row>
    <row r="595" spans="1:20" hidden="1" x14ac:dyDescent="0.3">
      <c r="A595" s="1">
        <v>45140</v>
      </c>
      <c r="B595" s="2" t="s">
        <v>84</v>
      </c>
      <c r="C595" s="2" t="s">
        <v>113</v>
      </c>
      <c r="D595" s="2" t="s">
        <v>88</v>
      </c>
      <c r="E595" s="2" t="s">
        <v>111</v>
      </c>
      <c r="F595" s="2" t="s">
        <v>24</v>
      </c>
      <c r="G595">
        <v>60</v>
      </c>
      <c r="H595">
        <v>480</v>
      </c>
      <c r="I595">
        <v>21</v>
      </c>
      <c r="J595" s="3">
        <v>2867600</v>
      </c>
      <c r="K595" s="3">
        <v>60219600</v>
      </c>
      <c r="L595" s="2" t="s">
        <v>92</v>
      </c>
      <c r="M595" s="2" t="s">
        <v>26</v>
      </c>
      <c r="N595">
        <v>2023</v>
      </c>
      <c r="O595" s="2" t="s">
        <v>148</v>
      </c>
      <c r="P595" s="2" t="s">
        <v>150</v>
      </c>
      <c r="Q595">
        <v>8</v>
      </c>
      <c r="R595" s="4">
        <v>45139</v>
      </c>
      <c r="S595" s="3">
        <v>2867600</v>
      </c>
      <c r="T595" s="3">
        <v>6.02</v>
      </c>
    </row>
    <row r="596" spans="1:20" hidden="1" x14ac:dyDescent="0.3">
      <c r="A596" s="1">
        <v>45140</v>
      </c>
      <c r="B596" s="2" t="s">
        <v>52</v>
      </c>
      <c r="C596" s="2" t="s">
        <v>53</v>
      </c>
      <c r="D596" s="2" t="s">
        <v>67</v>
      </c>
      <c r="E596" s="2" t="s">
        <v>68</v>
      </c>
      <c r="F596" s="2" t="s">
        <v>39</v>
      </c>
      <c r="G596">
        <v>66</v>
      </c>
      <c r="H596">
        <v>440</v>
      </c>
      <c r="I596">
        <v>66</v>
      </c>
      <c r="J596" s="3">
        <v>5616700</v>
      </c>
      <c r="K596" s="3">
        <v>370702200</v>
      </c>
      <c r="L596" s="2" t="s">
        <v>33</v>
      </c>
      <c r="M596" s="2" t="s">
        <v>26</v>
      </c>
      <c r="N596">
        <v>2023</v>
      </c>
      <c r="O596" s="2" t="s">
        <v>148</v>
      </c>
      <c r="P596" s="2" t="s">
        <v>150</v>
      </c>
      <c r="Q596">
        <v>8</v>
      </c>
      <c r="R596" s="4">
        <v>45139</v>
      </c>
      <c r="S596" s="3">
        <v>5616700</v>
      </c>
      <c r="T596" s="3">
        <v>37.07</v>
      </c>
    </row>
    <row r="597" spans="1:20" hidden="1" x14ac:dyDescent="0.3">
      <c r="A597" s="1">
        <v>45141</v>
      </c>
      <c r="B597" s="2" t="s">
        <v>35</v>
      </c>
      <c r="C597" s="2" t="s">
        <v>87</v>
      </c>
      <c r="D597" s="2" t="s">
        <v>54</v>
      </c>
      <c r="E597" s="2" t="s">
        <v>55</v>
      </c>
      <c r="F597" s="2" t="s">
        <v>24</v>
      </c>
      <c r="G597">
        <v>30</v>
      </c>
      <c r="H597">
        <v>320</v>
      </c>
      <c r="I597">
        <v>56</v>
      </c>
      <c r="J597" s="3">
        <v>1634900</v>
      </c>
      <c r="K597" s="3">
        <v>91554400</v>
      </c>
      <c r="L597" s="2" t="s">
        <v>33</v>
      </c>
      <c r="M597" s="2" t="s">
        <v>26</v>
      </c>
      <c r="N597">
        <v>2023</v>
      </c>
      <c r="O597" s="2" t="s">
        <v>148</v>
      </c>
      <c r="P597" s="2" t="s">
        <v>150</v>
      </c>
      <c r="Q597">
        <v>8</v>
      </c>
      <c r="R597" s="4">
        <v>45139</v>
      </c>
      <c r="S597" s="3">
        <v>1634900</v>
      </c>
      <c r="T597" s="3">
        <v>9.16</v>
      </c>
    </row>
    <row r="598" spans="1:20" hidden="1" x14ac:dyDescent="0.3">
      <c r="A598" s="1">
        <v>45141</v>
      </c>
      <c r="B598" s="2" t="s">
        <v>48</v>
      </c>
      <c r="C598" s="2" t="s">
        <v>49</v>
      </c>
      <c r="D598" s="2" t="s">
        <v>31</v>
      </c>
      <c r="E598" s="2" t="s">
        <v>124</v>
      </c>
      <c r="F598" s="2" t="s">
        <v>24</v>
      </c>
      <c r="G598">
        <v>3</v>
      </c>
      <c r="H598">
        <v>151</v>
      </c>
      <c r="I598">
        <v>28</v>
      </c>
      <c r="J598" s="3">
        <v>123100</v>
      </c>
      <c r="K598" s="3">
        <v>3446800</v>
      </c>
      <c r="L598" s="2" t="s">
        <v>33</v>
      </c>
      <c r="M598" s="2" t="s">
        <v>97</v>
      </c>
      <c r="N598">
        <v>2023</v>
      </c>
      <c r="O598" s="2" t="s">
        <v>148</v>
      </c>
      <c r="P598" s="2" t="s">
        <v>150</v>
      </c>
      <c r="Q598">
        <v>8</v>
      </c>
      <c r="R598" s="4">
        <v>45139</v>
      </c>
      <c r="S598" s="3">
        <v>123100</v>
      </c>
      <c r="T598" s="3">
        <v>0.34</v>
      </c>
    </row>
    <row r="599" spans="1:20" hidden="1" x14ac:dyDescent="0.3">
      <c r="A599" s="1">
        <v>45141</v>
      </c>
      <c r="B599" s="2" t="s">
        <v>48</v>
      </c>
      <c r="C599" s="2" t="s">
        <v>98</v>
      </c>
      <c r="D599" s="2" t="s">
        <v>50</v>
      </c>
      <c r="E599" s="2" t="s">
        <v>51</v>
      </c>
      <c r="F599" s="2" t="s">
        <v>24</v>
      </c>
      <c r="G599">
        <v>77</v>
      </c>
      <c r="H599">
        <v>528</v>
      </c>
      <c r="I599">
        <v>22</v>
      </c>
      <c r="J599" s="3">
        <v>5261800</v>
      </c>
      <c r="K599" s="3">
        <v>115759600</v>
      </c>
      <c r="L599" s="2" t="s">
        <v>33</v>
      </c>
      <c r="M599" s="2" t="s">
        <v>26</v>
      </c>
      <c r="N599">
        <v>2023</v>
      </c>
      <c r="O599" s="2" t="s">
        <v>148</v>
      </c>
      <c r="P599" s="2" t="s">
        <v>150</v>
      </c>
      <c r="Q599">
        <v>8</v>
      </c>
      <c r="R599" s="4">
        <v>45139</v>
      </c>
      <c r="S599" s="3">
        <v>5261800</v>
      </c>
      <c r="T599" s="3">
        <v>11.58</v>
      </c>
    </row>
    <row r="600" spans="1:20" hidden="1" x14ac:dyDescent="0.3">
      <c r="A600" s="1">
        <v>45142</v>
      </c>
      <c r="B600" s="2" t="s">
        <v>75</v>
      </c>
      <c r="C600" s="2" t="s">
        <v>134</v>
      </c>
      <c r="D600" s="2" t="s">
        <v>102</v>
      </c>
      <c r="E600" s="2" t="s">
        <v>103</v>
      </c>
      <c r="F600" s="2" t="s">
        <v>24</v>
      </c>
      <c r="G600">
        <v>5</v>
      </c>
      <c r="H600">
        <v>150</v>
      </c>
      <c r="I600">
        <v>76</v>
      </c>
      <c r="J600" s="3">
        <v>162500</v>
      </c>
      <c r="K600" s="3">
        <v>12350000</v>
      </c>
      <c r="L600" s="2" t="s">
        <v>25</v>
      </c>
      <c r="M600" s="2" t="s">
        <v>26</v>
      </c>
      <c r="N600">
        <v>2023</v>
      </c>
      <c r="O600" s="2" t="s">
        <v>148</v>
      </c>
      <c r="P600" s="2" t="s">
        <v>150</v>
      </c>
      <c r="Q600">
        <v>8</v>
      </c>
      <c r="R600" s="4">
        <v>45139</v>
      </c>
      <c r="S600" s="3">
        <v>162500</v>
      </c>
      <c r="T600" s="3">
        <v>1.24</v>
      </c>
    </row>
    <row r="601" spans="1:20" hidden="1" x14ac:dyDescent="0.3">
      <c r="A601" s="1">
        <v>45143</v>
      </c>
      <c r="B601" s="2" t="s">
        <v>46</v>
      </c>
      <c r="C601" s="2" t="s">
        <v>137</v>
      </c>
      <c r="D601" s="2" t="s">
        <v>102</v>
      </c>
      <c r="E601" s="2" t="s">
        <v>103</v>
      </c>
      <c r="F601" s="2" t="s">
        <v>24</v>
      </c>
      <c r="G601">
        <v>5</v>
      </c>
      <c r="H601">
        <v>150</v>
      </c>
      <c r="I601">
        <v>166</v>
      </c>
      <c r="J601" s="3">
        <v>153800</v>
      </c>
      <c r="K601" s="3">
        <v>25530800</v>
      </c>
      <c r="L601" s="2" t="s">
        <v>25</v>
      </c>
      <c r="M601" s="2" t="s">
        <v>26</v>
      </c>
      <c r="N601">
        <v>2023</v>
      </c>
      <c r="O601" s="2" t="s">
        <v>148</v>
      </c>
      <c r="P601" s="2" t="s">
        <v>150</v>
      </c>
      <c r="Q601">
        <v>8</v>
      </c>
      <c r="R601" s="4">
        <v>45139</v>
      </c>
      <c r="S601" s="3">
        <v>153800</v>
      </c>
      <c r="T601" s="3">
        <v>2.5499999999999998</v>
      </c>
    </row>
    <row r="602" spans="1:20" hidden="1" x14ac:dyDescent="0.3">
      <c r="A602" s="1">
        <v>45143</v>
      </c>
      <c r="B602" s="2" t="s">
        <v>90</v>
      </c>
      <c r="C602" s="2" t="s">
        <v>99</v>
      </c>
      <c r="D602" s="2" t="s">
        <v>22</v>
      </c>
      <c r="E602" s="2" t="s">
        <v>23</v>
      </c>
      <c r="F602" s="2" t="s">
        <v>24</v>
      </c>
      <c r="G602">
        <v>82</v>
      </c>
      <c r="H602">
        <v>520</v>
      </c>
      <c r="I602">
        <v>50</v>
      </c>
      <c r="J602" s="3">
        <v>6791700</v>
      </c>
      <c r="K602" s="3">
        <v>339585000</v>
      </c>
      <c r="L602" s="2" t="s">
        <v>25</v>
      </c>
      <c r="M602" s="2" t="s">
        <v>77</v>
      </c>
      <c r="N602">
        <v>2023</v>
      </c>
      <c r="O602" s="2" t="s">
        <v>148</v>
      </c>
      <c r="P602" s="2" t="s">
        <v>150</v>
      </c>
      <c r="Q602">
        <v>8</v>
      </c>
      <c r="R602" s="4">
        <v>45139</v>
      </c>
      <c r="S602" s="3">
        <v>6791700</v>
      </c>
      <c r="T602" s="3">
        <v>33.96</v>
      </c>
    </row>
    <row r="603" spans="1:20" hidden="1" x14ac:dyDescent="0.3">
      <c r="A603" s="1">
        <v>45143</v>
      </c>
      <c r="B603" s="2" t="s">
        <v>84</v>
      </c>
      <c r="C603" s="2" t="s">
        <v>85</v>
      </c>
      <c r="D603" s="2" t="s">
        <v>70</v>
      </c>
      <c r="E603" s="2" t="s">
        <v>74</v>
      </c>
      <c r="F603" s="2" t="s">
        <v>39</v>
      </c>
      <c r="G603">
        <v>25</v>
      </c>
      <c r="H603">
        <v>32</v>
      </c>
      <c r="I603">
        <v>35</v>
      </c>
      <c r="J603" s="3">
        <v>1278400</v>
      </c>
      <c r="K603" s="3">
        <v>44744000</v>
      </c>
      <c r="L603" s="2" t="s">
        <v>92</v>
      </c>
      <c r="M603" s="2" t="s">
        <v>26</v>
      </c>
      <c r="N603">
        <v>2023</v>
      </c>
      <c r="O603" s="2" t="s">
        <v>148</v>
      </c>
      <c r="P603" s="2" t="s">
        <v>150</v>
      </c>
      <c r="Q603">
        <v>8</v>
      </c>
      <c r="R603" s="4">
        <v>45139</v>
      </c>
      <c r="S603" s="3">
        <v>1278400</v>
      </c>
      <c r="T603" s="3">
        <v>4.47</v>
      </c>
    </row>
    <row r="604" spans="1:20" hidden="1" x14ac:dyDescent="0.3">
      <c r="A604" s="1">
        <v>45143</v>
      </c>
      <c r="B604" s="2" t="s">
        <v>90</v>
      </c>
      <c r="C604" s="2" t="s">
        <v>114</v>
      </c>
      <c r="D604" s="2" t="s">
        <v>79</v>
      </c>
      <c r="E604" s="2" t="s">
        <v>80</v>
      </c>
      <c r="F604" s="2" t="s">
        <v>24</v>
      </c>
      <c r="G604">
        <v>69</v>
      </c>
      <c r="H604">
        <v>418</v>
      </c>
      <c r="I604">
        <v>58</v>
      </c>
      <c r="J604" s="3">
        <v>5844200</v>
      </c>
      <c r="K604" s="3">
        <v>338963600</v>
      </c>
      <c r="L604" s="2" t="s">
        <v>33</v>
      </c>
      <c r="M604" s="2" t="s">
        <v>26</v>
      </c>
      <c r="N604">
        <v>2023</v>
      </c>
      <c r="O604" s="2" t="s">
        <v>148</v>
      </c>
      <c r="P604" s="2" t="s">
        <v>150</v>
      </c>
      <c r="Q604">
        <v>8</v>
      </c>
      <c r="R604" s="4">
        <v>45139</v>
      </c>
      <c r="S604" s="3">
        <v>5844200</v>
      </c>
      <c r="T604" s="3">
        <v>33.9</v>
      </c>
    </row>
    <row r="605" spans="1:20" hidden="1" x14ac:dyDescent="0.3">
      <c r="A605" s="1">
        <v>45143</v>
      </c>
      <c r="B605" s="2" t="s">
        <v>108</v>
      </c>
      <c r="C605" s="2" t="s">
        <v>131</v>
      </c>
      <c r="D605" s="2" t="s">
        <v>50</v>
      </c>
      <c r="E605" s="2" t="s">
        <v>51</v>
      </c>
      <c r="F605" s="2" t="s">
        <v>24</v>
      </c>
      <c r="G605">
        <v>77</v>
      </c>
      <c r="H605">
        <v>528</v>
      </c>
      <c r="I605">
        <v>32</v>
      </c>
      <c r="J605" s="3">
        <v>4457900</v>
      </c>
      <c r="K605" s="3">
        <v>142652800</v>
      </c>
      <c r="L605" s="2" t="s">
        <v>33</v>
      </c>
      <c r="M605" s="2" t="s">
        <v>26</v>
      </c>
      <c r="N605">
        <v>2023</v>
      </c>
      <c r="O605" s="2" t="s">
        <v>148</v>
      </c>
      <c r="P605" s="2" t="s">
        <v>150</v>
      </c>
      <c r="Q605">
        <v>8</v>
      </c>
      <c r="R605" s="4">
        <v>45139</v>
      </c>
      <c r="S605" s="3">
        <v>4457900</v>
      </c>
      <c r="T605" s="3">
        <v>14.27</v>
      </c>
    </row>
    <row r="606" spans="1:20" hidden="1" x14ac:dyDescent="0.3">
      <c r="A606" s="1">
        <v>45144</v>
      </c>
      <c r="B606" s="2" t="s">
        <v>75</v>
      </c>
      <c r="C606" s="2" t="s">
        <v>134</v>
      </c>
      <c r="D606" s="2" t="s">
        <v>102</v>
      </c>
      <c r="E606" s="2" t="s">
        <v>103</v>
      </c>
      <c r="F606" s="2" t="s">
        <v>24</v>
      </c>
      <c r="G606">
        <v>5</v>
      </c>
      <c r="H606">
        <v>150</v>
      </c>
      <c r="I606">
        <v>126</v>
      </c>
      <c r="J606" s="3">
        <v>146200</v>
      </c>
      <c r="K606" s="3">
        <v>18421200</v>
      </c>
      <c r="L606" s="2" t="s">
        <v>25</v>
      </c>
      <c r="M606" s="2" t="s">
        <v>26</v>
      </c>
      <c r="N606">
        <v>2023</v>
      </c>
      <c r="O606" s="2" t="s">
        <v>148</v>
      </c>
      <c r="P606" s="2" t="s">
        <v>150</v>
      </c>
      <c r="Q606">
        <v>8</v>
      </c>
      <c r="R606" s="4">
        <v>45139</v>
      </c>
      <c r="S606" s="3">
        <v>146200</v>
      </c>
      <c r="T606" s="3">
        <v>1.84</v>
      </c>
    </row>
    <row r="607" spans="1:20" hidden="1" x14ac:dyDescent="0.3">
      <c r="A607" s="1">
        <v>45144</v>
      </c>
      <c r="B607" s="2" t="s">
        <v>20</v>
      </c>
      <c r="C607" s="2" t="s">
        <v>21</v>
      </c>
      <c r="D607" s="2" t="s">
        <v>37</v>
      </c>
      <c r="E607" s="2" t="s">
        <v>38</v>
      </c>
      <c r="F607" s="2" t="s">
        <v>24</v>
      </c>
      <c r="G607">
        <v>66</v>
      </c>
      <c r="H607">
        <v>423</v>
      </c>
      <c r="I607">
        <v>7</v>
      </c>
      <c r="J607" s="3">
        <v>9262500</v>
      </c>
      <c r="K607" s="3">
        <v>64837500</v>
      </c>
      <c r="L607" s="2" t="s">
        <v>33</v>
      </c>
      <c r="M607" s="2" t="s">
        <v>77</v>
      </c>
      <c r="N607">
        <v>2023</v>
      </c>
      <c r="O607" s="2" t="s">
        <v>148</v>
      </c>
      <c r="P607" s="2" t="s">
        <v>150</v>
      </c>
      <c r="Q607">
        <v>8</v>
      </c>
      <c r="R607" s="4">
        <v>45139</v>
      </c>
      <c r="S607" s="3">
        <v>9262500</v>
      </c>
      <c r="T607" s="3">
        <v>6.48</v>
      </c>
    </row>
    <row r="608" spans="1:20" hidden="1" x14ac:dyDescent="0.3">
      <c r="A608" s="1">
        <v>45144</v>
      </c>
      <c r="B608" s="2" t="s">
        <v>46</v>
      </c>
      <c r="C608" s="2" t="s">
        <v>56</v>
      </c>
      <c r="D608" s="2" t="s">
        <v>63</v>
      </c>
      <c r="E608" s="2" t="s">
        <v>64</v>
      </c>
      <c r="F608" s="2" t="s">
        <v>24</v>
      </c>
      <c r="G608">
        <v>3</v>
      </c>
      <c r="H608">
        <v>127</v>
      </c>
      <c r="I608">
        <v>146</v>
      </c>
      <c r="J608" s="3">
        <v>164700</v>
      </c>
      <c r="K608" s="3">
        <v>24046200</v>
      </c>
      <c r="L608" s="2" t="s">
        <v>33</v>
      </c>
      <c r="M608" s="2" t="s">
        <v>26</v>
      </c>
      <c r="N608">
        <v>2023</v>
      </c>
      <c r="O608" s="2" t="s">
        <v>148</v>
      </c>
      <c r="P608" s="2" t="s">
        <v>150</v>
      </c>
      <c r="Q608">
        <v>8</v>
      </c>
      <c r="R608" s="4">
        <v>45139</v>
      </c>
      <c r="S608" s="3">
        <v>164700</v>
      </c>
      <c r="T608" s="3">
        <v>2.4</v>
      </c>
    </row>
    <row r="609" spans="1:20" hidden="1" x14ac:dyDescent="0.3">
      <c r="A609" s="1">
        <v>45144</v>
      </c>
      <c r="B609" s="2" t="s">
        <v>52</v>
      </c>
      <c r="C609" s="2" t="s">
        <v>116</v>
      </c>
      <c r="D609" s="2" t="s">
        <v>94</v>
      </c>
      <c r="E609" s="2" t="s">
        <v>95</v>
      </c>
      <c r="F609" s="2" t="s">
        <v>24</v>
      </c>
      <c r="G609">
        <v>40</v>
      </c>
      <c r="H609">
        <v>30</v>
      </c>
      <c r="I609">
        <v>178</v>
      </c>
      <c r="J609" s="3">
        <v>2590300</v>
      </c>
      <c r="K609" s="3">
        <v>461073400</v>
      </c>
      <c r="L609" s="2" t="s">
        <v>25</v>
      </c>
      <c r="M609" s="2" t="s">
        <v>26</v>
      </c>
      <c r="N609">
        <v>2023</v>
      </c>
      <c r="O609" s="2" t="s">
        <v>148</v>
      </c>
      <c r="P609" s="2" t="s">
        <v>150</v>
      </c>
      <c r="Q609">
        <v>8</v>
      </c>
      <c r="R609" s="4">
        <v>45139</v>
      </c>
      <c r="S609" s="3">
        <v>2590300</v>
      </c>
      <c r="T609" s="3">
        <v>46.11</v>
      </c>
    </row>
    <row r="610" spans="1:20" hidden="1" x14ac:dyDescent="0.3">
      <c r="A610" s="1">
        <v>45146</v>
      </c>
      <c r="B610" s="2" t="s">
        <v>106</v>
      </c>
      <c r="C610" s="2" t="s">
        <v>119</v>
      </c>
      <c r="D610" s="2" t="s">
        <v>67</v>
      </c>
      <c r="E610" s="2" t="s">
        <v>68</v>
      </c>
      <c r="F610" s="2" t="s">
        <v>24</v>
      </c>
      <c r="G610">
        <v>66</v>
      </c>
      <c r="H610">
        <v>440</v>
      </c>
      <c r="I610">
        <v>41</v>
      </c>
      <c r="J610" s="3">
        <v>6429700</v>
      </c>
      <c r="K610" s="3">
        <v>263617700</v>
      </c>
      <c r="L610" s="2" t="s">
        <v>33</v>
      </c>
      <c r="M610" s="2" t="s">
        <v>34</v>
      </c>
      <c r="N610">
        <v>2023</v>
      </c>
      <c r="O610" s="2" t="s">
        <v>148</v>
      </c>
      <c r="P610" s="2" t="s">
        <v>150</v>
      </c>
      <c r="Q610">
        <v>8</v>
      </c>
      <c r="R610" s="4">
        <v>45139</v>
      </c>
      <c r="S610" s="3">
        <v>6429700</v>
      </c>
      <c r="T610" s="3">
        <v>26.36</v>
      </c>
    </row>
    <row r="611" spans="1:20" hidden="1" x14ac:dyDescent="0.3">
      <c r="A611" s="1">
        <v>45146</v>
      </c>
      <c r="B611" s="2" t="s">
        <v>29</v>
      </c>
      <c r="C611" s="2" t="s">
        <v>65</v>
      </c>
      <c r="D611" s="2" t="s">
        <v>22</v>
      </c>
      <c r="E611" s="2" t="s">
        <v>23</v>
      </c>
      <c r="F611" s="2" t="s">
        <v>24</v>
      </c>
      <c r="G611">
        <v>82</v>
      </c>
      <c r="H611">
        <v>520</v>
      </c>
      <c r="I611">
        <v>34</v>
      </c>
      <c r="J611" s="3">
        <v>6527400</v>
      </c>
      <c r="K611" s="3">
        <v>221931600</v>
      </c>
      <c r="L611" s="2" t="s">
        <v>33</v>
      </c>
      <c r="M611" s="2" t="s">
        <v>26</v>
      </c>
      <c r="N611">
        <v>2023</v>
      </c>
      <c r="O611" s="2" t="s">
        <v>148</v>
      </c>
      <c r="P611" s="2" t="s">
        <v>150</v>
      </c>
      <c r="Q611">
        <v>8</v>
      </c>
      <c r="R611" s="4">
        <v>45139</v>
      </c>
      <c r="S611" s="3">
        <v>6527400</v>
      </c>
      <c r="T611" s="3">
        <v>22.19</v>
      </c>
    </row>
    <row r="612" spans="1:20" hidden="1" x14ac:dyDescent="0.3">
      <c r="A612" s="1">
        <v>45146</v>
      </c>
      <c r="B612" s="2" t="s">
        <v>106</v>
      </c>
      <c r="C612" s="2" t="s">
        <v>119</v>
      </c>
      <c r="D612" s="2" t="s">
        <v>50</v>
      </c>
      <c r="E612" s="2" t="s">
        <v>51</v>
      </c>
      <c r="F612" s="2" t="s">
        <v>24</v>
      </c>
      <c r="G612">
        <v>77</v>
      </c>
      <c r="H612">
        <v>528</v>
      </c>
      <c r="I612">
        <v>70</v>
      </c>
      <c r="J612" s="3">
        <v>5524600</v>
      </c>
      <c r="K612" s="3">
        <v>386722000</v>
      </c>
      <c r="L612" s="2" t="s">
        <v>25</v>
      </c>
      <c r="M612" s="2" t="s">
        <v>77</v>
      </c>
      <c r="N612">
        <v>2023</v>
      </c>
      <c r="O612" s="2" t="s">
        <v>148</v>
      </c>
      <c r="P612" s="2" t="s">
        <v>150</v>
      </c>
      <c r="Q612">
        <v>8</v>
      </c>
      <c r="R612" s="4">
        <v>45139</v>
      </c>
      <c r="S612" s="3">
        <v>5524600</v>
      </c>
      <c r="T612" s="3">
        <v>38.67</v>
      </c>
    </row>
    <row r="613" spans="1:20" hidden="1" x14ac:dyDescent="0.3">
      <c r="A613" s="1">
        <v>45146</v>
      </c>
      <c r="B613" s="2" t="s">
        <v>84</v>
      </c>
      <c r="C613" s="2" t="s">
        <v>126</v>
      </c>
      <c r="D613" s="2" t="s">
        <v>102</v>
      </c>
      <c r="E613" s="2" t="s">
        <v>103</v>
      </c>
      <c r="F613" s="2" t="s">
        <v>24</v>
      </c>
      <c r="G613">
        <v>5</v>
      </c>
      <c r="H613">
        <v>150</v>
      </c>
      <c r="I613">
        <v>29</v>
      </c>
      <c r="J613" s="3">
        <v>142100</v>
      </c>
      <c r="K613" s="3">
        <v>4120900</v>
      </c>
      <c r="L613" s="2" t="s">
        <v>25</v>
      </c>
      <c r="M613" s="2" t="s">
        <v>77</v>
      </c>
      <c r="N613">
        <v>2023</v>
      </c>
      <c r="O613" s="2" t="s">
        <v>148</v>
      </c>
      <c r="P613" s="2" t="s">
        <v>150</v>
      </c>
      <c r="Q613">
        <v>8</v>
      </c>
      <c r="R613" s="4">
        <v>45139</v>
      </c>
      <c r="S613" s="3">
        <v>142100</v>
      </c>
      <c r="T613" s="3">
        <v>0.41</v>
      </c>
    </row>
    <row r="614" spans="1:20" hidden="1" x14ac:dyDescent="0.3">
      <c r="A614" s="1">
        <v>45146</v>
      </c>
      <c r="B614" s="2" t="s">
        <v>75</v>
      </c>
      <c r="C614" s="2" t="s">
        <v>76</v>
      </c>
      <c r="D614" s="2" t="s">
        <v>102</v>
      </c>
      <c r="E614" s="2" t="s">
        <v>103</v>
      </c>
      <c r="F614" s="2" t="s">
        <v>24</v>
      </c>
      <c r="G614">
        <v>5</v>
      </c>
      <c r="H614">
        <v>150</v>
      </c>
      <c r="I614">
        <v>136</v>
      </c>
      <c r="J614" s="3">
        <v>187300</v>
      </c>
      <c r="K614" s="3">
        <v>25472800</v>
      </c>
      <c r="L614" s="2" t="s">
        <v>33</v>
      </c>
      <c r="M614" s="2" t="s">
        <v>77</v>
      </c>
      <c r="N614">
        <v>2023</v>
      </c>
      <c r="O614" s="2" t="s">
        <v>148</v>
      </c>
      <c r="P614" s="2" t="s">
        <v>150</v>
      </c>
      <c r="Q614">
        <v>8</v>
      </c>
      <c r="R614" s="4">
        <v>45139</v>
      </c>
      <c r="S614" s="3">
        <v>187300</v>
      </c>
      <c r="T614" s="3">
        <v>2.5499999999999998</v>
      </c>
    </row>
    <row r="615" spans="1:20" hidden="1" x14ac:dyDescent="0.3">
      <c r="A615" s="1">
        <v>45146</v>
      </c>
      <c r="B615" s="2" t="s">
        <v>46</v>
      </c>
      <c r="C615" s="2" t="s">
        <v>110</v>
      </c>
      <c r="D615" s="2" t="s">
        <v>88</v>
      </c>
      <c r="E615" s="2" t="s">
        <v>111</v>
      </c>
      <c r="F615" s="2" t="s">
        <v>24</v>
      </c>
      <c r="G615">
        <v>60</v>
      </c>
      <c r="H615">
        <v>480</v>
      </c>
      <c r="I615">
        <v>6</v>
      </c>
      <c r="J615" s="3">
        <v>3342200</v>
      </c>
      <c r="K615" s="3">
        <v>20053200</v>
      </c>
      <c r="L615" s="2" t="s">
        <v>33</v>
      </c>
      <c r="M615" s="2" t="s">
        <v>26</v>
      </c>
      <c r="N615">
        <v>2023</v>
      </c>
      <c r="O615" s="2" t="s">
        <v>148</v>
      </c>
      <c r="P615" s="2" t="s">
        <v>150</v>
      </c>
      <c r="Q615">
        <v>8</v>
      </c>
      <c r="R615" s="4">
        <v>45139</v>
      </c>
      <c r="S615" s="3">
        <v>3342200</v>
      </c>
      <c r="T615" s="3">
        <v>2.0099999999999998</v>
      </c>
    </row>
    <row r="616" spans="1:20" hidden="1" x14ac:dyDescent="0.3">
      <c r="A616" s="1">
        <v>45147</v>
      </c>
      <c r="B616" s="2" t="s">
        <v>84</v>
      </c>
      <c r="C616" s="2" t="s">
        <v>126</v>
      </c>
      <c r="D616" s="2" t="s">
        <v>79</v>
      </c>
      <c r="E616" s="2" t="s">
        <v>80</v>
      </c>
      <c r="F616" s="2" t="s">
        <v>24</v>
      </c>
      <c r="G616">
        <v>69</v>
      </c>
      <c r="H616">
        <v>418</v>
      </c>
      <c r="I616">
        <v>30</v>
      </c>
      <c r="J616" s="3">
        <v>6501200</v>
      </c>
      <c r="K616" s="3">
        <v>195036000</v>
      </c>
      <c r="L616" s="2" t="s">
        <v>33</v>
      </c>
      <c r="M616" s="2" t="s">
        <v>77</v>
      </c>
      <c r="N616">
        <v>2023</v>
      </c>
      <c r="O616" s="2" t="s">
        <v>148</v>
      </c>
      <c r="P616" s="2" t="s">
        <v>150</v>
      </c>
      <c r="Q616">
        <v>8</v>
      </c>
      <c r="R616" s="4">
        <v>45139</v>
      </c>
      <c r="S616" s="3">
        <v>6501200</v>
      </c>
      <c r="T616" s="3">
        <v>19.5</v>
      </c>
    </row>
    <row r="617" spans="1:20" hidden="1" x14ac:dyDescent="0.3">
      <c r="A617" s="1">
        <v>45147</v>
      </c>
      <c r="B617" s="2" t="s">
        <v>75</v>
      </c>
      <c r="C617" s="2" t="s">
        <v>122</v>
      </c>
      <c r="D617" s="2" t="s">
        <v>57</v>
      </c>
      <c r="E617" s="2" t="s">
        <v>86</v>
      </c>
      <c r="F617" s="2" t="s">
        <v>72</v>
      </c>
      <c r="G617">
        <v>48</v>
      </c>
      <c r="H617">
        <v>39</v>
      </c>
      <c r="I617">
        <v>27</v>
      </c>
      <c r="J617" s="3">
        <v>2657900</v>
      </c>
      <c r="K617" s="3">
        <v>71763300</v>
      </c>
      <c r="L617" s="2" t="s">
        <v>33</v>
      </c>
      <c r="M617" s="2" t="s">
        <v>26</v>
      </c>
      <c r="N617">
        <v>2023</v>
      </c>
      <c r="O617" s="2" t="s">
        <v>148</v>
      </c>
      <c r="P617" s="2" t="s">
        <v>150</v>
      </c>
      <c r="Q617">
        <v>8</v>
      </c>
      <c r="R617" s="4">
        <v>45139</v>
      </c>
      <c r="S617" s="3">
        <v>2657900</v>
      </c>
      <c r="T617" s="3">
        <v>7.18</v>
      </c>
    </row>
    <row r="618" spans="1:20" hidden="1" x14ac:dyDescent="0.3">
      <c r="A618" s="1">
        <v>45148</v>
      </c>
      <c r="B618" s="2" t="s">
        <v>106</v>
      </c>
      <c r="C618" s="2" t="s">
        <v>120</v>
      </c>
      <c r="D618" s="2" t="s">
        <v>67</v>
      </c>
      <c r="E618" s="2" t="s">
        <v>68</v>
      </c>
      <c r="F618" s="2" t="s">
        <v>24</v>
      </c>
      <c r="G618">
        <v>66</v>
      </c>
      <c r="H618">
        <v>440</v>
      </c>
      <c r="I618">
        <v>35</v>
      </c>
      <c r="J618" s="3">
        <v>6320500</v>
      </c>
      <c r="K618" s="3">
        <v>221217500</v>
      </c>
      <c r="L618" s="2" t="s">
        <v>33</v>
      </c>
      <c r="M618" s="2" t="s">
        <v>26</v>
      </c>
      <c r="N618">
        <v>2023</v>
      </c>
      <c r="O618" s="2" t="s">
        <v>148</v>
      </c>
      <c r="P618" s="2" t="s">
        <v>150</v>
      </c>
      <c r="Q618">
        <v>8</v>
      </c>
      <c r="R618" s="4">
        <v>45139</v>
      </c>
      <c r="S618" s="3">
        <v>6320500</v>
      </c>
      <c r="T618" s="3">
        <v>22.12</v>
      </c>
    </row>
    <row r="619" spans="1:20" hidden="1" x14ac:dyDescent="0.3">
      <c r="A619" s="1">
        <v>45148</v>
      </c>
      <c r="B619" s="2" t="s">
        <v>46</v>
      </c>
      <c r="C619" s="2" t="s">
        <v>47</v>
      </c>
      <c r="D619" s="2" t="s">
        <v>22</v>
      </c>
      <c r="E619" s="2" t="s">
        <v>23</v>
      </c>
      <c r="F619" s="2" t="s">
        <v>24</v>
      </c>
      <c r="G619">
        <v>82</v>
      </c>
      <c r="H619">
        <v>520</v>
      </c>
      <c r="I619">
        <v>18</v>
      </c>
      <c r="J619" s="3">
        <v>7179200</v>
      </c>
      <c r="K619" s="3">
        <v>129225600</v>
      </c>
      <c r="L619" s="2" t="s">
        <v>33</v>
      </c>
      <c r="M619" s="2" t="s">
        <v>26</v>
      </c>
      <c r="N619">
        <v>2023</v>
      </c>
      <c r="O619" s="2" t="s">
        <v>148</v>
      </c>
      <c r="P619" s="2" t="s">
        <v>150</v>
      </c>
      <c r="Q619">
        <v>8</v>
      </c>
      <c r="R619" s="4">
        <v>45139</v>
      </c>
      <c r="S619" s="3">
        <v>7179200</v>
      </c>
      <c r="T619" s="3">
        <v>12.92</v>
      </c>
    </row>
    <row r="620" spans="1:20" hidden="1" x14ac:dyDescent="0.3">
      <c r="A620" s="1">
        <v>45149</v>
      </c>
      <c r="B620" s="2" t="s">
        <v>46</v>
      </c>
      <c r="C620" s="2" t="s">
        <v>47</v>
      </c>
      <c r="D620" s="2" t="s">
        <v>42</v>
      </c>
      <c r="E620" s="2" t="s">
        <v>43</v>
      </c>
      <c r="F620" s="2" t="s">
        <v>24</v>
      </c>
      <c r="G620">
        <v>3</v>
      </c>
      <c r="H620">
        <v>135</v>
      </c>
      <c r="I620">
        <v>99</v>
      </c>
      <c r="J620" s="3">
        <v>116100</v>
      </c>
      <c r="K620" s="3">
        <v>11493900</v>
      </c>
      <c r="L620" s="2" t="s">
        <v>33</v>
      </c>
      <c r="M620" s="2" t="s">
        <v>77</v>
      </c>
      <c r="N620">
        <v>2023</v>
      </c>
      <c r="O620" s="2" t="s">
        <v>148</v>
      </c>
      <c r="P620" s="2" t="s">
        <v>150</v>
      </c>
      <c r="Q620">
        <v>8</v>
      </c>
      <c r="R620" s="4">
        <v>45139</v>
      </c>
      <c r="S620" s="3">
        <v>116100</v>
      </c>
      <c r="T620" s="3">
        <v>1.1499999999999999</v>
      </c>
    </row>
    <row r="621" spans="1:20" hidden="1" x14ac:dyDescent="0.3">
      <c r="A621" s="1">
        <v>45149</v>
      </c>
      <c r="B621" s="2" t="s">
        <v>84</v>
      </c>
      <c r="C621" s="2" t="s">
        <v>93</v>
      </c>
      <c r="D621" s="2" t="s">
        <v>37</v>
      </c>
      <c r="E621" s="2" t="s">
        <v>38</v>
      </c>
      <c r="F621" s="2" t="s">
        <v>24</v>
      </c>
      <c r="G621">
        <v>66</v>
      </c>
      <c r="H621">
        <v>423</v>
      </c>
      <c r="I621">
        <v>63</v>
      </c>
      <c r="J621" s="3">
        <v>7963600</v>
      </c>
      <c r="K621" s="3">
        <v>501706800</v>
      </c>
      <c r="L621" s="2" t="s">
        <v>33</v>
      </c>
      <c r="M621" s="2" t="s">
        <v>26</v>
      </c>
      <c r="N621">
        <v>2023</v>
      </c>
      <c r="O621" s="2" t="s">
        <v>148</v>
      </c>
      <c r="P621" s="2" t="s">
        <v>150</v>
      </c>
      <c r="Q621">
        <v>8</v>
      </c>
      <c r="R621" s="4">
        <v>45139</v>
      </c>
      <c r="S621" s="3">
        <v>7963600</v>
      </c>
      <c r="T621" s="3">
        <v>50.17</v>
      </c>
    </row>
    <row r="622" spans="1:20" hidden="1" x14ac:dyDescent="0.3">
      <c r="A622" s="1">
        <v>45150</v>
      </c>
      <c r="B622" s="2" t="s">
        <v>48</v>
      </c>
      <c r="C622" s="2" t="s">
        <v>69</v>
      </c>
      <c r="D622" s="2" t="s">
        <v>79</v>
      </c>
      <c r="E622" s="2" t="s">
        <v>80</v>
      </c>
      <c r="F622" s="2" t="s">
        <v>39</v>
      </c>
      <c r="G622">
        <v>69</v>
      </c>
      <c r="H622">
        <v>418</v>
      </c>
      <c r="I622">
        <v>59</v>
      </c>
      <c r="J622" s="3">
        <v>5863800</v>
      </c>
      <c r="K622" s="3">
        <v>345964200</v>
      </c>
      <c r="L622" s="2" t="s">
        <v>25</v>
      </c>
      <c r="M622" s="2" t="s">
        <v>97</v>
      </c>
      <c r="N622">
        <v>2023</v>
      </c>
      <c r="O622" s="2" t="s">
        <v>148</v>
      </c>
      <c r="P622" s="2" t="s">
        <v>150</v>
      </c>
      <c r="Q622">
        <v>8</v>
      </c>
      <c r="R622" s="4">
        <v>45139</v>
      </c>
      <c r="S622" s="3">
        <v>5863800</v>
      </c>
      <c r="T622" s="3">
        <v>34.6</v>
      </c>
    </row>
    <row r="623" spans="1:20" hidden="1" x14ac:dyDescent="0.3">
      <c r="A623" s="1">
        <v>45150</v>
      </c>
      <c r="B623" s="2" t="s">
        <v>35</v>
      </c>
      <c r="C623" s="2" t="s">
        <v>87</v>
      </c>
      <c r="D623" s="2" t="s">
        <v>63</v>
      </c>
      <c r="E623" s="2" t="s">
        <v>64</v>
      </c>
      <c r="F623" s="2" t="s">
        <v>24</v>
      </c>
      <c r="G623">
        <v>3</v>
      </c>
      <c r="H623">
        <v>127</v>
      </c>
      <c r="I623">
        <v>117</v>
      </c>
      <c r="J623" s="3">
        <v>181000</v>
      </c>
      <c r="K623" s="3">
        <v>21177000</v>
      </c>
      <c r="L623" s="2" t="s">
        <v>33</v>
      </c>
      <c r="M623" s="2" t="s">
        <v>34</v>
      </c>
      <c r="N623">
        <v>2023</v>
      </c>
      <c r="O623" s="2" t="s">
        <v>148</v>
      </c>
      <c r="P623" s="2" t="s">
        <v>150</v>
      </c>
      <c r="Q623">
        <v>8</v>
      </c>
      <c r="R623" s="4">
        <v>45139</v>
      </c>
      <c r="S623" s="3">
        <v>181000</v>
      </c>
      <c r="T623" s="3">
        <v>2.12</v>
      </c>
    </row>
    <row r="624" spans="1:20" hidden="1" x14ac:dyDescent="0.3">
      <c r="A624" s="1">
        <v>45151</v>
      </c>
      <c r="B624" s="2" t="s">
        <v>84</v>
      </c>
      <c r="C624" s="2" t="s">
        <v>113</v>
      </c>
      <c r="D624" s="2" t="s">
        <v>22</v>
      </c>
      <c r="E624" s="2" t="s">
        <v>23</v>
      </c>
      <c r="F624" s="2" t="s">
        <v>39</v>
      </c>
      <c r="G624">
        <v>82</v>
      </c>
      <c r="H624">
        <v>520</v>
      </c>
      <c r="I624">
        <v>55</v>
      </c>
      <c r="J624" s="3">
        <v>6388100</v>
      </c>
      <c r="K624" s="3">
        <v>351345500</v>
      </c>
      <c r="L624" s="2" t="s">
        <v>25</v>
      </c>
      <c r="M624" s="2" t="s">
        <v>26</v>
      </c>
      <c r="N624">
        <v>2023</v>
      </c>
      <c r="O624" s="2" t="s">
        <v>148</v>
      </c>
      <c r="P624" s="2" t="s">
        <v>150</v>
      </c>
      <c r="Q624">
        <v>8</v>
      </c>
      <c r="R624" s="4">
        <v>45139</v>
      </c>
      <c r="S624" s="3">
        <v>6388100</v>
      </c>
      <c r="T624" s="3">
        <v>35.130000000000003</v>
      </c>
    </row>
    <row r="625" spans="1:20" hidden="1" x14ac:dyDescent="0.3">
      <c r="A625" s="1">
        <v>45152</v>
      </c>
      <c r="B625" s="2" t="s">
        <v>90</v>
      </c>
      <c r="C625" s="2" t="s">
        <v>114</v>
      </c>
      <c r="D625" s="2" t="s">
        <v>88</v>
      </c>
      <c r="E625" s="2" t="s">
        <v>89</v>
      </c>
      <c r="F625" s="2" t="s">
        <v>24</v>
      </c>
      <c r="G625">
        <v>82</v>
      </c>
      <c r="H625">
        <v>580</v>
      </c>
      <c r="I625">
        <v>76</v>
      </c>
      <c r="J625" s="3">
        <v>4911100</v>
      </c>
      <c r="K625" s="3">
        <v>373243600</v>
      </c>
      <c r="L625" s="2" t="s">
        <v>92</v>
      </c>
      <c r="M625" s="2" t="s">
        <v>77</v>
      </c>
      <c r="N625">
        <v>2023</v>
      </c>
      <c r="O625" s="2" t="s">
        <v>148</v>
      </c>
      <c r="P625" s="2" t="s">
        <v>150</v>
      </c>
      <c r="Q625">
        <v>8</v>
      </c>
      <c r="R625" s="4">
        <v>45139</v>
      </c>
      <c r="S625" s="3">
        <v>4911100</v>
      </c>
      <c r="T625" s="3">
        <v>37.32</v>
      </c>
    </row>
    <row r="626" spans="1:20" hidden="1" x14ac:dyDescent="0.3">
      <c r="A626" s="1">
        <v>45152</v>
      </c>
      <c r="B626" s="2" t="s">
        <v>59</v>
      </c>
      <c r="C626" s="2" t="s">
        <v>81</v>
      </c>
      <c r="D626" s="2" t="s">
        <v>54</v>
      </c>
      <c r="E626" s="2" t="s">
        <v>55</v>
      </c>
      <c r="F626" s="2" t="s">
        <v>24</v>
      </c>
      <c r="G626">
        <v>30</v>
      </c>
      <c r="H626">
        <v>320</v>
      </c>
      <c r="I626">
        <v>26</v>
      </c>
      <c r="J626" s="3">
        <v>1686600</v>
      </c>
      <c r="K626" s="3">
        <v>43851600</v>
      </c>
      <c r="L626" s="2" t="s">
        <v>33</v>
      </c>
      <c r="M626" s="2" t="s">
        <v>26</v>
      </c>
      <c r="N626">
        <v>2023</v>
      </c>
      <c r="O626" s="2" t="s">
        <v>148</v>
      </c>
      <c r="P626" s="2" t="s">
        <v>150</v>
      </c>
      <c r="Q626">
        <v>8</v>
      </c>
      <c r="R626" s="4">
        <v>45139</v>
      </c>
      <c r="S626" s="3">
        <v>1686600</v>
      </c>
      <c r="T626" s="3">
        <v>4.3899999999999997</v>
      </c>
    </row>
    <row r="627" spans="1:20" hidden="1" x14ac:dyDescent="0.3">
      <c r="A627" s="1">
        <v>45152</v>
      </c>
      <c r="B627" s="2" t="s">
        <v>106</v>
      </c>
      <c r="C627" s="2" t="s">
        <v>120</v>
      </c>
      <c r="D627" s="2" t="s">
        <v>88</v>
      </c>
      <c r="E627" s="2" t="s">
        <v>89</v>
      </c>
      <c r="F627" s="2" t="s">
        <v>24</v>
      </c>
      <c r="G627">
        <v>82</v>
      </c>
      <c r="H627">
        <v>580</v>
      </c>
      <c r="I627">
        <v>63</v>
      </c>
      <c r="J627" s="3">
        <v>6000700</v>
      </c>
      <c r="K627" s="3">
        <v>378044100</v>
      </c>
      <c r="L627" s="2" t="s">
        <v>33</v>
      </c>
      <c r="M627" s="2" t="s">
        <v>26</v>
      </c>
      <c r="N627">
        <v>2023</v>
      </c>
      <c r="O627" s="2" t="s">
        <v>148</v>
      </c>
      <c r="P627" s="2" t="s">
        <v>150</v>
      </c>
      <c r="Q627">
        <v>8</v>
      </c>
      <c r="R627" s="4">
        <v>45139</v>
      </c>
      <c r="S627" s="3">
        <v>6000700</v>
      </c>
      <c r="T627" s="3">
        <v>37.799999999999997</v>
      </c>
    </row>
    <row r="628" spans="1:20" hidden="1" x14ac:dyDescent="0.3">
      <c r="A628" s="1">
        <v>45152</v>
      </c>
      <c r="B628" s="2" t="s">
        <v>108</v>
      </c>
      <c r="C628" s="2" t="s">
        <v>133</v>
      </c>
      <c r="D628" s="2" t="s">
        <v>79</v>
      </c>
      <c r="E628" s="2" t="s">
        <v>80</v>
      </c>
      <c r="F628" s="2" t="s">
        <v>138</v>
      </c>
      <c r="G628">
        <v>69</v>
      </c>
      <c r="H628">
        <v>418</v>
      </c>
      <c r="I628">
        <v>26</v>
      </c>
      <c r="J628" s="3">
        <v>5519900</v>
      </c>
      <c r="K628" s="3">
        <v>143517400</v>
      </c>
      <c r="L628" s="2" t="s">
        <v>33</v>
      </c>
      <c r="M628" s="2" t="s">
        <v>26</v>
      </c>
      <c r="N628">
        <v>2023</v>
      </c>
      <c r="O628" s="2" t="s">
        <v>148</v>
      </c>
      <c r="P628" s="2" t="s">
        <v>150</v>
      </c>
      <c r="Q628">
        <v>8</v>
      </c>
      <c r="R628" s="4">
        <v>45139</v>
      </c>
      <c r="S628" s="3">
        <v>5519900</v>
      </c>
      <c r="T628" s="3">
        <v>14.35</v>
      </c>
    </row>
    <row r="629" spans="1:20" hidden="1" x14ac:dyDescent="0.3">
      <c r="A629" s="1">
        <v>45152</v>
      </c>
      <c r="B629" s="2" t="s">
        <v>106</v>
      </c>
      <c r="C629" s="2" t="s">
        <v>107</v>
      </c>
      <c r="D629" s="2" t="s">
        <v>50</v>
      </c>
      <c r="E629" s="2" t="s">
        <v>51</v>
      </c>
      <c r="F629" s="2" t="s">
        <v>24</v>
      </c>
      <c r="G629">
        <v>77</v>
      </c>
      <c r="H629">
        <v>528</v>
      </c>
      <c r="I629">
        <v>61</v>
      </c>
      <c r="J629" s="3">
        <v>5174400</v>
      </c>
      <c r="K629" s="3">
        <v>315638400</v>
      </c>
      <c r="L629" s="2" t="s">
        <v>33</v>
      </c>
      <c r="M629" s="2" t="s">
        <v>26</v>
      </c>
      <c r="N629">
        <v>2023</v>
      </c>
      <c r="O629" s="2" t="s">
        <v>148</v>
      </c>
      <c r="P629" s="2" t="s">
        <v>150</v>
      </c>
      <c r="Q629">
        <v>8</v>
      </c>
      <c r="R629" s="4">
        <v>45139</v>
      </c>
      <c r="S629" s="3">
        <v>5174400</v>
      </c>
      <c r="T629" s="3">
        <v>31.56</v>
      </c>
    </row>
    <row r="630" spans="1:20" hidden="1" x14ac:dyDescent="0.3">
      <c r="A630" s="1">
        <v>45152</v>
      </c>
      <c r="B630" s="2" t="s">
        <v>59</v>
      </c>
      <c r="C630" s="2" t="s">
        <v>81</v>
      </c>
      <c r="D630" s="2" t="s">
        <v>102</v>
      </c>
      <c r="E630" s="2" t="s">
        <v>103</v>
      </c>
      <c r="F630" s="2" t="s">
        <v>24</v>
      </c>
      <c r="G630">
        <v>5</v>
      </c>
      <c r="H630">
        <v>150</v>
      </c>
      <c r="I630">
        <v>30</v>
      </c>
      <c r="J630" s="3">
        <v>156800</v>
      </c>
      <c r="K630" s="3">
        <v>4704000</v>
      </c>
      <c r="L630" s="2" t="s">
        <v>33</v>
      </c>
      <c r="M630" s="2" t="s">
        <v>26</v>
      </c>
      <c r="N630">
        <v>2023</v>
      </c>
      <c r="O630" s="2" t="s">
        <v>148</v>
      </c>
      <c r="P630" s="2" t="s">
        <v>150</v>
      </c>
      <c r="Q630">
        <v>8</v>
      </c>
      <c r="R630" s="4">
        <v>45139</v>
      </c>
      <c r="S630" s="3">
        <v>156800</v>
      </c>
      <c r="T630" s="3">
        <v>0.47</v>
      </c>
    </row>
    <row r="631" spans="1:20" hidden="1" x14ac:dyDescent="0.3">
      <c r="A631" s="1">
        <v>45153</v>
      </c>
      <c r="B631" s="2" t="s">
        <v>48</v>
      </c>
      <c r="C631" s="2" t="s">
        <v>98</v>
      </c>
      <c r="D631" s="2" t="s">
        <v>37</v>
      </c>
      <c r="E631" s="2" t="s">
        <v>38</v>
      </c>
      <c r="F631" s="2" t="s">
        <v>24</v>
      </c>
      <c r="G631">
        <v>66</v>
      </c>
      <c r="H631">
        <v>423</v>
      </c>
      <c r="I631">
        <v>68</v>
      </c>
      <c r="J631" s="3">
        <v>7072200</v>
      </c>
      <c r="K631" s="3">
        <v>480909600</v>
      </c>
      <c r="L631" s="2" t="s">
        <v>33</v>
      </c>
      <c r="M631" s="2" t="s">
        <v>34</v>
      </c>
      <c r="N631">
        <v>2023</v>
      </c>
      <c r="O631" s="2" t="s">
        <v>148</v>
      </c>
      <c r="P631" s="2" t="s">
        <v>150</v>
      </c>
      <c r="Q631">
        <v>8</v>
      </c>
      <c r="R631" s="4">
        <v>45139</v>
      </c>
      <c r="S631" s="3">
        <v>7072200</v>
      </c>
      <c r="T631" s="3">
        <v>48.09</v>
      </c>
    </row>
    <row r="632" spans="1:20" hidden="1" x14ac:dyDescent="0.3">
      <c r="A632" s="1">
        <v>45153</v>
      </c>
      <c r="B632" s="2" t="s">
        <v>35</v>
      </c>
      <c r="C632" s="2" t="s">
        <v>87</v>
      </c>
      <c r="D632" s="2" t="s">
        <v>57</v>
      </c>
      <c r="E632" s="2" t="s">
        <v>86</v>
      </c>
      <c r="F632" s="2" t="s">
        <v>24</v>
      </c>
      <c r="G632">
        <v>48</v>
      </c>
      <c r="H632">
        <v>39</v>
      </c>
      <c r="I632">
        <v>30</v>
      </c>
      <c r="J632" s="3">
        <v>2267600</v>
      </c>
      <c r="K632" s="3">
        <v>68028000</v>
      </c>
      <c r="L632" s="2" t="s">
        <v>92</v>
      </c>
      <c r="M632" s="2" t="s">
        <v>26</v>
      </c>
      <c r="N632">
        <v>2023</v>
      </c>
      <c r="O632" s="2" t="s">
        <v>148</v>
      </c>
      <c r="P632" s="2" t="s">
        <v>150</v>
      </c>
      <c r="Q632">
        <v>8</v>
      </c>
      <c r="R632" s="4">
        <v>45139</v>
      </c>
      <c r="S632" s="3">
        <v>2267600</v>
      </c>
      <c r="T632" s="3">
        <v>6.8</v>
      </c>
    </row>
    <row r="633" spans="1:20" hidden="1" x14ac:dyDescent="0.3">
      <c r="A633" s="1">
        <v>45154</v>
      </c>
      <c r="B633" s="2" t="s">
        <v>46</v>
      </c>
      <c r="C633" s="2" t="s">
        <v>110</v>
      </c>
      <c r="D633" s="2" t="s">
        <v>22</v>
      </c>
      <c r="E633" s="2" t="s">
        <v>23</v>
      </c>
      <c r="F633" s="2" t="s">
        <v>72</v>
      </c>
      <c r="G633">
        <v>82</v>
      </c>
      <c r="H633">
        <v>520</v>
      </c>
      <c r="I633">
        <v>29</v>
      </c>
      <c r="J633" s="3">
        <v>6286900</v>
      </c>
      <c r="K633" s="3">
        <v>182320100</v>
      </c>
      <c r="L633" s="2" t="s">
        <v>25</v>
      </c>
      <c r="M633" s="2" t="s">
        <v>26</v>
      </c>
      <c r="N633">
        <v>2023</v>
      </c>
      <c r="O633" s="2" t="s">
        <v>148</v>
      </c>
      <c r="P633" s="2" t="s">
        <v>150</v>
      </c>
      <c r="Q633">
        <v>8</v>
      </c>
      <c r="R633" s="4">
        <v>45139</v>
      </c>
      <c r="S633" s="3">
        <v>6286900</v>
      </c>
      <c r="T633" s="3">
        <v>18.23</v>
      </c>
    </row>
    <row r="634" spans="1:20" hidden="1" x14ac:dyDescent="0.3">
      <c r="A634" s="1">
        <v>45154</v>
      </c>
      <c r="B634" s="2" t="s">
        <v>75</v>
      </c>
      <c r="C634" s="2" t="s">
        <v>122</v>
      </c>
      <c r="D634" s="2" t="s">
        <v>79</v>
      </c>
      <c r="E634" s="2" t="s">
        <v>80</v>
      </c>
      <c r="F634" s="2" t="s">
        <v>24</v>
      </c>
      <c r="G634">
        <v>69</v>
      </c>
      <c r="H634">
        <v>418</v>
      </c>
      <c r="I634">
        <v>10</v>
      </c>
      <c r="J634" s="3">
        <v>5784500</v>
      </c>
      <c r="K634" s="3">
        <v>57845000</v>
      </c>
      <c r="L634" s="2" t="s">
        <v>25</v>
      </c>
      <c r="M634" s="2" t="s">
        <v>77</v>
      </c>
      <c r="N634">
        <v>2023</v>
      </c>
      <c r="O634" s="2" t="s">
        <v>148</v>
      </c>
      <c r="P634" s="2" t="s">
        <v>150</v>
      </c>
      <c r="Q634">
        <v>8</v>
      </c>
      <c r="R634" s="4">
        <v>45139</v>
      </c>
      <c r="S634" s="3">
        <v>5784500</v>
      </c>
      <c r="T634" s="3">
        <v>5.78</v>
      </c>
    </row>
    <row r="635" spans="1:20" hidden="1" x14ac:dyDescent="0.3">
      <c r="A635" s="1">
        <v>45154</v>
      </c>
      <c r="B635" s="2" t="s">
        <v>48</v>
      </c>
      <c r="C635" s="2" t="s">
        <v>49</v>
      </c>
      <c r="D635" s="2" t="s">
        <v>57</v>
      </c>
      <c r="E635" s="2" t="s">
        <v>58</v>
      </c>
      <c r="F635" s="2" t="s">
        <v>72</v>
      </c>
      <c r="G635">
        <v>72</v>
      </c>
      <c r="H635">
        <v>488</v>
      </c>
      <c r="I635">
        <v>145</v>
      </c>
      <c r="J635" s="3">
        <v>5003700</v>
      </c>
      <c r="K635" s="3">
        <v>725536500</v>
      </c>
      <c r="L635" s="2" t="s">
        <v>33</v>
      </c>
      <c r="M635" s="2" t="s">
        <v>26</v>
      </c>
      <c r="N635">
        <v>2023</v>
      </c>
      <c r="O635" s="2" t="s">
        <v>148</v>
      </c>
      <c r="P635" s="2" t="s">
        <v>150</v>
      </c>
      <c r="Q635">
        <v>8</v>
      </c>
      <c r="R635" s="4">
        <v>45139</v>
      </c>
      <c r="S635" s="3">
        <v>5003700</v>
      </c>
      <c r="T635" s="3">
        <v>72.55</v>
      </c>
    </row>
    <row r="636" spans="1:20" hidden="1" x14ac:dyDescent="0.3">
      <c r="A636" s="1">
        <v>45155</v>
      </c>
      <c r="B636" s="2" t="s">
        <v>75</v>
      </c>
      <c r="C636" s="2" t="s">
        <v>134</v>
      </c>
      <c r="D636" s="2" t="s">
        <v>79</v>
      </c>
      <c r="E636" s="2" t="s">
        <v>80</v>
      </c>
      <c r="F636" s="2" t="s">
        <v>39</v>
      </c>
      <c r="G636">
        <v>69</v>
      </c>
      <c r="H636">
        <v>418</v>
      </c>
      <c r="I636">
        <v>27</v>
      </c>
      <c r="J636" s="3">
        <v>6211100</v>
      </c>
      <c r="K636" s="3">
        <v>167699700</v>
      </c>
      <c r="L636" s="2" t="s">
        <v>33</v>
      </c>
      <c r="M636" s="2" t="s">
        <v>26</v>
      </c>
      <c r="N636">
        <v>2023</v>
      </c>
      <c r="O636" s="2" t="s">
        <v>148</v>
      </c>
      <c r="P636" s="2" t="s">
        <v>150</v>
      </c>
      <c r="Q636">
        <v>8</v>
      </c>
      <c r="R636" s="4">
        <v>45139</v>
      </c>
      <c r="S636" s="3">
        <v>6211100</v>
      </c>
      <c r="T636" s="3">
        <v>16.77</v>
      </c>
    </row>
    <row r="637" spans="1:20" hidden="1" x14ac:dyDescent="0.3">
      <c r="A637" s="1">
        <v>45155</v>
      </c>
      <c r="B637" s="2" t="s">
        <v>20</v>
      </c>
      <c r="C637" s="2" t="s">
        <v>125</v>
      </c>
      <c r="D637" s="2" t="s">
        <v>88</v>
      </c>
      <c r="E637" s="2" t="s">
        <v>89</v>
      </c>
      <c r="F637" s="2" t="s">
        <v>24</v>
      </c>
      <c r="G637">
        <v>82</v>
      </c>
      <c r="H637">
        <v>580</v>
      </c>
      <c r="I637">
        <v>50</v>
      </c>
      <c r="J637" s="3">
        <v>5503500</v>
      </c>
      <c r="K637" s="3">
        <v>275175000</v>
      </c>
      <c r="L637" s="2" t="s">
        <v>33</v>
      </c>
      <c r="M637" s="2" t="s">
        <v>26</v>
      </c>
      <c r="N637">
        <v>2023</v>
      </c>
      <c r="O637" s="2" t="s">
        <v>148</v>
      </c>
      <c r="P637" s="2" t="s">
        <v>150</v>
      </c>
      <c r="Q637">
        <v>8</v>
      </c>
      <c r="R637" s="4">
        <v>45139</v>
      </c>
      <c r="S637" s="3">
        <v>5503500</v>
      </c>
      <c r="T637" s="3">
        <v>27.52</v>
      </c>
    </row>
    <row r="638" spans="1:20" hidden="1" x14ac:dyDescent="0.3">
      <c r="A638" s="1">
        <v>45156</v>
      </c>
      <c r="B638" s="2" t="s">
        <v>35</v>
      </c>
      <c r="C638" s="2" t="s">
        <v>87</v>
      </c>
      <c r="D638" s="2" t="s">
        <v>88</v>
      </c>
      <c r="E638" s="2" t="s">
        <v>111</v>
      </c>
      <c r="F638" s="2" t="s">
        <v>138</v>
      </c>
      <c r="G638">
        <v>60</v>
      </c>
      <c r="H638">
        <v>480</v>
      </c>
      <c r="I638">
        <v>39</v>
      </c>
      <c r="J638" s="3">
        <v>3394100</v>
      </c>
      <c r="K638" s="3">
        <v>132369900</v>
      </c>
      <c r="L638" s="2" t="s">
        <v>25</v>
      </c>
      <c r="M638" s="2" t="s">
        <v>34</v>
      </c>
      <c r="N638">
        <v>2023</v>
      </c>
      <c r="O638" s="2" t="s">
        <v>148</v>
      </c>
      <c r="P638" s="2" t="s">
        <v>150</v>
      </c>
      <c r="Q638">
        <v>8</v>
      </c>
      <c r="R638" s="4">
        <v>45139</v>
      </c>
      <c r="S638" s="3">
        <v>3394100</v>
      </c>
      <c r="T638" s="3">
        <v>13.24</v>
      </c>
    </row>
    <row r="639" spans="1:20" hidden="1" x14ac:dyDescent="0.3">
      <c r="A639" s="1">
        <v>45156</v>
      </c>
      <c r="B639" s="2" t="s">
        <v>46</v>
      </c>
      <c r="C639" s="2" t="s">
        <v>110</v>
      </c>
      <c r="D639" s="2" t="s">
        <v>70</v>
      </c>
      <c r="E639" s="2" t="s">
        <v>74</v>
      </c>
      <c r="F639" s="2" t="s">
        <v>39</v>
      </c>
      <c r="G639">
        <v>25</v>
      </c>
      <c r="H639">
        <v>32</v>
      </c>
      <c r="I639">
        <v>138</v>
      </c>
      <c r="J639" s="3">
        <v>1172400</v>
      </c>
      <c r="K639" s="3">
        <v>161791200</v>
      </c>
      <c r="L639" s="2" t="s">
        <v>33</v>
      </c>
      <c r="M639" s="2" t="s">
        <v>26</v>
      </c>
      <c r="N639">
        <v>2023</v>
      </c>
      <c r="O639" s="2" t="s">
        <v>148</v>
      </c>
      <c r="P639" s="2" t="s">
        <v>150</v>
      </c>
      <c r="Q639">
        <v>8</v>
      </c>
      <c r="R639" s="4">
        <v>45139</v>
      </c>
      <c r="S639" s="3">
        <v>1172400</v>
      </c>
      <c r="T639" s="3">
        <v>16.18</v>
      </c>
    </row>
    <row r="640" spans="1:20" hidden="1" x14ac:dyDescent="0.3">
      <c r="A640" s="1">
        <v>45156</v>
      </c>
      <c r="B640" s="2" t="s">
        <v>40</v>
      </c>
      <c r="C640" s="2" t="s">
        <v>78</v>
      </c>
      <c r="D640" s="2" t="s">
        <v>79</v>
      </c>
      <c r="E640" s="2" t="s">
        <v>80</v>
      </c>
      <c r="F640" s="2" t="s">
        <v>24</v>
      </c>
      <c r="G640">
        <v>69</v>
      </c>
      <c r="H640">
        <v>418</v>
      </c>
      <c r="I640">
        <v>21</v>
      </c>
      <c r="J640" s="3">
        <v>4965700</v>
      </c>
      <c r="K640" s="3">
        <v>104279700</v>
      </c>
      <c r="L640" s="2" t="s">
        <v>33</v>
      </c>
      <c r="M640" s="2" t="s">
        <v>77</v>
      </c>
      <c r="N640">
        <v>2023</v>
      </c>
      <c r="O640" s="2" t="s">
        <v>148</v>
      </c>
      <c r="P640" s="2" t="s">
        <v>150</v>
      </c>
      <c r="Q640">
        <v>8</v>
      </c>
      <c r="R640" s="4">
        <v>45139</v>
      </c>
      <c r="S640" s="3">
        <v>4965700</v>
      </c>
      <c r="T640" s="3">
        <v>10.43</v>
      </c>
    </row>
    <row r="641" spans="1:20" hidden="1" x14ac:dyDescent="0.3">
      <c r="A641" s="1">
        <v>45157</v>
      </c>
      <c r="B641" s="2" t="s">
        <v>48</v>
      </c>
      <c r="C641" s="2" t="s">
        <v>73</v>
      </c>
      <c r="D641" s="2" t="s">
        <v>50</v>
      </c>
      <c r="E641" s="2" t="s">
        <v>51</v>
      </c>
      <c r="F641" s="2" t="s">
        <v>138</v>
      </c>
      <c r="G641">
        <v>77</v>
      </c>
      <c r="H641">
        <v>528</v>
      </c>
      <c r="I641">
        <v>24</v>
      </c>
      <c r="J641" s="3">
        <v>5378800</v>
      </c>
      <c r="K641" s="3">
        <v>129091200</v>
      </c>
      <c r="L641" s="2" t="s">
        <v>25</v>
      </c>
      <c r="M641" s="2" t="s">
        <v>77</v>
      </c>
      <c r="N641">
        <v>2023</v>
      </c>
      <c r="O641" s="2" t="s">
        <v>148</v>
      </c>
      <c r="P641" s="2" t="s">
        <v>150</v>
      </c>
      <c r="Q641">
        <v>8</v>
      </c>
      <c r="R641" s="4">
        <v>45139</v>
      </c>
      <c r="S641" s="3">
        <v>5378800</v>
      </c>
      <c r="T641" s="3">
        <v>12.91</v>
      </c>
    </row>
    <row r="642" spans="1:20" hidden="1" x14ac:dyDescent="0.3">
      <c r="A642" s="1">
        <v>45157</v>
      </c>
      <c r="B642" s="2" t="s">
        <v>20</v>
      </c>
      <c r="C642" s="2" t="s">
        <v>21</v>
      </c>
      <c r="D642" s="2" t="s">
        <v>70</v>
      </c>
      <c r="E642" s="2" t="s">
        <v>71</v>
      </c>
      <c r="F642" s="2" t="s">
        <v>72</v>
      </c>
      <c r="G642">
        <v>50</v>
      </c>
      <c r="H642">
        <v>46</v>
      </c>
      <c r="I642">
        <v>146</v>
      </c>
      <c r="J642" s="3">
        <v>2300200</v>
      </c>
      <c r="K642" s="3">
        <v>335829200</v>
      </c>
      <c r="L642" s="2" t="s">
        <v>33</v>
      </c>
      <c r="M642" s="2" t="s">
        <v>26</v>
      </c>
      <c r="N642">
        <v>2023</v>
      </c>
      <c r="O642" s="2" t="s">
        <v>148</v>
      </c>
      <c r="P642" s="2" t="s">
        <v>150</v>
      </c>
      <c r="Q642">
        <v>8</v>
      </c>
      <c r="R642" s="4">
        <v>45139</v>
      </c>
      <c r="S642" s="3">
        <v>2300200</v>
      </c>
      <c r="T642" s="3">
        <v>33.58</v>
      </c>
    </row>
    <row r="643" spans="1:20" hidden="1" x14ac:dyDescent="0.3">
      <c r="A643" s="1">
        <v>45157</v>
      </c>
      <c r="B643" s="2" t="s">
        <v>59</v>
      </c>
      <c r="C643" s="2" t="s">
        <v>81</v>
      </c>
      <c r="D643" s="2" t="s">
        <v>37</v>
      </c>
      <c r="E643" s="2" t="s">
        <v>38</v>
      </c>
      <c r="F643" s="2" t="s">
        <v>24</v>
      </c>
      <c r="G643">
        <v>66</v>
      </c>
      <c r="H643">
        <v>423</v>
      </c>
      <c r="I643">
        <v>32</v>
      </c>
      <c r="J643" s="3">
        <v>8300900</v>
      </c>
      <c r="K643" s="3">
        <v>265628800</v>
      </c>
      <c r="L643" s="2" t="s">
        <v>33</v>
      </c>
      <c r="M643" s="2" t="s">
        <v>97</v>
      </c>
      <c r="N643">
        <v>2023</v>
      </c>
      <c r="O643" s="2" t="s">
        <v>148</v>
      </c>
      <c r="P643" s="2" t="s">
        <v>150</v>
      </c>
      <c r="Q643">
        <v>8</v>
      </c>
      <c r="R643" s="4">
        <v>45139</v>
      </c>
      <c r="S643" s="3">
        <v>8300900</v>
      </c>
      <c r="T643" s="3">
        <v>26.56</v>
      </c>
    </row>
    <row r="644" spans="1:20" hidden="1" x14ac:dyDescent="0.3">
      <c r="A644" s="1">
        <v>45157</v>
      </c>
      <c r="B644" s="2" t="s">
        <v>29</v>
      </c>
      <c r="C644" s="2" t="s">
        <v>96</v>
      </c>
      <c r="D644" s="2" t="s">
        <v>54</v>
      </c>
      <c r="E644" s="2" t="s">
        <v>55</v>
      </c>
      <c r="F644" s="2" t="s">
        <v>24</v>
      </c>
      <c r="G644">
        <v>30</v>
      </c>
      <c r="H644">
        <v>320</v>
      </c>
      <c r="I644">
        <v>25</v>
      </c>
      <c r="J644" s="3">
        <v>1482400</v>
      </c>
      <c r="K644" s="3">
        <v>37060000</v>
      </c>
      <c r="L644" s="2" t="s">
        <v>25</v>
      </c>
      <c r="M644" s="2" t="s">
        <v>34</v>
      </c>
      <c r="N644">
        <v>2023</v>
      </c>
      <c r="O644" s="2" t="s">
        <v>148</v>
      </c>
      <c r="P644" s="2" t="s">
        <v>150</v>
      </c>
      <c r="Q644">
        <v>8</v>
      </c>
      <c r="R644" s="4">
        <v>45139</v>
      </c>
      <c r="S644" s="3">
        <v>1482400</v>
      </c>
      <c r="T644" s="3">
        <v>3.71</v>
      </c>
    </row>
    <row r="645" spans="1:20" hidden="1" x14ac:dyDescent="0.3">
      <c r="A645" s="1">
        <v>45158</v>
      </c>
      <c r="B645" s="2" t="s">
        <v>29</v>
      </c>
      <c r="C645" s="2" t="s">
        <v>30</v>
      </c>
      <c r="D645" s="2" t="s">
        <v>82</v>
      </c>
      <c r="E645" s="2" t="s">
        <v>83</v>
      </c>
      <c r="F645" s="2" t="s">
        <v>24</v>
      </c>
      <c r="G645">
        <v>40</v>
      </c>
      <c r="H645">
        <v>39</v>
      </c>
      <c r="I645">
        <v>104</v>
      </c>
      <c r="J645" s="3">
        <v>2254800</v>
      </c>
      <c r="K645" s="3">
        <v>234499200</v>
      </c>
      <c r="L645" s="2" t="s">
        <v>25</v>
      </c>
      <c r="M645" s="2" t="s">
        <v>26</v>
      </c>
      <c r="N645">
        <v>2023</v>
      </c>
      <c r="O645" s="2" t="s">
        <v>148</v>
      </c>
      <c r="P645" s="2" t="s">
        <v>150</v>
      </c>
      <c r="Q645">
        <v>8</v>
      </c>
      <c r="R645" s="4">
        <v>45139</v>
      </c>
      <c r="S645" s="3">
        <v>2254800</v>
      </c>
      <c r="T645" s="3">
        <v>23.45</v>
      </c>
    </row>
    <row r="646" spans="1:20" hidden="1" x14ac:dyDescent="0.3">
      <c r="A646" s="1">
        <v>45158</v>
      </c>
      <c r="B646" s="2" t="s">
        <v>46</v>
      </c>
      <c r="C646" s="2" t="s">
        <v>47</v>
      </c>
      <c r="D646" s="2" t="s">
        <v>31</v>
      </c>
      <c r="E646" s="2" t="s">
        <v>124</v>
      </c>
      <c r="F646" s="2" t="s">
        <v>24</v>
      </c>
      <c r="G646">
        <v>3</v>
      </c>
      <c r="H646">
        <v>151</v>
      </c>
      <c r="I646">
        <v>100</v>
      </c>
      <c r="J646" s="3">
        <v>94900</v>
      </c>
      <c r="K646" s="3">
        <v>9490000</v>
      </c>
      <c r="L646" s="2" t="s">
        <v>33</v>
      </c>
      <c r="M646" s="2" t="s">
        <v>34</v>
      </c>
      <c r="N646">
        <v>2023</v>
      </c>
      <c r="O646" s="2" t="s">
        <v>148</v>
      </c>
      <c r="P646" s="2" t="s">
        <v>150</v>
      </c>
      <c r="Q646">
        <v>8</v>
      </c>
      <c r="R646" s="4">
        <v>45139</v>
      </c>
      <c r="S646" s="3">
        <v>94900</v>
      </c>
      <c r="T646" s="3">
        <v>0.95</v>
      </c>
    </row>
    <row r="647" spans="1:20" hidden="1" x14ac:dyDescent="0.3">
      <c r="A647" s="1">
        <v>45158</v>
      </c>
      <c r="B647" s="2" t="s">
        <v>59</v>
      </c>
      <c r="C647" s="2" t="s">
        <v>81</v>
      </c>
      <c r="D647" s="2" t="s">
        <v>70</v>
      </c>
      <c r="E647" s="2" t="s">
        <v>74</v>
      </c>
      <c r="F647" s="2" t="s">
        <v>39</v>
      </c>
      <c r="G647">
        <v>25</v>
      </c>
      <c r="H647">
        <v>32</v>
      </c>
      <c r="I647">
        <v>92</v>
      </c>
      <c r="J647" s="3">
        <v>1180000</v>
      </c>
      <c r="K647" s="3">
        <v>108560000</v>
      </c>
      <c r="L647" s="2" t="s">
        <v>25</v>
      </c>
      <c r="M647" s="2" t="s">
        <v>26</v>
      </c>
      <c r="N647">
        <v>2023</v>
      </c>
      <c r="O647" s="2" t="s">
        <v>148</v>
      </c>
      <c r="P647" s="2" t="s">
        <v>150</v>
      </c>
      <c r="Q647">
        <v>8</v>
      </c>
      <c r="R647" s="4">
        <v>45139</v>
      </c>
      <c r="S647" s="3">
        <v>1180000</v>
      </c>
      <c r="T647" s="3">
        <v>10.86</v>
      </c>
    </row>
    <row r="648" spans="1:20" hidden="1" x14ac:dyDescent="0.3">
      <c r="A648" s="1">
        <v>45159</v>
      </c>
      <c r="B648" s="2" t="s">
        <v>29</v>
      </c>
      <c r="C648" s="2" t="s">
        <v>30</v>
      </c>
      <c r="D648" s="2" t="s">
        <v>31</v>
      </c>
      <c r="E648" s="2" t="s">
        <v>124</v>
      </c>
      <c r="F648" s="2" t="s">
        <v>24</v>
      </c>
      <c r="G648">
        <v>3</v>
      </c>
      <c r="H648">
        <v>151</v>
      </c>
      <c r="I648">
        <v>35</v>
      </c>
      <c r="J648" s="3">
        <v>114800</v>
      </c>
      <c r="K648" s="3">
        <v>4018000</v>
      </c>
      <c r="L648" s="2" t="s">
        <v>25</v>
      </c>
      <c r="M648" s="2" t="s">
        <v>26</v>
      </c>
      <c r="N648">
        <v>2023</v>
      </c>
      <c r="O648" s="2" t="s">
        <v>148</v>
      </c>
      <c r="P648" s="2" t="s">
        <v>150</v>
      </c>
      <c r="Q648">
        <v>8</v>
      </c>
      <c r="R648" s="4">
        <v>45139</v>
      </c>
      <c r="S648" s="3">
        <v>114800</v>
      </c>
      <c r="T648" s="3">
        <v>0.4</v>
      </c>
    </row>
    <row r="649" spans="1:20" hidden="1" x14ac:dyDescent="0.3">
      <c r="A649" s="1">
        <v>45159</v>
      </c>
      <c r="B649" s="2" t="s">
        <v>46</v>
      </c>
      <c r="C649" s="2" t="s">
        <v>56</v>
      </c>
      <c r="D649" s="2" t="s">
        <v>42</v>
      </c>
      <c r="E649" s="2" t="s">
        <v>43</v>
      </c>
      <c r="F649" s="2" t="s">
        <v>24</v>
      </c>
      <c r="G649">
        <v>3</v>
      </c>
      <c r="H649">
        <v>135</v>
      </c>
      <c r="I649">
        <v>62</v>
      </c>
      <c r="J649" s="3">
        <v>124100</v>
      </c>
      <c r="K649" s="3">
        <v>7694200</v>
      </c>
      <c r="L649" s="2" t="s">
        <v>33</v>
      </c>
      <c r="M649" s="2" t="s">
        <v>77</v>
      </c>
      <c r="N649">
        <v>2023</v>
      </c>
      <c r="O649" s="2" t="s">
        <v>148</v>
      </c>
      <c r="P649" s="2" t="s">
        <v>150</v>
      </c>
      <c r="Q649">
        <v>8</v>
      </c>
      <c r="R649" s="4">
        <v>45139</v>
      </c>
      <c r="S649" s="3">
        <v>124100</v>
      </c>
      <c r="T649" s="3">
        <v>0.77</v>
      </c>
    </row>
    <row r="650" spans="1:20" hidden="1" x14ac:dyDescent="0.3">
      <c r="A650" s="1">
        <v>45159</v>
      </c>
      <c r="B650" s="2" t="s">
        <v>46</v>
      </c>
      <c r="C650" s="2" t="s">
        <v>110</v>
      </c>
      <c r="D650" s="2" t="s">
        <v>88</v>
      </c>
      <c r="E650" s="2" t="s">
        <v>111</v>
      </c>
      <c r="F650" s="2" t="s">
        <v>24</v>
      </c>
      <c r="G650">
        <v>60</v>
      </c>
      <c r="H650">
        <v>480</v>
      </c>
      <c r="I650">
        <v>28</v>
      </c>
      <c r="J650" s="3">
        <v>2916300</v>
      </c>
      <c r="K650" s="3">
        <v>81656400</v>
      </c>
      <c r="L650" s="2" t="s">
        <v>33</v>
      </c>
      <c r="M650" s="2" t="s">
        <v>26</v>
      </c>
      <c r="N650">
        <v>2023</v>
      </c>
      <c r="O650" s="2" t="s">
        <v>148</v>
      </c>
      <c r="P650" s="2" t="s">
        <v>150</v>
      </c>
      <c r="Q650">
        <v>8</v>
      </c>
      <c r="R650" s="4">
        <v>45139</v>
      </c>
      <c r="S650" s="3">
        <v>2916300</v>
      </c>
      <c r="T650" s="3">
        <v>8.17</v>
      </c>
    </row>
    <row r="651" spans="1:20" hidden="1" x14ac:dyDescent="0.3">
      <c r="A651" s="1">
        <v>45160</v>
      </c>
      <c r="B651" s="2" t="s">
        <v>59</v>
      </c>
      <c r="C651" s="2" t="s">
        <v>135</v>
      </c>
      <c r="D651" s="2" t="s">
        <v>63</v>
      </c>
      <c r="E651" s="2" t="s">
        <v>64</v>
      </c>
      <c r="F651" s="2" t="s">
        <v>24</v>
      </c>
      <c r="G651">
        <v>3</v>
      </c>
      <c r="H651">
        <v>127</v>
      </c>
      <c r="I651">
        <v>131</v>
      </c>
      <c r="J651" s="3">
        <v>170400</v>
      </c>
      <c r="K651" s="3">
        <v>22322400</v>
      </c>
      <c r="L651" s="2" t="s">
        <v>25</v>
      </c>
      <c r="M651" s="2" t="s">
        <v>26</v>
      </c>
      <c r="N651">
        <v>2023</v>
      </c>
      <c r="O651" s="2" t="s">
        <v>148</v>
      </c>
      <c r="P651" s="2" t="s">
        <v>150</v>
      </c>
      <c r="Q651">
        <v>8</v>
      </c>
      <c r="R651" s="4">
        <v>45139</v>
      </c>
      <c r="S651" s="3">
        <v>170400</v>
      </c>
      <c r="T651" s="3">
        <v>2.23</v>
      </c>
    </row>
    <row r="652" spans="1:20" hidden="1" x14ac:dyDescent="0.3">
      <c r="A652" s="1">
        <v>45160</v>
      </c>
      <c r="B652" s="2" t="s">
        <v>20</v>
      </c>
      <c r="C652" s="2" t="s">
        <v>125</v>
      </c>
      <c r="D652" s="2" t="s">
        <v>100</v>
      </c>
      <c r="E652" s="2" t="s">
        <v>101</v>
      </c>
      <c r="F652" s="2" t="s">
        <v>24</v>
      </c>
      <c r="G652">
        <v>3</v>
      </c>
      <c r="H652">
        <v>150</v>
      </c>
      <c r="I652">
        <v>114</v>
      </c>
      <c r="J652" s="3">
        <v>142800</v>
      </c>
      <c r="K652" s="3">
        <v>16279200</v>
      </c>
      <c r="L652" s="2" t="s">
        <v>33</v>
      </c>
      <c r="M652" s="2" t="s">
        <v>34</v>
      </c>
      <c r="N652">
        <v>2023</v>
      </c>
      <c r="O652" s="2" t="s">
        <v>148</v>
      </c>
      <c r="P652" s="2" t="s">
        <v>150</v>
      </c>
      <c r="Q652">
        <v>8</v>
      </c>
      <c r="R652" s="4">
        <v>45139</v>
      </c>
      <c r="S652" s="3">
        <v>142800</v>
      </c>
      <c r="T652" s="3">
        <v>1.63</v>
      </c>
    </row>
    <row r="653" spans="1:20" hidden="1" x14ac:dyDescent="0.3">
      <c r="A653" s="1">
        <v>45160</v>
      </c>
      <c r="B653" s="2" t="s">
        <v>59</v>
      </c>
      <c r="C653" s="2" t="s">
        <v>129</v>
      </c>
      <c r="D653" s="2" t="s">
        <v>22</v>
      </c>
      <c r="E653" s="2" t="s">
        <v>23</v>
      </c>
      <c r="F653" s="2" t="s">
        <v>138</v>
      </c>
      <c r="G653">
        <v>82</v>
      </c>
      <c r="H653">
        <v>520</v>
      </c>
      <c r="I653">
        <v>54</v>
      </c>
      <c r="J653" s="3">
        <v>7138900</v>
      </c>
      <c r="K653" s="3">
        <v>385500600</v>
      </c>
      <c r="L653" s="2" t="s">
        <v>33</v>
      </c>
      <c r="M653" s="2" t="s">
        <v>97</v>
      </c>
      <c r="N653">
        <v>2023</v>
      </c>
      <c r="O653" s="2" t="s">
        <v>148</v>
      </c>
      <c r="P653" s="2" t="s">
        <v>150</v>
      </c>
      <c r="Q653">
        <v>8</v>
      </c>
      <c r="R653" s="4">
        <v>45139</v>
      </c>
      <c r="S653" s="3">
        <v>7138900</v>
      </c>
      <c r="T653" s="3">
        <v>38.549999999999997</v>
      </c>
    </row>
    <row r="654" spans="1:20" hidden="1" x14ac:dyDescent="0.3">
      <c r="A654" s="1">
        <v>45160</v>
      </c>
      <c r="B654" s="2" t="s">
        <v>29</v>
      </c>
      <c r="C654" s="2" t="s">
        <v>65</v>
      </c>
      <c r="D654" s="2" t="s">
        <v>63</v>
      </c>
      <c r="E654" s="2" t="s">
        <v>64</v>
      </c>
      <c r="F654" s="2" t="s">
        <v>24</v>
      </c>
      <c r="G654">
        <v>3</v>
      </c>
      <c r="H654">
        <v>127</v>
      </c>
      <c r="I654">
        <v>123</v>
      </c>
      <c r="J654" s="3">
        <v>166100</v>
      </c>
      <c r="K654" s="3">
        <v>20430300</v>
      </c>
      <c r="L654" s="2" t="s">
        <v>33</v>
      </c>
      <c r="M654" s="2" t="s">
        <v>34</v>
      </c>
      <c r="N654">
        <v>2023</v>
      </c>
      <c r="O654" s="2" t="s">
        <v>148</v>
      </c>
      <c r="P654" s="2" t="s">
        <v>150</v>
      </c>
      <c r="Q654">
        <v>8</v>
      </c>
      <c r="R654" s="4">
        <v>45139</v>
      </c>
      <c r="S654" s="3">
        <v>166100</v>
      </c>
      <c r="T654" s="3">
        <v>2.04</v>
      </c>
    </row>
    <row r="655" spans="1:20" hidden="1" x14ac:dyDescent="0.3">
      <c r="A655" s="1">
        <v>45160</v>
      </c>
      <c r="B655" s="2" t="s">
        <v>106</v>
      </c>
      <c r="C655" s="2" t="s">
        <v>120</v>
      </c>
      <c r="D655" s="2" t="s">
        <v>57</v>
      </c>
      <c r="E655" s="2" t="s">
        <v>86</v>
      </c>
      <c r="F655" s="2" t="s">
        <v>72</v>
      </c>
      <c r="G655">
        <v>48</v>
      </c>
      <c r="H655">
        <v>39</v>
      </c>
      <c r="I655">
        <v>123</v>
      </c>
      <c r="J655" s="3">
        <v>2533400</v>
      </c>
      <c r="K655" s="3">
        <v>311608200</v>
      </c>
      <c r="L655" s="2" t="s">
        <v>33</v>
      </c>
      <c r="M655" s="2" t="s">
        <v>26</v>
      </c>
      <c r="N655">
        <v>2023</v>
      </c>
      <c r="O655" s="2" t="s">
        <v>148</v>
      </c>
      <c r="P655" s="2" t="s">
        <v>150</v>
      </c>
      <c r="Q655">
        <v>8</v>
      </c>
      <c r="R655" s="4">
        <v>45139</v>
      </c>
      <c r="S655" s="3">
        <v>2533400</v>
      </c>
      <c r="T655" s="3">
        <v>31.16</v>
      </c>
    </row>
    <row r="656" spans="1:20" hidden="1" x14ac:dyDescent="0.3">
      <c r="A656" s="1">
        <v>45161</v>
      </c>
      <c r="B656" s="2" t="s">
        <v>59</v>
      </c>
      <c r="C656" s="2" t="s">
        <v>81</v>
      </c>
      <c r="D656" s="2" t="s">
        <v>94</v>
      </c>
      <c r="E656" s="2" t="s">
        <v>95</v>
      </c>
      <c r="F656" s="2" t="s">
        <v>39</v>
      </c>
      <c r="G656">
        <v>40</v>
      </c>
      <c r="H656">
        <v>30</v>
      </c>
      <c r="I656">
        <v>55</v>
      </c>
      <c r="J656" s="3">
        <v>2101700</v>
      </c>
      <c r="K656" s="3">
        <v>115593500</v>
      </c>
      <c r="L656" s="2" t="s">
        <v>33</v>
      </c>
      <c r="M656" s="2" t="s">
        <v>34</v>
      </c>
      <c r="N656">
        <v>2023</v>
      </c>
      <c r="O656" s="2" t="s">
        <v>148</v>
      </c>
      <c r="P656" s="2" t="s">
        <v>150</v>
      </c>
      <c r="Q656">
        <v>8</v>
      </c>
      <c r="R656" s="4">
        <v>45139</v>
      </c>
      <c r="S656" s="3">
        <v>2101700</v>
      </c>
      <c r="T656" s="3">
        <v>11.56</v>
      </c>
    </row>
    <row r="657" spans="1:20" hidden="1" x14ac:dyDescent="0.3">
      <c r="A657" s="1">
        <v>45161</v>
      </c>
      <c r="B657" s="2" t="s">
        <v>61</v>
      </c>
      <c r="C657" s="2" t="s">
        <v>62</v>
      </c>
      <c r="D657" s="2" t="s">
        <v>54</v>
      </c>
      <c r="E657" s="2" t="s">
        <v>55</v>
      </c>
      <c r="F657" s="2" t="s">
        <v>24</v>
      </c>
      <c r="G657">
        <v>30</v>
      </c>
      <c r="H657">
        <v>320</v>
      </c>
      <c r="I657">
        <v>21</v>
      </c>
      <c r="J657" s="3">
        <v>1632600</v>
      </c>
      <c r="K657" s="3">
        <v>34284600</v>
      </c>
      <c r="L657" s="2" t="s">
        <v>33</v>
      </c>
      <c r="M657" s="2" t="s">
        <v>26</v>
      </c>
      <c r="N657">
        <v>2023</v>
      </c>
      <c r="O657" s="2" t="s">
        <v>148</v>
      </c>
      <c r="P657" s="2" t="s">
        <v>150</v>
      </c>
      <c r="Q657">
        <v>8</v>
      </c>
      <c r="R657" s="4">
        <v>45139</v>
      </c>
      <c r="S657" s="3">
        <v>1632600</v>
      </c>
      <c r="T657" s="3">
        <v>3.43</v>
      </c>
    </row>
    <row r="658" spans="1:20" hidden="1" x14ac:dyDescent="0.3">
      <c r="A658" s="1">
        <v>45161</v>
      </c>
      <c r="B658" s="2" t="s">
        <v>40</v>
      </c>
      <c r="C658" s="2" t="s">
        <v>41</v>
      </c>
      <c r="D658" s="2" t="s">
        <v>82</v>
      </c>
      <c r="E658" s="2" t="s">
        <v>141</v>
      </c>
      <c r="F658" s="2" t="s">
        <v>138</v>
      </c>
      <c r="G658">
        <v>59</v>
      </c>
      <c r="H658">
        <v>55</v>
      </c>
      <c r="I658">
        <v>134</v>
      </c>
      <c r="J658" s="3">
        <v>2573300</v>
      </c>
      <c r="K658" s="3">
        <v>344822200</v>
      </c>
      <c r="L658" s="2" t="s">
        <v>33</v>
      </c>
      <c r="M658" s="2" t="s">
        <v>77</v>
      </c>
      <c r="N658">
        <v>2023</v>
      </c>
      <c r="O658" s="2" t="s">
        <v>148</v>
      </c>
      <c r="P658" s="2" t="s">
        <v>150</v>
      </c>
      <c r="Q658">
        <v>8</v>
      </c>
      <c r="R658" s="4">
        <v>45139</v>
      </c>
      <c r="S658" s="3">
        <v>2573300</v>
      </c>
      <c r="T658" s="3">
        <v>34.479999999999997</v>
      </c>
    </row>
    <row r="659" spans="1:20" hidden="1" x14ac:dyDescent="0.3">
      <c r="A659" s="1">
        <v>45161</v>
      </c>
      <c r="B659" s="2" t="s">
        <v>90</v>
      </c>
      <c r="C659" s="2" t="s">
        <v>99</v>
      </c>
      <c r="D659" s="2" t="s">
        <v>63</v>
      </c>
      <c r="E659" s="2" t="s">
        <v>64</v>
      </c>
      <c r="F659" s="2" t="s">
        <v>24</v>
      </c>
      <c r="G659">
        <v>3</v>
      </c>
      <c r="H659">
        <v>127</v>
      </c>
      <c r="I659">
        <v>63</v>
      </c>
      <c r="J659" s="3">
        <v>159100</v>
      </c>
      <c r="K659" s="3">
        <v>10023300</v>
      </c>
      <c r="L659" s="2" t="s">
        <v>33</v>
      </c>
      <c r="M659" s="2" t="s">
        <v>26</v>
      </c>
      <c r="N659">
        <v>2023</v>
      </c>
      <c r="O659" s="2" t="s">
        <v>148</v>
      </c>
      <c r="P659" s="2" t="s">
        <v>150</v>
      </c>
      <c r="Q659">
        <v>8</v>
      </c>
      <c r="R659" s="4">
        <v>45139</v>
      </c>
      <c r="S659" s="3">
        <v>159100</v>
      </c>
      <c r="T659" s="3">
        <v>1</v>
      </c>
    </row>
    <row r="660" spans="1:20" hidden="1" x14ac:dyDescent="0.3">
      <c r="A660" s="1">
        <v>45161</v>
      </c>
      <c r="B660" s="2" t="s">
        <v>106</v>
      </c>
      <c r="C660" s="2" t="s">
        <v>107</v>
      </c>
      <c r="D660" s="2" t="s">
        <v>42</v>
      </c>
      <c r="E660" s="2" t="s">
        <v>43</v>
      </c>
      <c r="F660" s="2" t="s">
        <v>24</v>
      </c>
      <c r="G660">
        <v>3</v>
      </c>
      <c r="H660">
        <v>135</v>
      </c>
      <c r="I660">
        <v>98</v>
      </c>
      <c r="J660" s="3">
        <v>102100</v>
      </c>
      <c r="K660" s="3">
        <v>10005800</v>
      </c>
      <c r="L660" s="2" t="s">
        <v>92</v>
      </c>
      <c r="M660" s="2" t="s">
        <v>34</v>
      </c>
      <c r="N660">
        <v>2023</v>
      </c>
      <c r="O660" s="2" t="s">
        <v>148</v>
      </c>
      <c r="P660" s="2" t="s">
        <v>150</v>
      </c>
      <c r="Q660">
        <v>8</v>
      </c>
      <c r="R660" s="4">
        <v>45139</v>
      </c>
      <c r="S660" s="3">
        <v>102100</v>
      </c>
      <c r="T660" s="3">
        <v>1</v>
      </c>
    </row>
    <row r="661" spans="1:20" hidden="1" x14ac:dyDescent="0.3">
      <c r="A661" s="1">
        <v>45162</v>
      </c>
      <c r="B661" s="2" t="s">
        <v>90</v>
      </c>
      <c r="C661" s="2" t="s">
        <v>99</v>
      </c>
      <c r="D661" s="2" t="s">
        <v>67</v>
      </c>
      <c r="E661" s="2" t="s">
        <v>118</v>
      </c>
      <c r="F661" s="2" t="s">
        <v>24</v>
      </c>
      <c r="G661">
        <v>84</v>
      </c>
      <c r="H661">
        <v>590</v>
      </c>
      <c r="I661">
        <v>33</v>
      </c>
      <c r="J661" s="3">
        <v>7746400</v>
      </c>
      <c r="K661" s="3">
        <v>255631200</v>
      </c>
      <c r="L661" s="2" t="s">
        <v>33</v>
      </c>
      <c r="M661" s="2" t="s">
        <v>77</v>
      </c>
      <c r="N661">
        <v>2023</v>
      </c>
      <c r="O661" s="2" t="s">
        <v>148</v>
      </c>
      <c r="P661" s="2" t="s">
        <v>150</v>
      </c>
      <c r="Q661">
        <v>8</v>
      </c>
      <c r="R661" s="4">
        <v>45139</v>
      </c>
      <c r="S661" s="3">
        <v>7746400</v>
      </c>
      <c r="T661" s="3">
        <v>25.56</v>
      </c>
    </row>
    <row r="662" spans="1:20" hidden="1" x14ac:dyDescent="0.3">
      <c r="A662" s="1">
        <v>45162</v>
      </c>
      <c r="B662" s="2" t="s">
        <v>48</v>
      </c>
      <c r="C662" s="2" t="s">
        <v>49</v>
      </c>
      <c r="D662" s="2" t="s">
        <v>88</v>
      </c>
      <c r="E662" s="2" t="s">
        <v>89</v>
      </c>
      <c r="F662" s="2" t="s">
        <v>72</v>
      </c>
      <c r="G662">
        <v>82</v>
      </c>
      <c r="H662">
        <v>580</v>
      </c>
      <c r="I662">
        <v>36</v>
      </c>
      <c r="J662" s="3">
        <v>6184600</v>
      </c>
      <c r="K662" s="3">
        <v>222645600</v>
      </c>
      <c r="L662" s="2" t="s">
        <v>33</v>
      </c>
      <c r="M662" s="2" t="s">
        <v>26</v>
      </c>
      <c r="N662">
        <v>2023</v>
      </c>
      <c r="O662" s="2" t="s">
        <v>148</v>
      </c>
      <c r="P662" s="2" t="s">
        <v>150</v>
      </c>
      <c r="Q662">
        <v>8</v>
      </c>
      <c r="R662" s="4">
        <v>45139</v>
      </c>
      <c r="S662" s="3">
        <v>6184600</v>
      </c>
      <c r="T662" s="3">
        <v>22.26</v>
      </c>
    </row>
    <row r="663" spans="1:20" hidden="1" x14ac:dyDescent="0.3">
      <c r="A663" s="1">
        <v>45162</v>
      </c>
      <c r="B663" s="2" t="s">
        <v>108</v>
      </c>
      <c r="C663" s="2" t="s">
        <v>131</v>
      </c>
      <c r="D663" s="2" t="s">
        <v>50</v>
      </c>
      <c r="E663" s="2" t="s">
        <v>51</v>
      </c>
      <c r="F663" s="2" t="s">
        <v>24</v>
      </c>
      <c r="G663">
        <v>77</v>
      </c>
      <c r="H663">
        <v>528</v>
      </c>
      <c r="I663">
        <v>27</v>
      </c>
      <c r="J663" s="3">
        <v>5707400</v>
      </c>
      <c r="K663" s="3">
        <v>154099800</v>
      </c>
      <c r="L663" s="2" t="s">
        <v>33</v>
      </c>
      <c r="M663" s="2" t="s">
        <v>26</v>
      </c>
      <c r="N663">
        <v>2023</v>
      </c>
      <c r="O663" s="2" t="s">
        <v>148</v>
      </c>
      <c r="P663" s="2" t="s">
        <v>150</v>
      </c>
      <c r="Q663">
        <v>8</v>
      </c>
      <c r="R663" s="4">
        <v>45139</v>
      </c>
      <c r="S663" s="3">
        <v>5707400</v>
      </c>
      <c r="T663" s="3">
        <v>15.41</v>
      </c>
    </row>
    <row r="664" spans="1:20" hidden="1" x14ac:dyDescent="0.3">
      <c r="A664" s="1">
        <v>45162</v>
      </c>
      <c r="B664" s="2" t="s">
        <v>90</v>
      </c>
      <c r="C664" s="2" t="s">
        <v>114</v>
      </c>
      <c r="D664" s="2" t="s">
        <v>57</v>
      </c>
      <c r="E664" s="2" t="s">
        <v>86</v>
      </c>
      <c r="F664" s="2" t="s">
        <v>24</v>
      </c>
      <c r="G664">
        <v>48</v>
      </c>
      <c r="H664">
        <v>39</v>
      </c>
      <c r="I664">
        <v>84</v>
      </c>
      <c r="J664" s="3">
        <v>2412700</v>
      </c>
      <c r="K664" s="3">
        <v>202666800</v>
      </c>
      <c r="L664" s="2" t="s">
        <v>33</v>
      </c>
      <c r="M664" s="2" t="s">
        <v>26</v>
      </c>
      <c r="N664">
        <v>2023</v>
      </c>
      <c r="O664" s="2" t="s">
        <v>148</v>
      </c>
      <c r="P664" s="2" t="s">
        <v>150</v>
      </c>
      <c r="Q664">
        <v>8</v>
      </c>
      <c r="R664" s="4">
        <v>45139</v>
      </c>
      <c r="S664" s="3">
        <v>2412700</v>
      </c>
      <c r="T664" s="3">
        <v>20.27</v>
      </c>
    </row>
    <row r="665" spans="1:20" hidden="1" x14ac:dyDescent="0.3">
      <c r="A665" s="1">
        <v>45162</v>
      </c>
      <c r="B665" s="2" t="s">
        <v>35</v>
      </c>
      <c r="C665" s="2" t="s">
        <v>87</v>
      </c>
      <c r="D665" s="2" t="s">
        <v>42</v>
      </c>
      <c r="E665" s="2" t="s">
        <v>43</v>
      </c>
      <c r="F665" s="2" t="s">
        <v>24</v>
      </c>
      <c r="G665">
        <v>3</v>
      </c>
      <c r="H665">
        <v>135</v>
      </c>
      <c r="I665">
        <v>56</v>
      </c>
      <c r="J665" s="3">
        <v>133600</v>
      </c>
      <c r="K665" s="3">
        <v>7481600</v>
      </c>
      <c r="L665" s="2" t="s">
        <v>33</v>
      </c>
      <c r="M665" s="2" t="s">
        <v>26</v>
      </c>
      <c r="N665">
        <v>2023</v>
      </c>
      <c r="O665" s="2" t="s">
        <v>148</v>
      </c>
      <c r="P665" s="2" t="s">
        <v>150</v>
      </c>
      <c r="Q665">
        <v>8</v>
      </c>
      <c r="R665" s="4">
        <v>45139</v>
      </c>
      <c r="S665" s="3">
        <v>133600</v>
      </c>
      <c r="T665" s="3">
        <v>0.75</v>
      </c>
    </row>
    <row r="666" spans="1:20" hidden="1" x14ac:dyDescent="0.3">
      <c r="A666" s="1">
        <v>45163</v>
      </c>
      <c r="B666" s="2" t="s">
        <v>84</v>
      </c>
      <c r="C666" s="2" t="s">
        <v>126</v>
      </c>
      <c r="D666" s="2" t="s">
        <v>67</v>
      </c>
      <c r="E666" s="2" t="s">
        <v>118</v>
      </c>
      <c r="F666" s="2" t="s">
        <v>24</v>
      </c>
      <c r="G666">
        <v>84</v>
      </c>
      <c r="H666">
        <v>590</v>
      </c>
      <c r="I666">
        <v>58</v>
      </c>
      <c r="J666" s="3">
        <v>7432900</v>
      </c>
      <c r="K666" s="3">
        <v>431108200</v>
      </c>
      <c r="L666" s="2" t="s">
        <v>92</v>
      </c>
      <c r="M666" s="2" t="s">
        <v>97</v>
      </c>
      <c r="N666">
        <v>2023</v>
      </c>
      <c r="O666" s="2" t="s">
        <v>148</v>
      </c>
      <c r="P666" s="2" t="s">
        <v>150</v>
      </c>
      <c r="Q666">
        <v>8</v>
      </c>
      <c r="R666" s="4">
        <v>45139</v>
      </c>
      <c r="S666" s="3">
        <v>7432900</v>
      </c>
      <c r="T666" s="3">
        <v>43.11</v>
      </c>
    </row>
    <row r="667" spans="1:20" hidden="1" x14ac:dyDescent="0.3">
      <c r="A667" s="1">
        <v>45163</v>
      </c>
      <c r="B667" s="2" t="s">
        <v>20</v>
      </c>
      <c r="C667" s="2" t="s">
        <v>125</v>
      </c>
      <c r="D667" s="2" t="s">
        <v>88</v>
      </c>
      <c r="E667" s="2" t="s">
        <v>111</v>
      </c>
      <c r="F667" s="2" t="s">
        <v>24</v>
      </c>
      <c r="G667">
        <v>60</v>
      </c>
      <c r="H667">
        <v>480</v>
      </c>
      <c r="I667">
        <v>4</v>
      </c>
      <c r="J667" s="3">
        <v>3695700</v>
      </c>
      <c r="K667" s="3">
        <v>14782800</v>
      </c>
      <c r="L667" s="2" t="s">
        <v>25</v>
      </c>
      <c r="M667" s="2" t="s">
        <v>26</v>
      </c>
      <c r="N667">
        <v>2023</v>
      </c>
      <c r="O667" s="2" t="s">
        <v>148</v>
      </c>
      <c r="P667" s="2" t="s">
        <v>150</v>
      </c>
      <c r="Q667">
        <v>8</v>
      </c>
      <c r="R667" s="4">
        <v>45139</v>
      </c>
      <c r="S667" s="3">
        <v>3695700</v>
      </c>
      <c r="T667" s="3">
        <v>1.48</v>
      </c>
    </row>
    <row r="668" spans="1:20" hidden="1" x14ac:dyDescent="0.3">
      <c r="A668" s="1">
        <v>45164</v>
      </c>
      <c r="B668" s="2" t="s">
        <v>35</v>
      </c>
      <c r="C668" s="2" t="s">
        <v>132</v>
      </c>
      <c r="D668" s="2" t="s">
        <v>42</v>
      </c>
      <c r="E668" s="2" t="s">
        <v>43</v>
      </c>
      <c r="F668" s="2" t="s">
        <v>24</v>
      </c>
      <c r="G668">
        <v>3</v>
      </c>
      <c r="H668">
        <v>135</v>
      </c>
      <c r="I668">
        <v>95</v>
      </c>
      <c r="J668" s="3">
        <v>105600</v>
      </c>
      <c r="K668" s="3">
        <v>10032000</v>
      </c>
      <c r="L668" s="2" t="s">
        <v>25</v>
      </c>
      <c r="M668" s="2" t="s">
        <v>26</v>
      </c>
      <c r="N668">
        <v>2023</v>
      </c>
      <c r="O668" s="2" t="s">
        <v>148</v>
      </c>
      <c r="P668" s="2" t="s">
        <v>150</v>
      </c>
      <c r="Q668">
        <v>8</v>
      </c>
      <c r="R668" s="4">
        <v>45139</v>
      </c>
      <c r="S668" s="3">
        <v>105600</v>
      </c>
      <c r="T668" s="3">
        <v>1</v>
      </c>
    </row>
    <row r="669" spans="1:20" hidden="1" x14ac:dyDescent="0.3">
      <c r="A669" s="1">
        <v>45164</v>
      </c>
      <c r="B669" s="2" t="s">
        <v>84</v>
      </c>
      <c r="C669" s="2" t="s">
        <v>126</v>
      </c>
      <c r="D669" s="2" t="s">
        <v>57</v>
      </c>
      <c r="E669" s="2" t="s">
        <v>58</v>
      </c>
      <c r="F669" s="2" t="s">
        <v>24</v>
      </c>
      <c r="G669">
        <v>72</v>
      </c>
      <c r="H669">
        <v>488</v>
      </c>
      <c r="I669">
        <v>165</v>
      </c>
      <c r="J669" s="3">
        <v>4645900</v>
      </c>
      <c r="K669" s="3">
        <v>766573500</v>
      </c>
      <c r="L669" s="2" t="s">
        <v>33</v>
      </c>
      <c r="M669" s="2" t="s">
        <v>26</v>
      </c>
      <c r="N669">
        <v>2023</v>
      </c>
      <c r="O669" s="2" t="s">
        <v>148</v>
      </c>
      <c r="P669" s="2" t="s">
        <v>150</v>
      </c>
      <c r="Q669">
        <v>8</v>
      </c>
      <c r="R669" s="4">
        <v>45139</v>
      </c>
      <c r="S669" s="3">
        <v>4645900</v>
      </c>
      <c r="T669" s="3">
        <v>76.66</v>
      </c>
    </row>
    <row r="670" spans="1:20" hidden="1" x14ac:dyDescent="0.3">
      <c r="A670" s="1">
        <v>45164</v>
      </c>
      <c r="B670" s="2" t="s">
        <v>84</v>
      </c>
      <c r="C670" s="2" t="s">
        <v>85</v>
      </c>
      <c r="D670" s="2" t="s">
        <v>31</v>
      </c>
      <c r="E670" s="2" t="s">
        <v>124</v>
      </c>
      <c r="F670" s="2" t="s">
        <v>24</v>
      </c>
      <c r="G670">
        <v>3</v>
      </c>
      <c r="H670">
        <v>151</v>
      </c>
      <c r="I670">
        <v>124</v>
      </c>
      <c r="J670" s="3">
        <v>94100</v>
      </c>
      <c r="K670" s="3">
        <v>11668400</v>
      </c>
      <c r="L670" s="2" t="s">
        <v>33</v>
      </c>
      <c r="M670" s="2" t="s">
        <v>26</v>
      </c>
      <c r="N670">
        <v>2023</v>
      </c>
      <c r="O670" s="2" t="s">
        <v>148</v>
      </c>
      <c r="P670" s="2" t="s">
        <v>150</v>
      </c>
      <c r="Q670">
        <v>8</v>
      </c>
      <c r="R670" s="4">
        <v>45139</v>
      </c>
      <c r="S670" s="3">
        <v>94100</v>
      </c>
      <c r="T670" s="3">
        <v>1.17</v>
      </c>
    </row>
    <row r="671" spans="1:20" hidden="1" x14ac:dyDescent="0.3">
      <c r="A671" s="1">
        <v>45166</v>
      </c>
      <c r="B671" s="2" t="s">
        <v>75</v>
      </c>
      <c r="C671" s="2" t="s">
        <v>122</v>
      </c>
      <c r="D671" s="2" t="s">
        <v>102</v>
      </c>
      <c r="E671" s="2" t="s">
        <v>103</v>
      </c>
      <c r="F671" s="2" t="s">
        <v>24</v>
      </c>
      <c r="G671">
        <v>5</v>
      </c>
      <c r="H671">
        <v>150</v>
      </c>
      <c r="I671">
        <v>140</v>
      </c>
      <c r="J671" s="3">
        <v>155200</v>
      </c>
      <c r="K671" s="3">
        <v>21728000</v>
      </c>
      <c r="L671" s="2" t="s">
        <v>25</v>
      </c>
      <c r="M671" s="2" t="s">
        <v>26</v>
      </c>
      <c r="N671">
        <v>2023</v>
      </c>
      <c r="O671" s="2" t="s">
        <v>148</v>
      </c>
      <c r="P671" s="2" t="s">
        <v>150</v>
      </c>
      <c r="Q671">
        <v>8</v>
      </c>
      <c r="R671" s="4">
        <v>45139</v>
      </c>
      <c r="S671" s="3">
        <v>155200</v>
      </c>
      <c r="T671" s="3">
        <v>2.17</v>
      </c>
    </row>
    <row r="672" spans="1:20" hidden="1" x14ac:dyDescent="0.3">
      <c r="A672" s="1">
        <v>45166</v>
      </c>
      <c r="B672" s="2" t="s">
        <v>40</v>
      </c>
      <c r="C672" s="2" t="s">
        <v>41</v>
      </c>
      <c r="D672" s="2" t="s">
        <v>50</v>
      </c>
      <c r="E672" s="2" t="s">
        <v>51</v>
      </c>
      <c r="F672" s="2" t="s">
        <v>39</v>
      </c>
      <c r="G672">
        <v>77</v>
      </c>
      <c r="H672">
        <v>528</v>
      </c>
      <c r="I672">
        <v>30</v>
      </c>
      <c r="J672" s="3">
        <v>5260900</v>
      </c>
      <c r="K672" s="3">
        <v>157827000</v>
      </c>
      <c r="L672" s="2" t="s">
        <v>33</v>
      </c>
      <c r="M672" s="2" t="s">
        <v>77</v>
      </c>
      <c r="N672">
        <v>2023</v>
      </c>
      <c r="O672" s="2" t="s">
        <v>148</v>
      </c>
      <c r="P672" s="2" t="s">
        <v>150</v>
      </c>
      <c r="Q672">
        <v>8</v>
      </c>
      <c r="R672" s="4">
        <v>45139</v>
      </c>
      <c r="S672" s="3">
        <v>5260900</v>
      </c>
      <c r="T672" s="3">
        <v>15.78</v>
      </c>
    </row>
    <row r="673" spans="1:20" hidden="1" x14ac:dyDescent="0.3">
      <c r="A673" s="1">
        <v>45166</v>
      </c>
      <c r="B673" s="2" t="s">
        <v>59</v>
      </c>
      <c r="C673" s="2" t="s">
        <v>129</v>
      </c>
      <c r="D673" s="2" t="s">
        <v>54</v>
      </c>
      <c r="E673" s="2" t="s">
        <v>55</v>
      </c>
      <c r="F673" s="2" t="s">
        <v>24</v>
      </c>
      <c r="G673">
        <v>30</v>
      </c>
      <c r="H673">
        <v>320</v>
      </c>
      <c r="I673">
        <v>40</v>
      </c>
      <c r="J673" s="3">
        <v>1276000</v>
      </c>
      <c r="K673" s="3">
        <v>51040000</v>
      </c>
      <c r="L673" s="2" t="s">
        <v>33</v>
      </c>
      <c r="M673" s="2" t="s">
        <v>26</v>
      </c>
      <c r="N673">
        <v>2023</v>
      </c>
      <c r="O673" s="2" t="s">
        <v>148</v>
      </c>
      <c r="P673" s="2" t="s">
        <v>150</v>
      </c>
      <c r="Q673">
        <v>8</v>
      </c>
      <c r="R673" s="4">
        <v>45139</v>
      </c>
      <c r="S673" s="3">
        <v>1276000</v>
      </c>
      <c r="T673" s="3">
        <v>5.0999999999999996</v>
      </c>
    </row>
    <row r="674" spans="1:20" hidden="1" x14ac:dyDescent="0.3">
      <c r="A674" s="1">
        <v>45166</v>
      </c>
      <c r="B674" s="2" t="s">
        <v>44</v>
      </c>
      <c r="C674" s="2" t="s">
        <v>142</v>
      </c>
      <c r="D674" s="2" t="s">
        <v>22</v>
      </c>
      <c r="E674" s="2" t="s">
        <v>23</v>
      </c>
      <c r="F674" s="2" t="s">
        <v>24</v>
      </c>
      <c r="G674">
        <v>82</v>
      </c>
      <c r="H674">
        <v>520</v>
      </c>
      <c r="I674">
        <v>31</v>
      </c>
      <c r="J674" s="3">
        <v>6470400</v>
      </c>
      <c r="K674" s="3">
        <v>200582400</v>
      </c>
      <c r="L674" s="2" t="s">
        <v>33</v>
      </c>
      <c r="M674" s="2" t="s">
        <v>26</v>
      </c>
      <c r="N674">
        <v>2023</v>
      </c>
      <c r="O674" s="2" t="s">
        <v>148</v>
      </c>
      <c r="P674" s="2" t="s">
        <v>150</v>
      </c>
      <c r="Q674">
        <v>8</v>
      </c>
      <c r="R674" s="4">
        <v>45139</v>
      </c>
      <c r="S674" s="3">
        <v>6470400</v>
      </c>
      <c r="T674" s="3">
        <v>20.059999999999999</v>
      </c>
    </row>
    <row r="675" spans="1:20" hidden="1" x14ac:dyDescent="0.3">
      <c r="A675" s="1">
        <v>45167</v>
      </c>
      <c r="B675" s="2" t="s">
        <v>84</v>
      </c>
      <c r="C675" s="2" t="s">
        <v>93</v>
      </c>
      <c r="D675" s="2" t="s">
        <v>67</v>
      </c>
      <c r="E675" s="2" t="s">
        <v>68</v>
      </c>
      <c r="F675" s="2" t="s">
        <v>24</v>
      </c>
      <c r="G675">
        <v>66</v>
      </c>
      <c r="H675">
        <v>440</v>
      </c>
      <c r="I675">
        <v>37</v>
      </c>
      <c r="J675" s="3">
        <v>5994800</v>
      </c>
      <c r="K675" s="3">
        <v>221807600</v>
      </c>
      <c r="L675" s="2" t="s">
        <v>25</v>
      </c>
      <c r="M675" s="2" t="s">
        <v>77</v>
      </c>
      <c r="N675">
        <v>2023</v>
      </c>
      <c r="O675" s="2" t="s">
        <v>148</v>
      </c>
      <c r="P675" s="2" t="s">
        <v>150</v>
      </c>
      <c r="Q675">
        <v>8</v>
      </c>
      <c r="R675" s="4">
        <v>45139</v>
      </c>
      <c r="S675" s="3">
        <v>5994800</v>
      </c>
      <c r="T675" s="3">
        <v>22.18</v>
      </c>
    </row>
    <row r="676" spans="1:20" hidden="1" x14ac:dyDescent="0.3">
      <c r="A676" s="1">
        <v>45167</v>
      </c>
      <c r="B676" s="2" t="s">
        <v>29</v>
      </c>
      <c r="C676" s="2" t="s">
        <v>30</v>
      </c>
      <c r="D676" s="2" t="s">
        <v>22</v>
      </c>
      <c r="E676" s="2" t="s">
        <v>23</v>
      </c>
      <c r="F676" s="2" t="s">
        <v>24</v>
      </c>
      <c r="G676">
        <v>82</v>
      </c>
      <c r="H676">
        <v>520</v>
      </c>
      <c r="I676">
        <v>65</v>
      </c>
      <c r="J676" s="3">
        <v>5936400</v>
      </c>
      <c r="K676" s="3">
        <v>385866000</v>
      </c>
      <c r="L676" s="2" t="s">
        <v>33</v>
      </c>
      <c r="M676" s="2" t="s">
        <v>26</v>
      </c>
      <c r="N676">
        <v>2023</v>
      </c>
      <c r="O676" s="2" t="s">
        <v>148</v>
      </c>
      <c r="P676" s="2" t="s">
        <v>150</v>
      </c>
      <c r="Q676">
        <v>8</v>
      </c>
      <c r="R676" s="4">
        <v>45139</v>
      </c>
      <c r="S676" s="3">
        <v>5936400</v>
      </c>
      <c r="T676" s="3">
        <v>38.590000000000003</v>
      </c>
    </row>
    <row r="677" spans="1:20" hidden="1" x14ac:dyDescent="0.3">
      <c r="A677" s="1">
        <v>45168</v>
      </c>
      <c r="B677" s="2" t="s">
        <v>46</v>
      </c>
      <c r="C677" s="2" t="s">
        <v>47</v>
      </c>
      <c r="D677" s="2" t="s">
        <v>88</v>
      </c>
      <c r="E677" s="2" t="s">
        <v>89</v>
      </c>
      <c r="F677" s="2" t="s">
        <v>24</v>
      </c>
      <c r="G677">
        <v>82</v>
      </c>
      <c r="H677">
        <v>580</v>
      </c>
      <c r="I677">
        <v>6</v>
      </c>
      <c r="J677" s="3">
        <v>4719900</v>
      </c>
      <c r="K677" s="3">
        <v>28319400</v>
      </c>
      <c r="L677" s="2" t="s">
        <v>25</v>
      </c>
      <c r="M677" s="2" t="s">
        <v>26</v>
      </c>
      <c r="N677">
        <v>2023</v>
      </c>
      <c r="O677" s="2" t="s">
        <v>148</v>
      </c>
      <c r="P677" s="2" t="s">
        <v>150</v>
      </c>
      <c r="Q677">
        <v>8</v>
      </c>
      <c r="R677" s="4">
        <v>45139</v>
      </c>
      <c r="S677" s="3">
        <v>4719900</v>
      </c>
      <c r="T677" s="3">
        <v>2.83</v>
      </c>
    </row>
    <row r="678" spans="1:20" hidden="1" x14ac:dyDescent="0.3">
      <c r="A678" s="1">
        <v>45168</v>
      </c>
      <c r="B678" s="2" t="s">
        <v>35</v>
      </c>
      <c r="C678" s="2" t="s">
        <v>87</v>
      </c>
      <c r="D678" s="2" t="s">
        <v>57</v>
      </c>
      <c r="E678" s="2" t="s">
        <v>58</v>
      </c>
      <c r="F678" s="2" t="s">
        <v>24</v>
      </c>
      <c r="G678">
        <v>72</v>
      </c>
      <c r="H678">
        <v>488</v>
      </c>
      <c r="I678">
        <v>137</v>
      </c>
      <c r="J678" s="3">
        <v>5618100</v>
      </c>
      <c r="K678" s="3">
        <v>769679700</v>
      </c>
      <c r="L678" s="2" t="s">
        <v>25</v>
      </c>
      <c r="M678" s="2" t="s">
        <v>26</v>
      </c>
      <c r="N678">
        <v>2023</v>
      </c>
      <c r="O678" s="2" t="s">
        <v>148</v>
      </c>
      <c r="P678" s="2" t="s">
        <v>150</v>
      </c>
      <c r="Q678">
        <v>8</v>
      </c>
      <c r="R678" s="4">
        <v>45139</v>
      </c>
      <c r="S678" s="3">
        <v>5618100</v>
      </c>
      <c r="T678" s="3">
        <v>76.97</v>
      </c>
    </row>
    <row r="679" spans="1:20" hidden="1" x14ac:dyDescent="0.3">
      <c r="A679" s="1">
        <v>45169</v>
      </c>
      <c r="B679" s="2" t="s">
        <v>40</v>
      </c>
      <c r="C679" s="2" t="s">
        <v>105</v>
      </c>
      <c r="D679" s="2" t="s">
        <v>57</v>
      </c>
      <c r="E679" s="2" t="s">
        <v>86</v>
      </c>
      <c r="F679" s="2" t="s">
        <v>39</v>
      </c>
      <c r="G679">
        <v>48</v>
      </c>
      <c r="H679">
        <v>39</v>
      </c>
      <c r="I679">
        <v>145</v>
      </c>
      <c r="J679" s="3">
        <v>2663400</v>
      </c>
      <c r="K679" s="3">
        <v>386193000</v>
      </c>
      <c r="L679" s="2" t="s">
        <v>92</v>
      </c>
      <c r="M679" s="2" t="s">
        <v>26</v>
      </c>
      <c r="N679">
        <v>2023</v>
      </c>
      <c r="O679" s="2" t="s">
        <v>148</v>
      </c>
      <c r="P679" s="2" t="s">
        <v>150</v>
      </c>
      <c r="Q679">
        <v>8</v>
      </c>
      <c r="R679" s="4">
        <v>45139</v>
      </c>
      <c r="S679" s="3">
        <v>2663400</v>
      </c>
      <c r="T679" s="3">
        <v>38.619999999999997</v>
      </c>
    </row>
    <row r="680" spans="1:20" hidden="1" x14ac:dyDescent="0.3">
      <c r="A680" s="1">
        <v>45169</v>
      </c>
      <c r="B680" s="2" t="s">
        <v>35</v>
      </c>
      <c r="C680" s="2" t="s">
        <v>121</v>
      </c>
      <c r="D680" s="2" t="s">
        <v>50</v>
      </c>
      <c r="E680" s="2" t="s">
        <v>51</v>
      </c>
      <c r="F680" s="2" t="s">
        <v>24</v>
      </c>
      <c r="G680">
        <v>77</v>
      </c>
      <c r="H680">
        <v>528</v>
      </c>
      <c r="I680">
        <v>54</v>
      </c>
      <c r="J680" s="3">
        <v>5163000</v>
      </c>
      <c r="K680" s="3">
        <v>278802000</v>
      </c>
      <c r="L680" s="2" t="s">
        <v>33</v>
      </c>
      <c r="M680" s="2" t="s">
        <v>77</v>
      </c>
      <c r="N680">
        <v>2023</v>
      </c>
      <c r="O680" s="2" t="s">
        <v>148</v>
      </c>
      <c r="P680" s="2" t="s">
        <v>150</v>
      </c>
      <c r="Q680">
        <v>8</v>
      </c>
      <c r="R680" s="4">
        <v>45139</v>
      </c>
      <c r="S680" s="3">
        <v>5163000</v>
      </c>
      <c r="T680" s="3">
        <v>27.88</v>
      </c>
    </row>
    <row r="681" spans="1:20" hidden="1" x14ac:dyDescent="0.3">
      <c r="A681" s="1">
        <v>45170</v>
      </c>
      <c r="B681" s="2" t="s">
        <v>90</v>
      </c>
      <c r="C681" s="2" t="s">
        <v>114</v>
      </c>
      <c r="D681" s="2" t="s">
        <v>94</v>
      </c>
      <c r="E681" s="2" t="s">
        <v>95</v>
      </c>
      <c r="F681" s="2" t="s">
        <v>72</v>
      </c>
      <c r="G681">
        <v>40</v>
      </c>
      <c r="H681">
        <v>30</v>
      </c>
      <c r="I681">
        <v>134</v>
      </c>
      <c r="J681" s="3">
        <v>2517200</v>
      </c>
      <c r="K681" s="3">
        <v>337304800</v>
      </c>
      <c r="L681" s="2" t="s">
        <v>25</v>
      </c>
      <c r="M681" s="2" t="s">
        <v>26</v>
      </c>
      <c r="N681">
        <v>2023</v>
      </c>
      <c r="O681" s="2" t="s">
        <v>148</v>
      </c>
      <c r="P681" s="2" t="s">
        <v>151</v>
      </c>
      <c r="Q681">
        <v>9</v>
      </c>
      <c r="R681" s="4">
        <v>45170</v>
      </c>
      <c r="S681" s="3">
        <v>2517200</v>
      </c>
      <c r="T681" s="3">
        <v>33.729999999999997</v>
      </c>
    </row>
    <row r="682" spans="1:20" hidden="1" x14ac:dyDescent="0.3">
      <c r="A682" s="1">
        <v>45171</v>
      </c>
      <c r="B682" s="2" t="s">
        <v>84</v>
      </c>
      <c r="C682" s="2" t="s">
        <v>85</v>
      </c>
      <c r="D682" s="2" t="s">
        <v>22</v>
      </c>
      <c r="E682" s="2" t="s">
        <v>23</v>
      </c>
      <c r="F682" s="2" t="s">
        <v>24</v>
      </c>
      <c r="G682">
        <v>82</v>
      </c>
      <c r="H682">
        <v>520</v>
      </c>
      <c r="I682">
        <v>75</v>
      </c>
      <c r="J682" s="3">
        <v>6977900</v>
      </c>
      <c r="K682" s="3">
        <v>523342500</v>
      </c>
      <c r="L682" s="2" t="s">
        <v>33</v>
      </c>
      <c r="M682" s="2" t="s">
        <v>26</v>
      </c>
      <c r="N682">
        <v>2023</v>
      </c>
      <c r="O682" s="2" t="s">
        <v>148</v>
      </c>
      <c r="P682" s="2" t="s">
        <v>151</v>
      </c>
      <c r="Q682">
        <v>9</v>
      </c>
      <c r="R682" s="4">
        <v>45170</v>
      </c>
      <c r="S682" s="3">
        <v>6977900</v>
      </c>
      <c r="T682" s="3">
        <v>52.33</v>
      </c>
    </row>
    <row r="683" spans="1:20" hidden="1" x14ac:dyDescent="0.3">
      <c r="A683" s="1">
        <v>45171</v>
      </c>
      <c r="B683" s="2" t="s">
        <v>20</v>
      </c>
      <c r="C683" s="2" t="s">
        <v>112</v>
      </c>
      <c r="D683" s="2" t="s">
        <v>54</v>
      </c>
      <c r="E683" s="2" t="s">
        <v>55</v>
      </c>
      <c r="F683" s="2" t="s">
        <v>24</v>
      </c>
      <c r="G683">
        <v>30</v>
      </c>
      <c r="H683">
        <v>320</v>
      </c>
      <c r="I683">
        <v>42</v>
      </c>
      <c r="J683" s="3">
        <v>1297900</v>
      </c>
      <c r="K683" s="3">
        <v>54511800</v>
      </c>
      <c r="L683" s="2" t="s">
        <v>33</v>
      </c>
      <c r="M683" s="2" t="s">
        <v>26</v>
      </c>
      <c r="N683">
        <v>2023</v>
      </c>
      <c r="O683" s="2" t="s">
        <v>148</v>
      </c>
      <c r="P683" s="2" t="s">
        <v>151</v>
      </c>
      <c r="Q683">
        <v>9</v>
      </c>
      <c r="R683" s="4">
        <v>45170</v>
      </c>
      <c r="S683" s="3">
        <v>1297900</v>
      </c>
      <c r="T683" s="3">
        <v>5.45</v>
      </c>
    </row>
    <row r="684" spans="1:20" hidden="1" x14ac:dyDescent="0.3">
      <c r="A684" s="1">
        <v>45171</v>
      </c>
      <c r="B684" s="2" t="s">
        <v>48</v>
      </c>
      <c r="C684" s="2" t="s">
        <v>98</v>
      </c>
      <c r="D684" s="2" t="s">
        <v>37</v>
      </c>
      <c r="E684" s="2" t="s">
        <v>38</v>
      </c>
      <c r="F684" s="2" t="s">
        <v>24</v>
      </c>
      <c r="G684">
        <v>66</v>
      </c>
      <c r="H684">
        <v>423</v>
      </c>
      <c r="I684">
        <v>6</v>
      </c>
      <c r="J684" s="3">
        <v>8975900</v>
      </c>
      <c r="K684" s="3">
        <v>53855400</v>
      </c>
      <c r="L684" s="2" t="s">
        <v>33</v>
      </c>
      <c r="M684" s="2" t="s">
        <v>77</v>
      </c>
      <c r="N684">
        <v>2023</v>
      </c>
      <c r="O684" s="2" t="s">
        <v>148</v>
      </c>
      <c r="P684" s="2" t="s">
        <v>151</v>
      </c>
      <c r="Q684">
        <v>9</v>
      </c>
      <c r="R684" s="4">
        <v>45170</v>
      </c>
      <c r="S684" s="3">
        <v>8975900</v>
      </c>
      <c r="T684" s="3">
        <v>5.39</v>
      </c>
    </row>
    <row r="685" spans="1:20" hidden="1" x14ac:dyDescent="0.3">
      <c r="A685" s="1">
        <v>45171</v>
      </c>
      <c r="B685" s="2" t="s">
        <v>48</v>
      </c>
      <c r="C685" s="2" t="s">
        <v>98</v>
      </c>
      <c r="D685" s="2" t="s">
        <v>22</v>
      </c>
      <c r="E685" s="2" t="s">
        <v>23</v>
      </c>
      <c r="F685" s="2" t="s">
        <v>24</v>
      </c>
      <c r="G685">
        <v>82</v>
      </c>
      <c r="H685">
        <v>520</v>
      </c>
      <c r="I685">
        <v>12</v>
      </c>
      <c r="J685" s="3">
        <v>7547400</v>
      </c>
      <c r="K685" s="3">
        <v>90568800</v>
      </c>
      <c r="L685" s="2" t="s">
        <v>33</v>
      </c>
      <c r="M685" s="2" t="s">
        <v>26</v>
      </c>
      <c r="N685">
        <v>2023</v>
      </c>
      <c r="O685" s="2" t="s">
        <v>148</v>
      </c>
      <c r="P685" s="2" t="s">
        <v>151</v>
      </c>
      <c r="Q685">
        <v>9</v>
      </c>
      <c r="R685" s="4">
        <v>45170</v>
      </c>
      <c r="S685" s="3">
        <v>7547400</v>
      </c>
      <c r="T685" s="3">
        <v>9.06</v>
      </c>
    </row>
    <row r="686" spans="1:20" hidden="1" x14ac:dyDescent="0.3">
      <c r="A686" s="1">
        <v>45171</v>
      </c>
      <c r="B686" s="2" t="s">
        <v>90</v>
      </c>
      <c r="C686" s="2" t="s">
        <v>99</v>
      </c>
      <c r="D686" s="2" t="s">
        <v>31</v>
      </c>
      <c r="E686" s="2" t="s">
        <v>124</v>
      </c>
      <c r="F686" s="2" t="s">
        <v>24</v>
      </c>
      <c r="G686">
        <v>3</v>
      </c>
      <c r="H686">
        <v>151</v>
      </c>
      <c r="I686">
        <v>51</v>
      </c>
      <c r="J686" s="3">
        <v>121500</v>
      </c>
      <c r="K686" s="3">
        <v>6196500</v>
      </c>
      <c r="L686" s="2" t="s">
        <v>33</v>
      </c>
      <c r="M686" s="2" t="s">
        <v>26</v>
      </c>
      <c r="N686">
        <v>2023</v>
      </c>
      <c r="O686" s="2" t="s">
        <v>148</v>
      </c>
      <c r="P686" s="2" t="s">
        <v>151</v>
      </c>
      <c r="Q686">
        <v>9</v>
      </c>
      <c r="R686" s="4">
        <v>45170</v>
      </c>
      <c r="S686" s="3">
        <v>121500</v>
      </c>
      <c r="T686" s="3">
        <v>0.62</v>
      </c>
    </row>
    <row r="687" spans="1:20" hidden="1" x14ac:dyDescent="0.3">
      <c r="A687" s="1">
        <v>45172</v>
      </c>
      <c r="B687" s="2" t="s">
        <v>40</v>
      </c>
      <c r="C687" s="2" t="s">
        <v>105</v>
      </c>
      <c r="D687" s="2" t="s">
        <v>50</v>
      </c>
      <c r="E687" s="2" t="s">
        <v>51</v>
      </c>
      <c r="F687" s="2" t="s">
        <v>24</v>
      </c>
      <c r="G687">
        <v>77</v>
      </c>
      <c r="H687">
        <v>528</v>
      </c>
      <c r="I687">
        <v>75</v>
      </c>
      <c r="J687" s="3">
        <v>5763500</v>
      </c>
      <c r="K687" s="3">
        <v>432262500</v>
      </c>
      <c r="L687" s="2" t="s">
        <v>33</v>
      </c>
      <c r="M687" s="2" t="s">
        <v>26</v>
      </c>
      <c r="N687">
        <v>2023</v>
      </c>
      <c r="O687" s="2" t="s">
        <v>148</v>
      </c>
      <c r="P687" s="2" t="s">
        <v>151</v>
      </c>
      <c r="Q687">
        <v>9</v>
      </c>
      <c r="R687" s="4">
        <v>45170</v>
      </c>
      <c r="S687" s="3">
        <v>5763500</v>
      </c>
      <c r="T687" s="3">
        <v>43.23</v>
      </c>
    </row>
    <row r="688" spans="1:20" hidden="1" x14ac:dyDescent="0.3">
      <c r="A688" s="1">
        <v>45172</v>
      </c>
      <c r="B688" s="2" t="s">
        <v>29</v>
      </c>
      <c r="C688" s="2" t="s">
        <v>65</v>
      </c>
      <c r="D688" s="2" t="s">
        <v>82</v>
      </c>
      <c r="E688" s="2" t="s">
        <v>83</v>
      </c>
      <c r="F688" s="2" t="s">
        <v>24</v>
      </c>
      <c r="G688">
        <v>40</v>
      </c>
      <c r="H688">
        <v>39</v>
      </c>
      <c r="I688">
        <v>27</v>
      </c>
      <c r="J688" s="3">
        <v>2433300</v>
      </c>
      <c r="K688" s="3">
        <v>65699100</v>
      </c>
      <c r="L688" s="2" t="s">
        <v>33</v>
      </c>
      <c r="M688" s="2" t="s">
        <v>26</v>
      </c>
      <c r="N688">
        <v>2023</v>
      </c>
      <c r="O688" s="2" t="s">
        <v>148</v>
      </c>
      <c r="P688" s="2" t="s">
        <v>151</v>
      </c>
      <c r="Q688">
        <v>9</v>
      </c>
      <c r="R688" s="4">
        <v>45170</v>
      </c>
      <c r="S688" s="3">
        <v>2433300</v>
      </c>
      <c r="T688" s="3">
        <v>6.57</v>
      </c>
    </row>
    <row r="689" spans="1:20" hidden="1" x14ac:dyDescent="0.3">
      <c r="A689" s="1">
        <v>45172</v>
      </c>
      <c r="B689" s="2" t="s">
        <v>40</v>
      </c>
      <c r="C689" s="2" t="s">
        <v>105</v>
      </c>
      <c r="D689" s="2" t="s">
        <v>67</v>
      </c>
      <c r="E689" s="2" t="s">
        <v>68</v>
      </c>
      <c r="F689" s="2" t="s">
        <v>24</v>
      </c>
      <c r="G689">
        <v>66</v>
      </c>
      <c r="H689">
        <v>440</v>
      </c>
      <c r="I689">
        <v>64</v>
      </c>
      <c r="J689" s="3">
        <v>5704600</v>
      </c>
      <c r="K689" s="3">
        <v>365094400</v>
      </c>
      <c r="L689" s="2" t="s">
        <v>33</v>
      </c>
      <c r="M689" s="2" t="s">
        <v>77</v>
      </c>
      <c r="N689">
        <v>2023</v>
      </c>
      <c r="O689" s="2" t="s">
        <v>148</v>
      </c>
      <c r="P689" s="2" t="s">
        <v>151</v>
      </c>
      <c r="Q689">
        <v>9</v>
      </c>
      <c r="R689" s="4">
        <v>45170</v>
      </c>
      <c r="S689" s="3">
        <v>5704600</v>
      </c>
      <c r="T689" s="3">
        <v>36.51</v>
      </c>
    </row>
    <row r="690" spans="1:20" hidden="1" x14ac:dyDescent="0.3">
      <c r="A690" s="1">
        <v>45173</v>
      </c>
      <c r="B690" s="2" t="s">
        <v>40</v>
      </c>
      <c r="C690" s="2" t="s">
        <v>136</v>
      </c>
      <c r="D690" s="2" t="s">
        <v>31</v>
      </c>
      <c r="E690" s="2" t="s">
        <v>124</v>
      </c>
      <c r="F690" s="2" t="s">
        <v>24</v>
      </c>
      <c r="G690">
        <v>3</v>
      </c>
      <c r="H690">
        <v>151</v>
      </c>
      <c r="I690">
        <v>95</v>
      </c>
      <c r="J690" s="3">
        <v>96300</v>
      </c>
      <c r="K690" s="3">
        <v>9148500</v>
      </c>
      <c r="L690" s="2" t="s">
        <v>33</v>
      </c>
      <c r="M690" s="2" t="s">
        <v>26</v>
      </c>
      <c r="N690">
        <v>2023</v>
      </c>
      <c r="O690" s="2" t="s">
        <v>148</v>
      </c>
      <c r="P690" s="2" t="s">
        <v>151</v>
      </c>
      <c r="Q690">
        <v>9</v>
      </c>
      <c r="R690" s="4">
        <v>45170</v>
      </c>
      <c r="S690" s="3">
        <v>96300</v>
      </c>
      <c r="T690" s="3">
        <v>0.91</v>
      </c>
    </row>
    <row r="691" spans="1:20" hidden="1" x14ac:dyDescent="0.3">
      <c r="A691" s="1">
        <v>45173</v>
      </c>
      <c r="B691" s="2" t="s">
        <v>75</v>
      </c>
      <c r="C691" s="2" t="s">
        <v>134</v>
      </c>
      <c r="D691" s="2" t="s">
        <v>42</v>
      </c>
      <c r="E691" s="2" t="s">
        <v>43</v>
      </c>
      <c r="F691" s="2" t="s">
        <v>24</v>
      </c>
      <c r="G691">
        <v>3</v>
      </c>
      <c r="H691">
        <v>135</v>
      </c>
      <c r="I691">
        <v>165</v>
      </c>
      <c r="J691" s="3">
        <v>111300</v>
      </c>
      <c r="K691" s="3">
        <v>18364500</v>
      </c>
      <c r="L691" s="2" t="s">
        <v>25</v>
      </c>
      <c r="M691" s="2" t="s">
        <v>77</v>
      </c>
      <c r="N691">
        <v>2023</v>
      </c>
      <c r="O691" s="2" t="s">
        <v>148</v>
      </c>
      <c r="P691" s="2" t="s">
        <v>151</v>
      </c>
      <c r="Q691">
        <v>9</v>
      </c>
      <c r="R691" s="4">
        <v>45170</v>
      </c>
      <c r="S691" s="3">
        <v>111300</v>
      </c>
      <c r="T691" s="3">
        <v>1.84</v>
      </c>
    </row>
    <row r="692" spans="1:20" hidden="1" x14ac:dyDescent="0.3">
      <c r="A692" s="1">
        <v>45173</v>
      </c>
      <c r="B692" s="2" t="s">
        <v>108</v>
      </c>
      <c r="C692" s="2" t="s">
        <v>131</v>
      </c>
      <c r="D692" s="2" t="s">
        <v>102</v>
      </c>
      <c r="E692" s="2" t="s">
        <v>103</v>
      </c>
      <c r="F692" s="2" t="s">
        <v>24</v>
      </c>
      <c r="G692">
        <v>5</v>
      </c>
      <c r="H692">
        <v>150</v>
      </c>
      <c r="I692">
        <v>121</v>
      </c>
      <c r="J692" s="3">
        <v>167000</v>
      </c>
      <c r="K692" s="3">
        <v>20207000</v>
      </c>
      <c r="L692" s="2" t="s">
        <v>33</v>
      </c>
      <c r="M692" s="2" t="s">
        <v>26</v>
      </c>
      <c r="N692">
        <v>2023</v>
      </c>
      <c r="O692" s="2" t="s">
        <v>148</v>
      </c>
      <c r="P692" s="2" t="s">
        <v>151</v>
      </c>
      <c r="Q692">
        <v>9</v>
      </c>
      <c r="R692" s="4">
        <v>45170</v>
      </c>
      <c r="S692" s="3">
        <v>167000</v>
      </c>
      <c r="T692" s="3">
        <v>2.02</v>
      </c>
    </row>
    <row r="693" spans="1:20" hidden="1" x14ac:dyDescent="0.3">
      <c r="A693" s="1">
        <v>45173</v>
      </c>
      <c r="B693" s="2" t="s">
        <v>35</v>
      </c>
      <c r="C693" s="2" t="s">
        <v>87</v>
      </c>
      <c r="D693" s="2" t="s">
        <v>42</v>
      </c>
      <c r="E693" s="2" t="s">
        <v>43</v>
      </c>
      <c r="F693" s="2" t="s">
        <v>24</v>
      </c>
      <c r="G693">
        <v>3</v>
      </c>
      <c r="H693">
        <v>135</v>
      </c>
      <c r="I693">
        <v>67</v>
      </c>
      <c r="J693" s="3">
        <v>131900</v>
      </c>
      <c r="K693" s="3">
        <v>8837300</v>
      </c>
      <c r="L693" s="2" t="s">
        <v>25</v>
      </c>
      <c r="M693" s="2" t="s">
        <v>26</v>
      </c>
      <c r="N693">
        <v>2023</v>
      </c>
      <c r="O693" s="2" t="s">
        <v>148</v>
      </c>
      <c r="P693" s="2" t="s">
        <v>151</v>
      </c>
      <c r="Q693">
        <v>9</v>
      </c>
      <c r="R693" s="4">
        <v>45170</v>
      </c>
      <c r="S693" s="3">
        <v>131900</v>
      </c>
      <c r="T693" s="3">
        <v>0.88</v>
      </c>
    </row>
    <row r="694" spans="1:20" hidden="1" x14ac:dyDescent="0.3">
      <c r="A694" s="1">
        <v>45174</v>
      </c>
      <c r="B694" s="2" t="s">
        <v>40</v>
      </c>
      <c r="C694" s="2" t="s">
        <v>105</v>
      </c>
      <c r="D694" s="2" t="s">
        <v>67</v>
      </c>
      <c r="E694" s="2" t="s">
        <v>118</v>
      </c>
      <c r="F694" s="2" t="s">
        <v>24</v>
      </c>
      <c r="G694">
        <v>84</v>
      </c>
      <c r="H694">
        <v>590</v>
      </c>
      <c r="I694">
        <v>3</v>
      </c>
      <c r="J694" s="3">
        <v>8511500</v>
      </c>
      <c r="K694" s="3">
        <v>25534500</v>
      </c>
      <c r="L694" s="2" t="s">
        <v>25</v>
      </c>
      <c r="M694" s="2" t="s">
        <v>26</v>
      </c>
      <c r="N694">
        <v>2023</v>
      </c>
      <c r="O694" s="2" t="s">
        <v>148</v>
      </c>
      <c r="P694" s="2" t="s">
        <v>151</v>
      </c>
      <c r="Q694">
        <v>9</v>
      </c>
      <c r="R694" s="4">
        <v>45170</v>
      </c>
      <c r="S694" s="3">
        <v>8511500</v>
      </c>
      <c r="T694" s="3">
        <v>2.5499999999999998</v>
      </c>
    </row>
    <row r="695" spans="1:20" hidden="1" x14ac:dyDescent="0.3">
      <c r="A695" s="1">
        <v>45174</v>
      </c>
      <c r="B695" s="2" t="s">
        <v>84</v>
      </c>
      <c r="C695" s="2" t="s">
        <v>126</v>
      </c>
      <c r="D695" s="2" t="s">
        <v>79</v>
      </c>
      <c r="E695" s="2" t="s">
        <v>80</v>
      </c>
      <c r="F695" s="2" t="s">
        <v>39</v>
      </c>
      <c r="G695">
        <v>69</v>
      </c>
      <c r="H695">
        <v>418</v>
      </c>
      <c r="I695">
        <v>72</v>
      </c>
      <c r="J695" s="3">
        <v>6008800</v>
      </c>
      <c r="K695" s="3">
        <v>432633600</v>
      </c>
      <c r="L695" s="2" t="s">
        <v>33</v>
      </c>
      <c r="M695" s="2" t="s">
        <v>77</v>
      </c>
      <c r="N695">
        <v>2023</v>
      </c>
      <c r="O695" s="2" t="s">
        <v>148</v>
      </c>
      <c r="P695" s="2" t="s">
        <v>151</v>
      </c>
      <c r="Q695">
        <v>9</v>
      </c>
      <c r="R695" s="4">
        <v>45170</v>
      </c>
      <c r="S695" s="3">
        <v>6008800</v>
      </c>
      <c r="T695" s="3">
        <v>43.26</v>
      </c>
    </row>
    <row r="696" spans="1:20" hidden="1" x14ac:dyDescent="0.3">
      <c r="A696" s="1">
        <v>45174</v>
      </c>
      <c r="B696" s="2" t="s">
        <v>20</v>
      </c>
      <c r="C696" s="2" t="s">
        <v>112</v>
      </c>
      <c r="D696" s="2" t="s">
        <v>70</v>
      </c>
      <c r="E696" s="2" t="s">
        <v>74</v>
      </c>
      <c r="F696" s="2" t="s">
        <v>39</v>
      </c>
      <c r="G696">
        <v>25</v>
      </c>
      <c r="H696">
        <v>32</v>
      </c>
      <c r="I696">
        <v>37</v>
      </c>
      <c r="J696" s="3">
        <v>1204000</v>
      </c>
      <c r="K696" s="3">
        <v>44548000</v>
      </c>
      <c r="L696" s="2" t="s">
        <v>33</v>
      </c>
      <c r="M696" s="2" t="s">
        <v>26</v>
      </c>
      <c r="N696">
        <v>2023</v>
      </c>
      <c r="O696" s="2" t="s">
        <v>148</v>
      </c>
      <c r="P696" s="2" t="s">
        <v>151</v>
      </c>
      <c r="Q696">
        <v>9</v>
      </c>
      <c r="R696" s="4">
        <v>45170</v>
      </c>
      <c r="S696" s="3">
        <v>1204000</v>
      </c>
      <c r="T696" s="3">
        <v>4.45</v>
      </c>
    </row>
    <row r="697" spans="1:20" hidden="1" x14ac:dyDescent="0.3">
      <c r="A697" s="1">
        <v>45174</v>
      </c>
      <c r="B697" s="2" t="s">
        <v>108</v>
      </c>
      <c r="C697" s="2" t="s">
        <v>123</v>
      </c>
      <c r="D697" s="2" t="s">
        <v>22</v>
      </c>
      <c r="E697" s="2" t="s">
        <v>23</v>
      </c>
      <c r="F697" s="2" t="s">
        <v>24</v>
      </c>
      <c r="G697">
        <v>82</v>
      </c>
      <c r="H697">
        <v>520</v>
      </c>
      <c r="I697">
        <v>68</v>
      </c>
      <c r="J697" s="3">
        <v>7331200</v>
      </c>
      <c r="K697" s="3">
        <v>498521600</v>
      </c>
      <c r="L697" s="2" t="s">
        <v>25</v>
      </c>
      <c r="M697" s="2" t="s">
        <v>26</v>
      </c>
      <c r="N697">
        <v>2023</v>
      </c>
      <c r="O697" s="2" t="s">
        <v>148</v>
      </c>
      <c r="P697" s="2" t="s">
        <v>151</v>
      </c>
      <c r="Q697">
        <v>9</v>
      </c>
      <c r="R697" s="4">
        <v>45170</v>
      </c>
      <c r="S697" s="3">
        <v>7331200</v>
      </c>
      <c r="T697" s="3">
        <v>49.85</v>
      </c>
    </row>
    <row r="698" spans="1:20" hidden="1" x14ac:dyDescent="0.3">
      <c r="A698" s="1">
        <v>45174</v>
      </c>
      <c r="B698" s="2" t="s">
        <v>52</v>
      </c>
      <c r="C698" s="2" t="s">
        <v>66</v>
      </c>
      <c r="D698" s="2" t="s">
        <v>82</v>
      </c>
      <c r="E698" s="2" t="s">
        <v>83</v>
      </c>
      <c r="F698" s="2" t="s">
        <v>24</v>
      </c>
      <c r="G698">
        <v>40</v>
      </c>
      <c r="H698">
        <v>39</v>
      </c>
      <c r="I698">
        <v>161</v>
      </c>
      <c r="J698" s="3">
        <v>2446000</v>
      </c>
      <c r="K698" s="3">
        <v>393806000</v>
      </c>
      <c r="L698" s="2" t="s">
        <v>25</v>
      </c>
      <c r="M698" s="2" t="s">
        <v>77</v>
      </c>
      <c r="N698">
        <v>2023</v>
      </c>
      <c r="O698" s="2" t="s">
        <v>148</v>
      </c>
      <c r="P698" s="2" t="s">
        <v>151</v>
      </c>
      <c r="Q698">
        <v>9</v>
      </c>
      <c r="R698" s="4">
        <v>45170</v>
      </c>
      <c r="S698" s="3">
        <v>2446000</v>
      </c>
      <c r="T698" s="3">
        <v>39.380000000000003</v>
      </c>
    </row>
    <row r="699" spans="1:20" hidden="1" x14ac:dyDescent="0.3">
      <c r="A699" s="1">
        <v>45174</v>
      </c>
      <c r="B699" s="2" t="s">
        <v>29</v>
      </c>
      <c r="C699" s="2" t="s">
        <v>65</v>
      </c>
      <c r="D699" s="2" t="s">
        <v>70</v>
      </c>
      <c r="E699" s="2" t="s">
        <v>74</v>
      </c>
      <c r="F699" s="2" t="s">
        <v>138</v>
      </c>
      <c r="G699">
        <v>25</v>
      </c>
      <c r="H699">
        <v>32</v>
      </c>
      <c r="I699">
        <v>24</v>
      </c>
      <c r="J699" s="3">
        <v>1158900</v>
      </c>
      <c r="K699" s="3">
        <v>27813600</v>
      </c>
      <c r="L699" s="2" t="s">
        <v>33</v>
      </c>
      <c r="M699" s="2" t="s">
        <v>97</v>
      </c>
      <c r="N699">
        <v>2023</v>
      </c>
      <c r="O699" s="2" t="s">
        <v>148</v>
      </c>
      <c r="P699" s="2" t="s">
        <v>151</v>
      </c>
      <c r="Q699">
        <v>9</v>
      </c>
      <c r="R699" s="4">
        <v>45170</v>
      </c>
      <c r="S699" s="3">
        <v>1158900</v>
      </c>
      <c r="T699" s="3">
        <v>2.78</v>
      </c>
    </row>
    <row r="700" spans="1:20" hidden="1" x14ac:dyDescent="0.3">
      <c r="A700" s="1">
        <v>45175</v>
      </c>
      <c r="B700" s="2" t="s">
        <v>84</v>
      </c>
      <c r="C700" s="2" t="s">
        <v>113</v>
      </c>
      <c r="D700" s="2" t="s">
        <v>50</v>
      </c>
      <c r="E700" s="2" t="s">
        <v>51</v>
      </c>
      <c r="F700" s="2" t="s">
        <v>39</v>
      </c>
      <c r="G700">
        <v>77</v>
      </c>
      <c r="H700">
        <v>528</v>
      </c>
      <c r="I700">
        <v>65</v>
      </c>
      <c r="J700" s="3">
        <v>4430800</v>
      </c>
      <c r="K700" s="3">
        <v>288002000</v>
      </c>
      <c r="L700" s="2" t="s">
        <v>33</v>
      </c>
      <c r="M700" s="2" t="s">
        <v>26</v>
      </c>
      <c r="N700">
        <v>2023</v>
      </c>
      <c r="O700" s="2" t="s">
        <v>148</v>
      </c>
      <c r="P700" s="2" t="s">
        <v>151</v>
      </c>
      <c r="Q700">
        <v>9</v>
      </c>
      <c r="R700" s="4">
        <v>45170</v>
      </c>
      <c r="S700" s="3">
        <v>4430800</v>
      </c>
      <c r="T700" s="3">
        <v>28.8</v>
      </c>
    </row>
    <row r="701" spans="1:20" hidden="1" x14ac:dyDescent="0.3">
      <c r="A701" s="1">
        <v>45175</v>
      </c>
      <c r="B701" s="2" t="s">
        <v>108</v>
      </c>
      <c r="C701" s="2" t="s">
        <v>123</v>
      </c>
      <c r="D701" s="2" t="s">
        <v>79</v>
      </c>
      <c r="E701" s="2" t="s">
        <v>80</v>
      </c>
      <c r="F701" s="2" t="s">
        <v>24</v>
      </c>
      <c r="G701">
        <v>69</v>
      </c>
      <c r="H701">
        <v>418</v>
      </c>
      <c r="I701">
        <v>13</v>
      </c>
      <c r="J701" s="3">
        <v>6096500</v>
      </c>
      <c r="K701" s="3">
        <v>79254500</v>
      </c>
      <c r="L701" s="2" t="s">
        <v>33</v>
      </c>
      <c r="M701" s="2" t="s">
        <v>34</v>
      </c>
      <c r="N701">
        <v>2023</v>
      </c>
      <c r="O701" s="2" t="s">
        <v>148</v>
      </c>
      <c r="P701" s="2" t="s">
        <v>151</v>
      </c>
      <c r="Q701">
        <v>9</v>
      </c>
      <c r="R701" s="4">
        <v>45170</v>
      </c>
      <c r="S701" s="3">
        <v>6096500</v>
      </c>
      <c r="T701" s="3">
        <v>7.93</v>
      </c>
    </row>
    <row r="702" spans="1:20" hidden="1" x14ac:dyDescent="0.3">
      <c r="A702" s="1">
        <v>45175</v>
      </c>
      <c r="B702" s="2" t="s">
        <v>29</v>
      </c>
      <c r="C702" s="2" t="s">
        <v>30</v>
      </c>
      <c r="D702" s="2" t="s">
        <v>63</v>
      </c>
      <c r="E702" s="2" t="s">
        <v>64</v>
      </c>
      <c r="F702" s="2" t="s">
        <v>24</v>
      </c>
      <c r="G702">
        <v>3</v>
      </c>
      <c r="H702">
        <v>127</v>
      </c>
      <c r="I702">
        <v>26</v>
      </c>
      <c r="J702" s="3">
        <v>146100</v>
      </c>
      <c r="K702" s="3">
        <v>3798600</v>
      </c>
      <c r="L702" s="2" t="s">
        <v>33</v>
      </c>
      <c r="M702" s="2" t="s">
        <v>34</v>
      </c>
      <c r="N702">
        <v>2023</v>
      </c>
      <c r="O702" s="2" t="s">
        <v>148</v>
      </c>
      <c r="P702" s="2" t="s">
        <v>151</v>
      </c>
      <c r="Q702">
        <v>9</v>
      </c>
      <c r="R702" s="4">
        <v>45170</v>
      </c>
      <c r="S702" s="3">
        <v>146100</v>
      </c>
      <c r="T702" s="3">
        <v>0.38</v>
      </c>
    </row>
    <row r="703" spans="1:20" hidden="1" x14ac:dyDescent="0.3">
      <c r="A703" s="1">
        <v>45175</v>
      </c>
      <c r="B703" s="2" t="s">
        <v>84</v>
      </c>
      <c r="C703" s="2" t="s">
        <v>126</v>
      </c>
      <c r="D703" s="2" t="s">
        <v>79</v>
      </c>
      <c r="E703" s="2" t="s">
        <v>80</v>
      </c>
      <c r="F703" s="2" t="s">
        <v>39</v>
      </c>
      <c r="G703">
        <v>69</v>
      </c>
      <c r="H703">
        <v>418</v>
      </c>
      <c r="I703">
        <v>28</v>
      </c>
      <c r="J703" s="3">
        <v>4964400</v>
      </c>
      <c r="K703" s="3">
        <v>139003200</v>
      </c>
      <c r="L703" s="2" t="s">
        <v>25</v>
      </c>
      <c r="M703" s="2" t="s">
        <v>77</v>
      </c>
      <c r="N703">
        <v>2023</v>
      </c>
      <c r="O703" s="2" t="s">
        <v>148</v>
      </c>
      <c r="P703" s="2" t="s">
        <v>151</v>
      </c>
      <c r="Q703">
        <v>9</v>
      </c>
      <c r="R703" s="4">
        <v>45170</v>
      </c>
      <c r="S703" s="3">
        <v>4964400</v>
      </c>
      <c r="T703" s="3">
        <v>13.9</v>
      </c>
    </row>
    <row r="704" spans="1:20" hidden="1" x14ac:dyDescent="0.3">
      <c r="A704" s="1">
        <v>45179</v>
      </c>
      <c r="B704" s="2" t="s">
        <v>46</v>
      </c>
      <c r="C704" s="2" t="s">
        <v>110</v>
      </c>
      <c r="D704" s="2" t="s">
        <v>79</v>
      </c>
      <c r="E704" s="2" t="s">
        <v>80</v>
      </c>
      <c r="F704" s="2" t="s">
        <v>24</v>
      </c>
      <c r="G704">
        <v>69</v>
      </c>
      <c r="H704">
        <v>418</v>
      </c>
      <c r="I704">
        <v>35</v>
      </c>
      <c r="J704" s="3">
        <v>6285300</v>
      </c>
      <c r="K704" s="3">
        <v>219985500</v>
      </c>
      <c r="L704" s="2" t="s">
        <v>33</v>
      </c>
      <c r="M704" s="2" t="s">
        <v>77</v>
      </c>
      <c r="N704">
        <v>2023</v>
      </c>
      <c r="O704" s="2" t="s">
        <v>148</v>
      </c>
      <c r="P704" s="2" t="s">
        <v>151</v>
      </c>
      <c r="Q704">
        <v>9</v>
      </c>
      <c r="R704" s="4">
        <v>45170</v>
      </c>
      <c r="S704" s="3">
        <v>6285300</v>
      </c>
      <c r="T704" s="3">
        <v>22</v>
      </c>
    </row>
    <row r="705" spans="1:20" hidden="1" x14ac:dyDescent="0.3">
      <c r="A705" s="1">
        <v>45179</v>
      </c>
      <c r="B705" s="2" t="s">
        <v>35</v>
      </c>
      <c r="C705" s="2" t="s">
        <v>87</v>
      </c>
      <c r="D705" s="2" t="s">
        <v>67</v>
      </c>
      <c r="E705" s="2" t="s">
        <v>68</v>
      </c>
      <c r="F705" s="2" t="s">
        <v>72</v>
      </c>
      <c r="G705">
        <v>66</v>
      </c>
      <c r="H705">
        <v>440</v>
      </c>
      <c r="I705">
        <v>20</v>
      </c>
      <c r="J705" s="3">
        <v>5770500</v>
      </c>
      <c r="K705" s="3">
        <v>115410000</v>
      </c>
      <c r="L705" s="2" t="s">
        <v>33</v>
      </c>
      <c r="M705" s="2" t="s">
        <v>34</v>
      </c>
      <c r="N705">
        <v>2023</v>
      </c>
      <c r="O705" s="2" t="s">
        <v>148</v>
      </c>
      <c r="P705" s="2" t="s">
        <v>151</v>
      </c>
      <c r="Q705">
        <v>9</v>
      </c>
      <c r="R705" s="4">
        <v>45170</v>
      </c>
      <c r="S705" s="3">
        <v>5770500</v>
      </c>
      <c r="T705" s="3">
        <v>11.54</v>
      </c>
    </row>
    <row r="706" spans="1:20" hidden="1" x14ac:dyDescent="0.3">
      <c r="A706" s="1">
        <v>45180</v>
      </c>
      <c r="B706" s="2" t="s">
        <v>40</v>
      </c>
      <c r="C706" s="2" t="s">
        <v>105</v>
      </c>
      <c r="D706" s="2" t="s">
        <v>37</v>
      </c>
      <c r="E706" s="2" t="s">
        <v>38</v>
      </c>
      <c r="F706" s="2" t="s">
        <v>24</v>
      </c>
      <c r="G706">
        <v>66</v>
      </c>
      <c r="H706">
        <v>423</v>
      </c>
      <c r="I706">
        <v>71</v>
      </c>
      <c r="J706" s="3">
        <v>9020400</v>
      </c>
      <c r="K706" s="3">
        <v>640448400</v>
      </c>
      <c r="L706" s="2" t="s">
        <v>33</v>
      </c>
      <c r="M706" s="2" t="s">
        <v>26</v>
      </c>
      <c r="N706">
        <v>2023</v>
      </c>
      <c r="O706" s="2" t="s">
        <v>148</v>
      </c>
      <c r="P706" s="2" t="s">
        <v>151</v>
      </c>
      <c r="Q706">
        <v>9</v>
      </c>
      <c r="R706" s="4">
        <v>45170</v>
      </c>
      <c r="S706" s="3">
        <v>9020400</v>
      </c>
      <c r="T706" s="3">
        <v>64.040000000000006</v>
      </c>
    </row>
    <row r="707" spans="1:20" hidden="1" x14ac:dyDescent="0.3">
      <c r="A707" s="1">
        <v>45181</v>
      </c>
      <c r="B707" s="2" t="s">
        <v>35</v>
      </c>
      <c r="C707" s="2" t="s">
        <v>36</v>
      </c>
      <c r="D707" s="2" t="s">
        <v>54</v>
      </c>
      <c r="E707" s="2" t="s">
        <v>55</v>
      </c>
      <c r="F707" s="2" t="s">
        <v>39</v>
      </c>
      <c r="G707">
        <v>30</v>
      </c>
      <c r="H707">
        <v>320</v>
      </c>
      <c r="I707">
        <v>70</v>
      </c>
      <c r="J707" s="3">
        <v>1204700</v>
      </c>
      <c r="K707" s="3">
        <v>84329000</v>
      </c>
      <c r="L707" s="2" t="s">
        <v>33</v>
      </c>
      <c r="M707" s="2" t="s">
        <v>26</v>
      </c>
      <c r="N707">
        <v>2023</v>
      </c>
      <c r="O707" s="2" t="s">
        <v>148</v>
      </c>
      <c r="P707" s="2" t="s">
        <v>151</v>
      </c>
      <c r="Q707">
        <v>9</v>
      </c>
      <c r="R707" s="4">
        <v>45170</v>
      </c>
      <c r="S707" s="3">
        <v>1204700</v>
      </c>
      <c r="T707" s="3">
        <v>8.43</v>
      </c>
    </row>
    <row r="708" spans="1:20" hidden="1" x14ac:dyDescent="0.3">
      <c r="A708" s="1">
        <v>45181</v>
      </c>
      <c r="B708" s="2" t="s">
        <v>48</v>
      </c>
      <c r="C708" s="2" t="s">
        <v>49</v>
      </c>
      <c r="D708" s="2" t="s">
        <v>63</v>
      </c>
      <c r="E708" s="2" t="s">
        <v>64</v>
      </c>
      <c r="F708" s="2" t="s">
        <v>24</v>
      </c>
      <c r="G708">
        <v>3</v>
      </c>
      <c r="H708">
        <v>127</v>
      </c>
      <c r="I708">
        <v>40</v>
      </c>
      <c r="J708" s="3">
        <v>159400</v>
      </c>
      <c r="K708" s="3">
        <v>6376000</v>
      </c>
      <c r="L708" s="2" t="s">
        <v>33</v>
      </c>
      <c r="M708" s="2" t="s">
        <v>26</v>
      </c>
      <c r="N708">
        <v>2023</v>
      </c>
      <c r="O708" s="2" t="s">
        <v>148</v>
      </c>
      <c r="P708" s="2" t="s">
        <v>151</v>
      </c>
      <c r="Q708">
        <v>9</v>
      </c>
      <c r="R708" s="4">
        <v>45170</v>
      </c>
      <c r="S708" s="3">
        <v>159400</v>
      </c>
      <c r="T708" s="3">
        <v>0.64</v>
      </c>
    </row>
    <row r="709" spans="1:20" hidden="1" x14ac:dyDescent="0.3">
      <c r="A709" s="1">
        <v>45182</v>
      </c>
      <c r="B709" s="2" t="s">
        <v>106</v>
      </c>
      <c r="C709" s="2" t="s">
        <v>107</v>
      </c>
      <c r="D709" s="2" t="s">
        <v>79</v>
      </c>
      <c r="E709" s="2" t="s">
        <v>80</v>
      </c>
      <c r="F709" s="2" t="s">
        <v>72</v>
      </c>
      <c r="G709">
        <v>69</v>
      </c>
      <c r="H709">
        <v>418</v>
      </c>
      <c r="I709">
        <v>27</v>
      </c>
      <c r="J709" s="3">
        <v>5088400</v>
      </c>
      <c r="K709" s="3">
        <v>137386800</v>
      </c>
      <c r="L709" s="2" t="s">
        <v>25</v>
      </c>
      <c r="M709" s="2" t="s">
        <v>77</v>
      </c>
      <c r="N709">
        <v>2023</v>
      </c>
      <c r="O709" s="2" t="s">
        <v>148</v>
      </c>
      <c r="P709" s="2" t="s">
        <v>151</v>
      </c>
      <c r="Q709">
        <v>9</v>
      </c>
      <c r="R709" s="4">
        <v>45170</v>
      </c>
      <c r="S709" s="3">
        <v>5088400</v>
      </c>
      <c r="T709" s="3">
        <v>13.74</v>
      </c>
    </row>
    <row r="710" spans="1:20" hidden="1" x14ac:dyDescent="0.3">
      <c r="A710" s="1">
        <v>45182</v>
      </c>
      <c r="B710" s="2" t="s">
        <v>48</v>
      </c>
      <c r="C710" s="2" t="s">
        <v>73</v>
      </c>
      <c r="D710" s="2" t="s">
        <v>82</v>
      </c>
      <c r="E710" s="2" t="s">
        <v>83</v>
      </c>
      <c r="F710" s="2" t="s">
        <v>24</v>
      </c>
      <c r="G710">
        <v>40</v>
      </c>
      <c r="H710">
        <v>39</v>
      </c>
      <c r="I710">
        <v>35</v>
      </c>
      <c r="J710" s="3">
        <v>2213400</v>
      </c>
      <c r="K710" s="3">
        <v>77469000</v>
      </c>
      <c r="L710" s="2" t="s">
        <v>25</v>
      </c>
      <c r="M710" s="2" t="s">
        <v>26</v>
      </c>
      <c r="N710">
        <v>2023</v>
      </c>
      <c r="O710" s="2" t="s">
        <v>148</v>
      </c>
      <c r="P710" s="2" t="s">
        <v>151</v>
      </c>
      <c r="Q710">
        <v>9</v>
      </c>
      <c r="R710" s="4">
        <v>45170</v>
      </c>
      <c r="S710" s="3">
        <v>2213400</v>
      </c>
      <c r="T710" s="3">
        <v>7.75</v>
      </c>
    </row>
    <row r="711" spans="1:20" hidden="1" x14ac:dyDescent="0.3">
      <c r="A711" s="1">
        <v>45182</v>
      </c>
      <c r="B711" s="2" t="s">
        <v>20</v>
      </c>
      <c r="C711" s="2" t="s">
        <v>112</v>
      </c>
      <c r="D711" s="2" t="s">
        <v>79</v>
      </c>
      <c r="E711" s="2" t="s">
        <v>80</v>
      </c>
      <c r="F711" s="2" t="s">
        <v>24</v>
      </c>
      <c r="G711">
        <v>69</v>
      </c>
      <c r="H711">
        <v>418</v>
      </c>
      <c r="I711">
        <v>58</v>
      </c>
      <c r="J711" s="3">
        <v>5552800</v>
      </c>
      <c r="K711" s="3">
        <v>322062400</v>
      </c>
      <c r="L711" s="2" t="s">
        <v>25</v>
      </c>
      <c r="M711" s="2" t="s">
        <v>77</v>
      </c>
      <c r="N711">
        <v>2023</v>
      </c>
      <c r="O711" s="2" t="s">
        <v>148</v>
      </c>
      <c r="P711" s="2" t="s">
        <v>151</v>
      </c>
      <c r="Q711">
        <v>9</v>
      </c>
      <c r="R711" s="4">
        <v>45170</v>
      </c>
      <c r="S711" s="3">
        <v>5552800</v>
      </c>
      <c r="T711" s="3">
        <v>32.21</v>
      </c>
    </row>
    <row r="712" spans="1:20" hidden="1" x14ac:dyDescent="0.3">
      <c r="A712" s="1">
        <v>45183</v>
      </c>
      <c r="B712" s="2" t="s">
        <v>35</v>
      </c>
      <c r="C712" s="2" t="s">
        <v>121</v>
      </c>
      <c r="D712" s="2" t="s">
        <v>50</v>
      </c>
      <c r="E712" s="2" t="s">
        <v>51</v>
      </c>
      <c r="F712" s="2" t="s">
        <v>72</v>
      </c>
      <c r="G712">
        <v>77</v>
      </c>
      <c r="H712">
        <v>528</v>
      </c>
      <c r="I712">
        <v>63</v>
      </c>
      <c r="J712" s="3">
        <v>4667900</v>
      </c>
      <c r="K712" s="3">
        <v>294077700</v>
      </c>
      <c r="L712" s="2" t="s">
        <v>33</v>
      </c>
      <c r="M712" s="2" t="s">
        <v>34</v>
      </c>
      <c r="N712">
        <v>2023</v>
      </c>
      <c r="O712" s="2" t="s">
        <v>148</v>
      </c>
      <c r="P712" s="2" t="s">
        <v>151</v>
      </c>
      <c r="Q712">
        <v>9</v>
      </c>
      <c r="R712" s="4">
        <v>45170</v>
      </c>
      <c r="S712" s="3">
        <v>4667900</v>
      </c>
      <c r="T712" s="3">
        <v>29.41</v>
      </c>
    </row>
    <row r="713" spans="1:20" hidden="1" x14ac:dyDescent="0.3">
      <c r="A713" s="1">
        <v>45184</v>
      </c>
      <c r="B713" s="2" t="s">
        <v>35</v>
      </c>
      <c r="C713" s="2" t="s">
        <v>121</v>
      </c>
      <c r="D713" s="2" t="s">
        <v>102</v>
      </c>
      <c r="E713" s="2" t="s">
        <v>103</v>
      </c>
      <c r="F713" s="2" t="s">
        <v>24</v>
      </c>
      <c r="G713">
        <v>5</v>
      </c>
      <c r="H713">
        <v>150</v>
      </c>
      <c r="I713">
        <v>164</v>
      </c>
      <c r="J713" s="3">
        <v>174700</v>
      </c>
      <c r="K713" s="3">
        <v>28650800</v>
      </c>
      <c r="L713" s="2" t="s">
        <v>33</v>
      </c>
      <c r="M713" s="2" t="s">
        <v>77</v>
      </c>
      <c r="N713">
        <v>2023</v>
      </c>
      <c r="O713" s="2" t="s">
        <v>148</v>
      </c>
      <c r="P713" s="2" t="s">
        <v>151</v>
      </c>
      <c r="Q713">
        <v>9</v>
      </c>
      <c r="R713" s="4">
        <v>45170</v>
      </c>
      <c r="S713" s="3">
        <v>174700</v>
      </c>
      <c r="T713" s="3">
        <v>2.87</v>
      </c>
    </row>
    <row r="714" spans="1:20" hidden="1" x14ac:dyDescent="0.3">
      <c r="A714" s="1">
        <v>45184</v>
      </c>
      <c r="B714" s="2" t="s">
        <v>40</v>
      </c>
      <c r="C714" s="2" t="s">
        <v>105</v>
      </c>
      <c r="D714" s="2" t="s">
        <v>67</v>
      </c>
      <c r="E714" s="2" t="s">
        <v>118</v>
      </c>
      <c r="F714" s="2" t="s">
        <v>72</v>
      </c>
      <c r="G714">
        <v>84</v>
      </c>
      <c r="H714">
        <v>590</v>
      </c>
      <c r="I714">
        <v>78</v>
      </c>
      <c r="J714" s="3">
        <v>8501900</v>
      </c>
      <c r="K714" s="3">
        <v>663148200</v>
      </c>
      <c r="L714" s="2" t="s">
        <v>33</v>
      </c>
      <c r="M714" s="2" t="s">
        <v>77</v>
      </c>
      <c r="N714">
        <v>2023</v>
      </c>
      <c r="O714" s="2" t="s">
        <v>148</v>
      </c>
      <c r="P714" s="2" t="s">
        <v>151</v>
      </c>
      <c r="Q714">
        <v>9</v>
      </c>
      <c r="R714" s="4">
        <v>45170</v>
      </c>
      <c r="S714" s="3">
        <v>8501900</v>
      </c>
      <c r="T714" s="3">
        <v>66.31</v>
      </c>
    </row>
    <row r="715" spans="1:20" hidden="1" x14ac:dyDescent="0.3">
      <c r="A715" s="1">
        <v>45184</v>
      </c>
      <c r="B715" s="2" t="s">
        <v>48</v>
      </c>
      <c r="C715" s="2" t="s">
        <v>73</v>
      </c>
      <c r="D715" s="2" t="s">
        <v>50</v>
      </c>
      <c r="E715" s="2" t="s">
        <v>51</v>
      </c>
      <c r="F715" s="2" t="s">
        <v>39</v>
      </c>
      <c r="G715">
        <v>77</v>
      </c>
      <c r="H715">
        <v>528</v>
      </c>
      <c r="I715">
        <v>12</v>
      </c>
      <c r="J715" s="3">
        <v>5785700</v>
      </c>
      <c r="K715" s="3">
        <v>69428400</v>
      </c>
      <c r="L715" s="2" t="s">
        <v>33</v>
      </c>
      <c r="M715" s="2" t="s">
        <v>26</v>
      </c>
      <c r="N715">
        <v>2023</v>
      </c>
      <c r="O715" s="2" t="s">
        <v>148</v>
      </c>
      <c r="P715" s="2" t="s">
        <v>151</v>
      </c>
      <c r="Q715">
        <v>9</v>
      </c>
      <c r="R715" s="4">
        <v>45170</v>
      </c>
      <c r="S715" s="3">
        <v>5785700</v>
      </c>
      <c r="T715" s="3">
        <v>6.94</v>
      </c>
    </row>
    <row r="716" spans="1:20" hidden="1" x14ac:dyDescent="0.3">
      <c r="A716" s="1">
        <v>45185</v>
      </c>
      <c r="B716" s="2" t="s">
        <v>84</v>
      </c>
      <c r="C716" s="2" t="s">
        <v>126</v>
      </c>
      <c r="D716" s="2" t="s">
        <v>67</v>
      </c>
      <c r="E716" s="2" t="s">
        <v>68</v>
      </c>
      <c r="F716" s="2" t="s">
        <v>24</v>
      </c>
      <c r="G716">
        <v>66</v>
      </c>
      <c r="H716">
        <v>440</v>
      </c>
      <c r="I716">
        <v>72</v>
      </c>
      <c r="J716" s="3">
        <v>6501000</v>
      </c>
      <c r="K716" s="3">
        <v>468072000</v>
      </c>
      <c r="L716" s="2" t="s">
        <v>25</v>
      </c>
      <c r="M716" s="2" t="s">
        <v>77</v>
      </c>
      <c r="N716">
        <v>2023</v>
      </c>
      <c r="O716" s="2" t="s">
        <v>148</v>
      </c>
      <c r="P716" s="2" t="s">
        <v>151</v>
      </c>
      <c r="Q716">
        <v>9</v>
      </c>
      <c r="R716" s="4">
        <v>45170</v>
      </c>
      <c r="S716" s="3">
        <v>6501000</v>
      </c>
      <c r="T716" s="3">
        <v>46.81</v>
      </c>
    </row>
    <row r="717" spans="1:20" hidden="1" x14ac:dyDescent="0.3">
      <c r="A717" s="1">
        <v>45185</v>
      </c>
      <c r="B717" s="2" t="s">
        <v>108</v>
      </c>
      <c r="C717" s="2" t="s">
        <v>133</v>
      </c>
      <c r="D717" s="2" t="s">
        <v>31</v>
      </c>
      <c r="E717" s="2" t="s">
        <v>32</v>
      </c>
      <c r="F717" s="2" t="s">
        <v>24</v>
      </c>
      <c r="G717">
        <v>4</v>
      </c>
      <c r="H717">
        <v>195</v>
      </c>
      <c r="I717">
        <v>61</v>
      </c>
      <c r="J717" s="3">
        <v>157700</v>
      </c>
      <c r="K717" s="3">
        <v>9619700</v>
      </c>
      <c r="L717" s="2" t="s">
        <v>33</v>
      </c>
      <c r="M717" s="2" t="s">
        <v>26</v>
      </c>
      <c r="N717">
        <v>2023</v>
      </c>
      <c r="O717" s="2" t="s">
        <v>148</v>
      </c>
      <c r="P717" s="2" t="s">
        <v>151</v>
      </c>
      <c r="Q717">
        <v>9</v>
      </c>
      <c r="R717" s="4">
        <v>45170</v>
      </c>
      <c r="S717" s="3">
        <v>157700</v>
      </c>
      <c r="T717" s="3">
        <v>0.96</v>
      </c>
    </row>
    <row r="718" spans="1:20" hidden="1" x14ac:dyDescent="0.3">
      <c r="A718" s="1">
        <v>45185</v>
      </c>
      <c r="B718" s="2" t="s">
        <v>75</v>
      </c>
      <c r="C718" s="2" t="s">
        <v>134</v>
      </c>
      <c r="D718" s="2" t="s">
        <v>88</v>
      </c>
      <c r="E718" s="2" t="s">
        <v>111</v>
      </c>
      <c r="F718" s="2" t="s">
        <v>24</v>
      </c>
      <c r="G718">
        <v>60</v>
      </c>
      <c r="H718">
        <v>480</v>
      </c>
      <c r="I718">
        <v>51</v>
      </c>
      <c r="J718" s="3">
        <v>3429800</v>
      </c>
      <c r="K718" s="3">
        <v>174919800</v>
      </c>
      <c r="L718" s="2" t="s">
        <v>33</v>
      </c>
      <c r="M718" s="2" t="s">
        <v>77</v>
      </c>
      <c r="N718">
        <v>2023</v>
      </c>
      <c r="O718" s="2" t="s">
        <v>148</v>
      </c>
      <c r="P718" s="2" t="s">
        <v>151</v>
      </c>
      <c r="Q718">
        <v>9</v>
      </c>
      <c r="R718" s="4">
        <v>45170</v>
      </c>
      <c r="S718" s="3">
        <v>3429800</v>
      </c>
      <c r="T718" s="3">
        <v>17.489999999999998</v>
      </c>
    </row>
    <row r="719" spans="1:20" hidden="1" x14ac:dyDescent="0.3">
      <c r="A719" s="1">
        <v>45185</v>
      </c>
      <c r="B719" s="2" t="s">
        <v>46</v>
      </c>
      <c r="C719" s="2" t="s">
        <v>137</v>
      </c>
      <c r="D719" s="2" t="s">
        <v>31</v>
      </c>
      <c r="E719" s="2" t="s">
        <v>32</v>
      </c>
      <c r="F719" s="2" t="s">
        <v>24</v>
      </c>
      <c r="G719">
        <v>4</v>
      </c>
      <c r="H719">
        <v>195</v>
      </c>
      <c r="I719">
        <v>126</v>
      </c>
      <c r="J719" s="3">
        <v>148900</v>
      </c>
      <c r="K719" s="3">
        <v>18761400</v>
      </c>
      <c r="L719" s="2" t="s">
        <v>33</v>
      </c>
      <c r="M719" s="2" t="s">
        <v>77</v>
      </c>
      <c r="N719">
        <v>2023</v>
      </c>
      <c r="O719" s="2" t="s">
        <v>148</v>
      </c>
      <c r="P719" s="2" t="s">
        <v>151</v>
      </c>
      <c r="Q719">
        <v>9</v>
      </c>
      <c r="R719" s="4">
        <v>45170</v>
      </c>
      <c r="S719" s="3">
        <v>148900</v>
      </c>
      <c r="T719" s="3">
        <v>1.88</v>
      </c>
    </row>
    <row r="720" spans="1:20" hidden="1" x14ac:dyDescent="0.3">
      <c r="A720" s="1">
        <v>45185</v>
      </c>
      <c r="B720" s="2" t="s">
        <v>40</v>
      </c>
      <c r="C720" s="2" t="s">
        <v>41</v>
      </c>
      <c r="D720" s="2" t="s">
        <v>37</v>
      </c>
      <c r="E720" s="2" t="s">
        <v>38</v>
      </c>
      <c r="F720" s="2" t="s">
        <v>24</v>
      </c>
      <c r="G720">
        <v>66</v>
      </c>
      <c r="H720">
        <v>423</v>
      </c>
      <c r="I720">
        <v>64</v>
      </c>
      <c r="J720" s="3">
        <v>8281800</v>
      </c>
      <c r="K720" s="3">
        <v>530035200</v>
      </c>
      <c r="L720" s="2" t="s">
        <v>33</v>
      </c>
      <c r="M720" s="2" t="s">
        <v>26</v>
      </c>
      <c r="N720">
        <v>2023</v>
      </c>
      <c r="O720" s="2" t="s">
        <v>148</v>
      </c>
      <c r="P720" s="2" t="s">
        <v>151</v>
      </c>
      <c r="Q720">
        <v>9</v>
      </c>
      <c r="R720" s="4">
        <v>45170</v>
      </c>
      <c r="S720" s="3">
        <v>8281800</v>
      </c>
      <c r="T720" s="3">
        <v>53</v>
      </c>
    </row>
    <row r="721" spans="1:20" hidden="1" x14ac:dyDescent="0.3">
      <c r="A721" s="1">
        <v>45185</v>
      </c>
      <c r="B721" s="2" t="s">
        <v>40</v>
      </c>
      <c r="C721" s="2" t="s">
        <v>41</v>
      </c>
      <c r="D721" s="2" t="s">
        <v>70</v>
      </c>
      <c r="E721" s="2" t="s">
        <v>71</v>
      </c>
      <c r="F721" s="2" t="s">
        <v>24</v>
      </c>
      <c r="G721">
        <v>50</v>
      </c>
      <c r="H721">
        <v>46</v>
      </c>
      <c r="I721">
        <v>113</v>
      </c>
      <c r="J721" s="3">
        <v>2361000</v>
      </c>
      <c r="K721" s="3">
        <v>266793000</v>
      </c>
      <c r="L721" s="2" t="s">
        <v>33</v>
      </c>
      <c r="M721" s="2" t="s">
        <v>77</v>
      </c>
      <c r="N721">
        <v>2023</v>
      </c>
      <c r="O721" s="2" t="s">
        <v>148</v>
      </c>
      <c r="P721" s="2" t="s">
        <v>151</v>
      </c>
      <c r="Q721">
        <v>9</v>
      </c>
      <c r="R721" s="4">
        <v>45170</v>
      </c>
      <c r="S721" s="3">
        <v>2361000</v>
      </c>
      <c r="T721" s="3">
        <v>26.68</v>
      </c>
    </row>
    <row r="722" spans="1:20" hidden="1" x14ac:dyDescent="0.3">
      <c r="A722" s="1">
        <v>45186</v>
      </c>
      <c r="B722" s="2" t="s">
        <v>59</v>
      </c>
      <c r="C722" s="2" t="s">
        <v>129</v>
      </c>
      <c r="D722" s="2" t="s">
        <v>42</v>
      </c>
      <c r="E722" s="2" t="s">
        <v>43</v>
      </c>
      <c r="F722" s="2" t="s">
        <v>24</v>
      </c>
      <c r="G722">
        <v>3</v>
      </c>
      <c r="H722">
        <v>135</v>
      </c>
      <c r="I722">
        <v>39</v>
      </c>
      <c r="J722" s="3">
        <v>125100</v>
      </c>
      <c r="K722" s="3">
        <v>4878900</v>
      </c>
      <c r="L722" s="2" t="s">
        <v>33</v>
      </c>
      <c r="M722" s="2" t="s">
        <v>26</v>
      </c>
      <c r="N722">
        <v>2023</v>
      </c>
      <c r="O722" s="2" t="s">
        <v>148</v>
      </c>
      <c r="P722" s="2" t="s">
        <v>151</v>
      </c>
      <c r="Q722">
        <v>9</v>
      </c>
      <c r="R722" s="4">
        <v>45170</v>
      </c>
      <c r="S722" s="3">
        <v>125100</v>
      </c>
      <c r="T722" s="3">
        <v>0.49</v>
      </c>
    </row>
    <row r="723" spans="1:20" hidden="1" x14ac:dyDescent="0.3">
      <c r="A723" s="1">
        <v>45188</v>
      </c>
      <c r="B723" s="2" t="s">
        <v>29</v>
      </c>
      <c r="C723" s="2" t="s">
        <v>96</v>
      </c>
      <c r="D723" s="2" t="s">
        <v>37</v>
      </c>
      <c r="E723" s="2" t="s">
        <v>38</v>
      </c>
      <c r="F723" s="2" t="s">
        <v>24</v>
      </c>
      <c r="G723">
        <v>66</v>
      </c>
      <c r="H723">
        <v>423</v>
      </c>
      <c r="I723">
        <v>54</v>
      </c>
      <c r="J723" s="3">
        <v>9172800</v>
      </c>
      <c r="K723" s="3">
        <v>495331200</v>
      </c>
      <c r="L723" s="2" t="s">
        <v>33</v>
      </c>
      <c r="M723" s="2" t="s">
        <v>77</v>
      </c>
      <c r="N723">
        <v>2023</v>
      </c>
      <c r="O723" s="2" t="s">
        <v>148</v>
      </c>
      <c r="P723" s="2" t="s">
        <v>151</v>
      </c>
      <c r="Q723">
        <v>9</v>
      </c>
      <c r="R723" s="4">
        <v>45170</v>
      </c>
      <c r="S723" s="3">
        <v>9172800</v>
      </c>
      <c r="T723" s="3">
        <v>49.53</v>
      </c>
    </row>
    <row r="724" spans="1:20" hidden="1" x14ac:dyDescent="0.3">
      <c r="A724" s="1">
        <v>45188</v>
      </c>
      <c r="B724" s="2" t="s">
        <v>84</v>
      </c>
      <c r="C724" s="2" t="s">
        <v>126</v>
      </c>
      <c r="D724" s="2" t="s">
        <v>37</v>
      </c>
      <c r="E724" s="2" t="s">
        <v>38</v>
      </c>
      <c r="F724" s="2" t="s">
        <v>72</v>
      </c>
      <c r="G724">
        <v>66</v>
      </c>
      <c r="H724">
        <v>423</v>
      </c>
      <c r="I724">
        <v>3</v>
      </c>
      <c r="J724" s="3">
        <v>7493500</v>
      </c>
      <c r="K724" s="3">
        <v>22480500</v>
      </c>
      <c r="L724" s="2" t="s">
        <v>25</v>
      </c>
      <c r="M724" s="2" t="s">
        <v>34</v>
      </c>
      <c r="N724">
        <v>2023</v>
      </c>
      <c r="O724" s="2" t="s">
        <v>148</v>
      </c>
      <c r="P724" s="2" t="s">
        <v>151</v>
      </c>
      <c r="Q724">
        <v>9</v>
      </c>
      <c r="R724" s="4">
        <v>45170</v>
      </c>
      <c r="S724" s="3">
        <v>7493500</v>
      </c>
      <c r="T724" s="3">
        <v>2.25</v>
      </c>
    </row>
    <row r="725" spans="1:20" hidden="1" x14ac:dyDescent="0.3">
      <c r="A725" s="1">
        <v>45188</v>
      </c>
      <c r="B725" s="2" t="s">
        <v>106</v>
      </c>
      <c r="C725" s="2" t="s">
        <v>120</v>
      </c>
      <c r="D725" s="2" t="s">
        <v>70</v>
      </c>
      <c r="E725" s="2" t="s">
        <v>71</v>
      </c>
      <c r="F725" s="2" t="s">
        <v>24</v>
      </c>
      <c r="G725">
        <v>50</v>
      </c>
      <c r="H725">
        <v>46</v>
      </c>
      <c r="I725">
        <v>15</v>
      </c>
      <c r="J725" s="3">
        <v>2031800</v>
      </c>
      <c r="K725" s="3">
        <v>30477000</v>
      </c>
      <c r="L725" s="2" t="s">
        <v>33</v>
      </c>
      <c r="M725" s="2" t="s">
        <v>26</v>
      </c>
      <c r="N725">
        <v>2023</v>
      </c>
      <c r="O725" s="2" t="s">
        <v>148</v>
      </c>
      <c r="P725" s="2" t="s">
        <v>151</v>
      </c>
      <c r="Q725">
        <v>9</v>
      </c>
      <c r="R725" s="4">
        <v>45170</v>
      </c>
      <c r="S725" s="3">
        <v>2031800</v>
      </c>
      <c r="T725" s="3">
        <v>3.05</v>
      </c>
    </row>
    <row r="726" spans="1:20" hidden="1" x14ac:dyDescent="0.3">
      <c r="A726" s="1">
        <v>45189</v>
      </c>
      <c r="B726" s="2" t="s">
        <v>35</v>
      </c>
      <c r="C726" s="2" t="s">
        <v>36</v>
      </c>
      <c r="D726" s="2" t="s">
        <v>57</v>
      </c>
      <c r="E726" s="2" t="s">
        <v>58</v>
      </c>
      <c r="F726" s="2" t="s">
        <v>24</v>
      </c>
      <c r="G726">
        <v>72</v>
      </c>
      <c r="H726">
        <v>488</v>
      </c>
      <c r="I726">
        <v>37</v>
      </c>
      <c r="J726" s="3">
        <v>5285500</v>
      </c>
      <c r="K726" s="3">
        <v>195563500</v>
      </c>
      <c r="L726" s="2" t="s">
        <v>33</v>
      </c>
      <c r="M726" s="2" t="s">
        <v>26</v>
      </c>
      <c r="N726">
        <v>2023</v>
      </c>
      <c r="O726" s="2" t="s">
        <v>148</v>
      </c>
      <c r="P726" s="2" t="s">
        <v>151</v>
      </c>
      <c r="Q726">
        <v>9</v>
      </c>
      <c r="R726" s="4">
        <v>45170</v>
      </c>
      <c r="S726" s="3">
        <v>5285500</v>
      </c>
      <c r="T726" s="3">
        <v>19.559999999999999</v>
      </c>
    </row>
    <row r="727" spans="1:20" hidden="1" x14ac:dyDescent="0.3">
      <c r="A727" s="1">
        <v>45189</v>
      </c>
      <c r="B727" s="2" t="s">
        <v>75</v>
      </c>
      <c r="C727" s="2" t="s">
        <v>76</v>
      </c>
      <c r="D727" s="2" t="s">
        <v>42</v>
      </c>
      <c r="E727" s="2" t="s">
        <v>43</v>
      </c>
      <c r="F727" s="2" t="s">
        <v>24</v>
      </c>
      <c r="G727">
        <v>3</v>
      </c>
      <c r="H727">
        <v>135</v>
      </c>
      <c r="I727">
        <v>125</v>
      </c>
      <c r="J727" s="3">
        <v>113700</v>
      </c>
      <c r="K727" s="3">
        <v>14212500</v>
      </c>
      <c r="L727" s="2" t="s">
        <v>33</v>
      </c>
      <c r="M727" s="2" t="s">
        <v>26</v>
      </c>
      <c r="N727">
        <v>2023</v>
      </c>
      <c r="O727" s="2" t="s">
        <v>148</v>
      </c>
      <c r="P727" s="2" t="s">
        <v>151</v>
      </c>
      <c r="Q727">
        <v>9</v>
      </c>
      <c r="R727" s="4">
        <v>45170</v>
      </c>
      <c r="S727" s="3">
        <v>113700</v>
      </c>
      <c r="T727" s="3">
        <v>1.42</v>
      </c>
    </row>
    <row r="728" spans="1:20" hidden="1" x14ac:dyDescent="0.3">
      <c r="A728" s="1">
        <v>45189</v>
      </c>
      <c r="B728" s="2" t="s">
        <v>29</v>
      </c>
      <c r="C728" s="2" t="s">
        <v>30</v>
      </c>
      <c r="D728" s="2" t="s">
        <v>67</v>
      </c>
      <c r="E728" s="2" t="s">
        <v>118</v>
      </c>
      <c r="F728" s="2" t="s">
        <v>24</v>
      </c>
      <c r="G728">
        <v>84</v>
      </c>
      <c r="H728">
        <v>590</v>
      </c>
      <c r="I728">
        <v>14</v>
      </c>
      <c r="J728" s="3">
        <v>7188900</v>
      </c>
      <c r="K728" s="3">
        <v>100644600</v>
      </c>
      <c r="L728" s="2" t="s">
        <v>33</v>
      </c>
      <c r="M728" s="2" t="s">
        <v>26</v>
      </c>
      <c r="N728">
        <v>2023</v>
      </c>
      <c r="O728" s="2" t="s">
        <v>148</v>
      </c>
      <c r="P728" s="2" t="s">
        <v>151</v>
      </c>
      <c r="Q728">
        <v>9</v>
      </c>
      <c r="R728" s="4">
        <v>45170</v>
      </c>
      <c r="S728" s="3">
        <v>7188900</v>
      </c>
      <c r="T728" s="3">
        <v>10.06</v>
      </c>
    </row>
    <row r="729" spans="1:20" hidden="1" x14ac:dyDescent="0.3">
      <c r="A729" s="1">
        <v>45189</v>
      </c>
      <c r="B729" s="2" t="s">
        <v>106</v>
      </c>
      <c r="C729" s="2" t="s">
        <v>107</v>
      </c>
      <c r="D729" s="2" t="s">
        <v>70</v>
      </c>
      <c r="E729" s="2" t="s">
        <v>71</v>
      </c>
      <c r="F729" s="2" t="s">
        <v>72</v>
      </c>
      <c r="G729">
        <v>50</v>
      </c>
      <c r="H729">
        <v>46</v>
      </c>
      <c r="I729">
        <v>81</v>
      </c>
      <c r="J729" s="3">
        <v>2276300</v>
      </c>
      <c r="K729" s="3">
        <v>184380300</v>
      </c>
      <c r="L729" s="2" t="s">
        <v>25</v>
      </c>
      <c r="M729" s="2" t="s">
        <v>77</v>
      </c>
      <c r="N729">
        <v>2023</v>
      </c>
      <c r="O729" s="2" t="s">
        <v>148</v>
      </c>
      <c r="P729" s="2" t="s">
        <v>151</v>
      </c>
      <c r="Q729">
        <v>9</v>
      </c>
      <c r="R729" s="4">
        <v>45170</v>
      </c>
      <c r="S729" s="3">
        <v>2276300</v>
      </c>
      <c r="T729" s="3">
        <v>18.440000000000001</v>
      </c>
    </row>
    <row r="730" spans="1:20" hidden="1" x14ac:dyDescent="0.3">
      <c r="A730" s="1">
        <v>45190</v>
      </c>
      <c r="B730" s="2" t="s">
        <v>59</v>
      </c>
      <c r="C730" s="2" t="s">
        <v>129</v>
      </c>
      <c r="D730" s="2" t="s">
        <v>67</v>
      </c>
      <c r="E730" s="2" t="s">
        <v>68</v>
      </c>
      <c r="F730" s="2" t="s">
        <v>39</v>
      </c>
      <c r="G730">
        <v>66</v>
      </c>
      <c r="H730">
        <v>440</v>
      </c>
      <c r="I730">
        <v>42</v>
      </c>
      <c r="J730" s="3">
        <v>5273400</v>
      </c>
      <c r="K730" s="3">
        <v>221482800</v>
      </c>
      <c r="L730" s="2" t="s">
        <v>33</v>
      </c>
      <c r="M730" s="2" t="s">
        <v>97</v>
      </c>
      <c r="N730">
        <v>2023</v>
      </c>
      <c r="O730" s="2" t="s">
        <v>148</v>
      </c>
      <c r="P730" s="2" t="s">
        <v>151</v>
      </c>
      <c r="Q730">
        <v>9</v>
      </c>
      <c r="R730" s="4">
        <v>45170</v>
      </c>
      <c r="S730" s="3">
        <v>5273400</v>
      </c>
      <c r="T730" s="3">
        <v>22.15</v>
      </c>
    </row>
    <row r="731" spans="1:20" hidden="1" x14ac:dyDescent="0.3">
      <c r="A731" s="1">
        <v>45190</v>
      </c>
      <c r="B731" s="2" t="s">
        <v>108</v>
      </c>
      <c r="C731" s="2" t="s">
        <v>123</v>
      </c>
      <c r="D731" s="2" t="s">
        <v>100</v>
      </c>
      <c r="E731" s="2" t="s">
        <v>101</v>
      </c>
      <c r="F731" s="2" t="s">
        <v>24</v>
      </c>
      <c r="G731">
        <v>3</v>
      </c>
      <c r="H731">
        <v>150</v>
      </c>
      <c r="I731">
        <v>11</v>
      </c>
      <c r="J731" s="3">
        <v>152600</v>
      </c>
      <c r="K731" s="3">
        <v>1678600</v>
      </c>
      <c r="L731" s="2" t="s">
        <v>33</v>
      </c>
      <c r="M731" s="2" t="s">
        <v>26</v>
      </c>
      <c r="N731">
        <v>2023</v>
      </c>
      <c r="O731" s="2" t="s">
        <v>148</v>
      </c>
      <c r="P731" s="2" t="s">
        <v>151</v>
      </c>
      <c r="Q731">
        <v>9</v>
      </c>
      <c r="R731" s="4">
        <v>45170</v>
      </c>
      <c r="S731" s="3">
        <v>152600</v>
      </c>
      <c r="T731" s="3">
        <v>0.17</v>
      </c>
    </row>
    <row r="732" spans="1:20" hidden="1" x14ac:dyDescent="0.3">
      <c r="A732" s="1">
        <v>45191</v>
      </c>
      <c r="B732" s="2" t="s">
        <v>40</v>
      </c>
      <c r="C732" s="2" t="s">
        <v>41</v>
      </c>
      <c r="D732" s="2" t="s">
        <v>50</v>
      </c>
      <c r="E732" s="2" t="s">
        <v>51</v>
      </c>
      <c r="F732" s="2" t="s">
        <v>24</v>
      </c>
      <c r="G732">
        <v>77</v>
      </c>
      <c r="H732">
        <v>528</v>
      </c>
      <c r="I732">
        <v>71</v>
      </c>
      <c r="J732" s="3">
        <v>4395300</v>
      </c>
      <c r="K732" s="3">
        <v>312066300</v>
      </c>
      <c r="L732" s="2" t="s">
        <v>25</v>
      </c>
      <c r="M732" s="2" t="s">
        <v>77</v>
      </c>
      <c r="N732">
        <v>2023</v>
      </c>
      <c r="O732" s="2" t="s">
        <v>148</v>
      </c>
      <c r="P732" s="2" t="s">
        <v>151</v>
      </c>
      <c r="Q732">
        <v>9</v>
      </c>
      <c r="R732" s="4">
        <v>45170</v>
      </c>
      <c r="S732" s="3">
        <v>4395300</v>
      </c>
      <c r="T732" s="3">
        <v>31.21</v>
      </c>
    </row>
    <row r="733" spans="1:20" hidden="1" x14ac:dyDescent="0.3">
      <c r="A733" s="1">
        <v>45191</v>
      </c>
      <c r="B733" s="2" t="s">
        <v>29</v>
      </c>
      <c r="C733" s="2" t="s">
        <v>96</v>
      </c>
      <c r="D733" s="2" t="s">
        <v>67</v>
      </c>
      <c r="E733" s="2" t="s">
        <v>68</v>
      </c>
      <c r="F733" s="2" t="s">
        <v>24</v>
      </c>
      <c r="G733">
        <v>66</v>
      </c>
      <c r="H733">
        <v>440</v>
      </c>
      <c r="I733">
        <v>3</v>
      </c>
      <c r="J733" s="3">
        <v>6918700</v>
      </c>
      <c r="K733" s="3">
        <v>20756100</v>
      </c>
      <c r="L733" s="2" t="s">
        <v>33</v>
      </c>
      <c r="M733" s="2" t="s">
        <v>77</v>
      </c>
      <c r="N733">
        <v>2023</v>
      </c>
      <c r="O733" s="2" t="s">
        <v>148</v>
      </c>
      <c r="P733" s="2" t="s">
        <v>151</v>
      </c>
      <c r="Q733">
        <v>9</v>
      </c>
      <c r="R733" s="4">
        <v>45170</v>
      </c>
      <c r="S733" s="3">
        <v>6918700</v>
      </c>
      <c r="T733" s="3">
        <v>2.08</v>
      </c>
    </row>
    <row r="734" spans="1:20" hidden="1" x14ac:dyDescent="0.3">
      <c r="A734" s="1">
        <v>45191</v>
      </c>
      <c r="B734" s="2" t="s">
        <v>48</v>
      </c>
      <c r="C734" s="2" t="s">
        <v>69</v>
      </c>
      <c r="D734" s="2" t="s">
        <v>100</v>
      </c>
      <c r="E734" s="2" t="s">
        <v>101</v>
      </c>
      <c r="F734" s="2" t="s">
        <v>24</v>
      </c>
      <c r="G734">
        <v>3</v>
      </c>
      <c r="H734">
        <v>150</v>
      </c>
      <c r="I734">
        <v>83</v>
      </c>
      <c r="J734" s="3">
        <v>132100</v>
      </c>
      <c r="K734" s="3">
        <v>10964300</v>
      </c>
      <c r="L734" s="2" t="s">
        <v>33</v>
      </c>
      <c r="M734" s="2" t="s">
        <v>34</v>
      </c>
      <c r="N734">
        <v>2023</v>
      </c>
      <c r="O734" s="2" t="s">
        <v>148</v>
      </c>
      <c r="P734" s="2" t="s">
        <v>151</v>
      </c>
      <c r="Q734">
        <v>9</v>
      </c>
      <c r="R734" s="4">
        <v>45170</v>
      </c>
      <c r="S734" s="3">
        <v>132100</v>
      </c>
      <c r="T734" s="3">
        <v>1.1000000000000001</v>
      </c>
    </row>
    <row r="735" spans="1:20" hidden="1" x14ac:dyDescent="0.3">
      <c r="A735" s="1">
        <v>45192</v>
      </c>
      <c r="B735" s="2" t="s">
        <v>35</v>
      </c>
      <c r="C735" s="2" t="s">
        <v>132</v>
      </c>
      <c r="D735" s="2" t="s">
        <v>70</v>
      </c>
      <c r="E735" s="2" t="s">
        <v>74</v>
      </c>
      <c r="F735" s="2" t="s">
        <v>24</v>
      </c>
      <c r="G735">
        <v>25</v>
      </c>
      <c r="H735">
        <v>32</v>
      </c>
      <c r="I735">
        <v>147</v>
      </c>
      <c r="J735" s="3">
        <v>1078700</v>
      </c>
      <c r="K735" s="3">
        <v>158568900</v>
      </c>
      <c r="L735" s="2" t="s">
        <v>33</v>
      </c>
      <c r="M735" s="2" t="s">
        <v>34</v>
      </c>
      <c r="N735">
        <v>2023</v>
      </c>
      <c r="O735" s="2" t="s">
        <v>148</v>
      </c>
      <c r="P735" s="2" t="s">
        <v>151</v>
      </c>
      <c r="Q735">
        <v>9</v>
      </c>
      <c r="R735" s="4">
        <v>45170</v>
      </c>
      <c r="S735" s="3">
        <v>1078700</v>
      </c>
      <c r="T735" s="3">
        <v>15.86</v>
      </c>
    </row>
    <row r="736" spans="1:20" hidden="1" x14ac:dyDescent="0.3">
      <c r="A736" s="1">
        <v>45192</v>
      </c>
      <c r="B736" s="2" t="s">
        <v>84</v>
      </c>
      <c r="C736" s="2" t="s">
        <v>126</v>
      </c>
      <c r="D736" s="2" t="s">
        <v>42</v>
      </c>
      <c r="E736" s="2" t="s">
        <v>43</v>
      </c>
      <c r="F736" s="2" t="s">
        <v>24</v>
      </c>
      <c r="G736">
        <v>3</v>
      </c>
      <c r="H736">
        <v>135</v>
      </c>
      <c r="I736">
        <v>167</v>
      </c>
      <c r="J736" s="3">
        <v>116600</v>
      </c>
      <c r="K736" s="3">
        <v>19472200</v>
      </c>
      <c r="L736" s="2" t="s">
        <v>33</v>
      </c>
      <c r="M736" s="2" t="s">
        <v>26</v>
      </c>
      <c r="N736">
        <v>2023</v>
      </c>
      <c r="O736" s="2" t="s">
        <v>148</v>
      </c>
      <c r="P736" s="2" t="s">
        <v>151</v>
      </c>
      <c r="Q736">
        <v>9</v>
      </c>
      <c r="R736" s="4">
        <v>45170</v>
      </c>
      <c r="S736" s="3">
        <v>116600</v>
      </c>
      <c r="T736" s="3">
        <v>1.95</v>
      </c>
    </row>
    <row r="737" spans="1:20" hidden="1" x14ac:dyDescent="0.3">
      <c r="A737" s="1">
        <v>45192</v>
      </c>
      <c r="B737" s="2" t="s">
        <v>75</v>
      </c>
      <c r="C737" s="2" t="s">
        <v>76</v>
      </c>
      <c r="D737" s="2" t="s">
        <v>50</v>
      </c>
      <c r="E737" s="2" t="s">
        <v>51</v>
      </c>
      <c r="F737" s="2" t="s">
        <v>39</v>
      </c>
      <c r="G737">
        <v>77</v>
      </c>
      <c r="H737">
        <v>528</v>
      </c>
      <c r="I737">
        <v>9</v>
      </c>
      <c r="J737" s="3">
        <v>4580700</v>
      </c>
      <c r="K737" s="3">
        <v>41226300</v>
      </c>
      <c r="L737" s="2" t="s">
        <v>33</v>
      </c>
      <c r="M737" s="2" t="s">
        <v>97</v>
      </c>
      <c r="N737">
        <v>2023</v>
      </c>
      <c r="O737" s="2" t="s">
        <v>148</v>
      </c>
      <c r="P737" s="2" t="s">
        <v>151</v>
      </c>
      <c r="Q737">
        <v>9</v>
      </c>
      <c r="R737" s="4">
        <v>45170</v>
      </c>
      <c r="S737" s="3">
        <v>4580700</v>
      </c>
      <c r="T737" s="3">
        <v>4.12</v>
      </c>
    </row>
    <row r="738" spans="1:20" hidden="1" x14ac:dyDescent="0.3">
      <c r="A738" s="1">
        <v>45192</v>
      </c>
      <c r="B738" s="2" t="s">
        <v>90</v>
      </c>
      <c r="C738" s="2" t="s">
        <v>114</v>
      </c>
      <c r="D738" s="2" t="s">
        <v>88</v>
      </c>
      <c r="E738" s="2" t="s">
        <v>89</v>
      </c>
      <c r="F738" s="2" t="s">
        <v>24</v>
      </c>
      <c r="G738">
        <v>82</v>
      </c>
      <c r="H738">
        <v>580</v>
      </c>
      <c r="I738">
        <v>59</v>
      </c>
      <c r="J738" s="3">
        <v>4805300</v>
      </c>
      <c r="K738" s="3">
        <v>283512700</v>
      </c>
      <c r="L738" s="2" t="s">
        <v>33</v>
      </c>
      <c r="M738" s="2" t="s">
        <v>26</v>
      </c>
      <c r="N738">
        <v>2023</v>
      </c>
      <c r="O738" s="2" t="s">
        <v>148</v>
      </c>
      <c r="P738" s="2" t="s">
        <v>151</v>
      </c>
      <c r="Q738">
        <v>9</v>
      </c>
      <c r="R738" s="4">
        <v>45170</v>
      </c>
      <c r="S738" s="3">
        <v>4805300</v>
      </c>
      <c r="T738" s="3">
        <v>28.35</v>
      </c>
    </row>
    <row r="739" spans="1:20" hidden="1" x14ac:dyDescent="0.3">
      <c r="A739" s="1">
        <v>45193</v>
      </c>
      <c r="B739" s="2" t="s">
        <v>46</v>
      </c>
      <c r="C739" s="2" t="s">
        <v>137</v>
      </c>
      <c r="D739" s="2" t="s">
        <v>42</v>
      </c>
      <c r="E739" s="2" t="s">
        <v>43</v>
      </c>
      <c r="F739" s="2" t="s">
        <v>24</v>
      </c>
      <c r="G739">
        <v>3</v>
      </c>
      <c r="H739">
        <v>135</v>
      </c>
      <c r="I739">
        <v>173</v>
      </c>
      <c r="J739" s="3">
        <v>101000</v>
      </c>
      <c r="K739" s="3">
        <v>17473000</v>
      </c>
      <c r="L739" s="2" t="s">
        <v>33</v>
      </c>
      <c r="M739" s="2" t="s">
        <v>77</v>
      </c>
      <c r="N739">
        <v>2023</v>
      </c>
      <c r="O739" s="2" t="s">
        <v>148</v>
      </c>
      <c r="P739" s="2" t="s">
        <v>151</v>
      </c>
      <c r="Q739">
        <v>9</v>
      </c>
      <c r="R739" s="4">
        <v>45170</v>
      </c>
      <c r="S739" s="3">
        <v>101000</v>
      </c>
      <c r="T739" s="3">
        <v>1.75</v>
      </c>
    </row>
    <row r="740" spans="1:20" hidden="1" x14ac:dyDescent="0.3">
      <c r="A740" s="1">
        <v>45193</v>
      </c>
      <c r="B740" s="2" t="s">
        <v>20</v>
      </c>
      <c r="C740" s="2" t="s">
        <v>125</v>
      </c>
      <c r="D740" s="2" t="s">
        <v>37</v>
      </c>
      <c r="E740" s="2" t="s">
        <v>38</v>
      </c>
      <c r="F740" s="2" t="s">
        <v>24</v>
      </c>
      <c r="G740">
        <v>66</v>
      </c>
      <c r="H740">
        <v>423</v>
      </c>
      <c r="I740">
        <v>40</v>
      </c>
      <c r="J740" s="3">
        <v>7016700</v>
      </c>
      <c r="K740" s="3">
        <v>280668000</v>
      </c>
      <c r="L740" s="2" t="s">
        <v>33</v>
      </c>
      <c r="M740" s="2" t="s">
        <v>97</v>
      </c>
      <c r="N740">
        <v>2023</v>
      </c>
      <c r="O740" s="2" t="s">
        <v>148</v>
      </c>
      <c r="P740" s="2" t="s">
        <v>151</v>
      </c>
      <c r="Q740">
        <v>9</v>
      </c>
      <c r="R740" s="4">
        <v>45170</v>
      </c>
      <c r="S740" s="3">
        <v>7016700</v>
      </c>
      <c r="T740" s="3">
        <v>28.07</v>
      </c>
    </row>
    <row r="741" spans="1:20" hidden="1" x14ac:dyDescent="0.3">
      <c r="A741" s="1">
        <v>45193</v>
      </c>
      <c r="B741" s="2" t="s">
        <v>20</v>
      </c>
      <c r="C741" s="2" t="s">
        <v>21</v>
      </c>
      <c r="D741" s="2" t="s">
        <v>63</v>
      </c>
      <c r="E741" s="2" t="s">
        <v>64</v>
      </c>
      <c r="F741" s="2" t="s">
        <v>24</v>
      </c>
      <c r="G741">
        <v>3</v>
      </c>
      <c r="H741">
        <v>127</v>
      </c>
      <c r="I741">
        <v>18</v>
      </c>
      <c r="J741" s="3">
        <v>172100</v>
      </c>
      <c r="K741" s="3">
        <v>3097800</v>
      </c>
      <c r="L741" s="2" t="s">
        <v>33</v>
      </c>
      <c r="M741" s="2" t="s">
        <v>34</v>
      </c>
      <c r="N741">
        <v>2023</v>
      </c>
      <c r="O741" s="2" t="s">
        <v>148</v>
      </c>
      <c r="P741" s="2" t="s">
        <v>151</v>
      </c>
      <c r="Q741">
        <v>9</v>
      </c>
      <c r="R741" s="4">
        <v>45170</v>
      </c>
      <c r="S741" s="3">
        <v>172100</v>
      </c>
      <c r="T741" s="3">
        <v>0.31</v>
      </c>
    </row>
    <row r="742" spans="1:20" hidden="1" x14ac:dyDescent="0.3">
      <c r="A742" s="1">
        <v>45193</v>
      </c>
      <c r="B742" s="2" t="s">
        <v>46</v>
      </c>
      <c r="C742" s="2" t="s">
        <v>47</v>
      </c>
      <c r="D742" s="2" t="s">
        <v>42</v>
      </c>
      <c r="E742" s="2" t="s">
        <v>43</v>
      </c>
      <c r="F742" s="2" t="s">
        <v>24</v>
      </c>
      <c r="G742">
        <v>3</v>
      </c>
      <c r="H742">
        <v>135</v>
      </c>
      <c r="I742">
        <v>140</v>
      </c>
      <c r="J742" s="3">
        <v>131400</v>
      </c>
      <c r="K742" s="3">
        <v>18396000</v>
      </c>
      <c r="L742" s="2" t="s">
        <v>25</v>
      </c>
      <c r="M742" s="2" t="s">
        <v>34</v>
      </c>
      <c r="N742">
        <v>2023</v>
      </c>
      <c r="O742" s="2" t="s">
        <v>148</v>
      </c>
      <c r="P742" s="2" t="s">
        <v>151</v>
      </c>
      <c r="Q742">
        <v>9</v>
      </c>
      <c r="R742" s="4">
        <v>45170</v>
      </c>
      <c r="S742" s="3">
        <v>131400</v>
      </c>
      <c r="T742" s="3">
        <v>1.84</v>
      </c>
    </row>
    <row r="743" spans="1:20" hidden="1" x14ac:dyDescent="0.3">
      <c r="A743" s="1">
        <v>45194</v>
      </c>
      <c r="B743" s="2" t="s">
        <v>106</v>
      </c>
      <c r="C743" s="2" t="s">
        <v>107</v>
      </c>
      <c r="D743" s="2" t="s">
        <v>63</v>
      </c>
      <c r="E743" s="2" t="s">
        <v>64</v>
      </c>
      <c r="F743" s="2" t="s">
        <v>24</v>
      </c>
      <c r="G743">
        <v>3</v>
      </c>
      <c r="H743">
        <v>127</v>
      </c>
      <c r="I743">
        <v>72</v>
      </c>
      <c r="J743" s="3">
        <v>167000</v>
      </c>
      <c r="K743" s="3">
        <v>12024000</v>
      </c>
      <c r="L743" s="2" t="s">
        <v>33</v>
      </c>
      <c r="M743" s="2" t="s">
        <v>26</v>
      </c>
      <c r="N743">
        <v>2023</v>
      </c>
      <c r="O743" s="2" t="s">
        <v>148</v>
      </c>
      <c r="P743" s="2" t="s">
        <v>151</v>
      </c>
      <c r="Q743">
        <v>9</v>
      </c>
      <c r="R743" s="4">
        <v>45170</v>
      </c>
      <c r="S743" s="3">
        <v>167000</v>
      </c>
      <c r="T743" s="3">
        <v>1.2</v>
      </c>
    </row>
    <row r="744" spans="1:20" hidden="1" x14ac:dyDescent="0.3">
      <c r="A744" s="1">
        <v>45194</v>
      </c>
      <c r="B744" s="2" t="s">
        <v>108</v>
      </c>
      <c r="C744" s="2" t="s">
        <v>131</v>
      </c>
      <c r="D744" s="2" t="s">
        <v>42</v>
      </c>
      <c r="E744" s="2" t="s">
        <v>43</v>
      </c>
      <c r="F744" s="2" t="s">
        <v>24</v>
      </c>
      <c r="G744">
        <v>3</v>
      </c>
      <c r="H744">
        <v>135</v>
      </c>
      <c r="I744">
        <v>43</v>
      </c>
      <c r="J744" s="3">
        <v>134900</v>
      </c>
      <c r="K744" s="3">
        <v>5800700</v>
      </c>
      <c r="L744" s="2" t="s">
        <v>33</v>
      </c>
      <c r="M744" s="2" t="s">
        <v>34</v>
      </c>
      <c r="N744">
        <v>2023</v>
      </c>
      <c r="O744" s="2" t="s">
        <v>148</v>
      </c>
      <c r="P744" s="2" t="s">
        <v>151</v>
      </c>
      <c r="Q744">
        <v>9</v>
      </c>
      <c r="R744" s="4">
        <v>45170</v>
      </c>
      <c r="S744" s="3">
        <v>134900</v>
      </c>
      <c r="T744" s="3">
        <v>0.57999999999999996</v>
      </c>
    </row>
    <row r="745" spans="1:20" hidden="1" x14ac:dyDescent="0.3">
      <c r="A745" s="1">
        <v>45194</v>
      </c>
      <c r="B745" s="2" t="s">
        <v>40</v>
      </c>
      <c r="C745" s="2" t="s">
        <v>105</v>
      </c>
      <c r="D745" s="2" t="s">
        <v>70</v>
      </c>
      <c r="E745" s="2" t="s">
        <v>74</v>
      </c>
      <c r="F745" s="2" t="s">
        <v>24</v>
      </c>
      <c r="G745">
        <v>25</v>
      </c>
      <c r="H745">
        <v>32</v>
      </c>
      <c r="I745">
        <v>50</v>
      </c>
      <c r="J745" s="3">
        <v>1062900</v>
      </c>
      <c r="K745" s="3">
        <v>53145000</v>
      </c>
      <c r="L745" s="2" t="s">
        <v>33</v>
      </c>
      <c r="M745" s="2" t="s">
        <v>34</v>
      </c>
      <c r="N745">
        <v>2023</v>
      </c>
      <c r="O745" s="2" t="s">
        <v>148</v>
      </c>
      <c r="P745" s="2" t="s">
        <v>151</v>
      </c>
      <c r="Q745">
        <v>9</v>
      </c>
      <c r="R745" s="4">
        <v>45170</v>
      </c>
      <c r="S745" s="3">
        <v>1062900</v>
      </c>
      <c r="T745" s="3">
        <v>5.31</v>
      </c>
    </row>
    <row r="746" spans="1:20" hidden="1" x14ac:dyDescent="0.3">
      <c r="A746" s="1">
        <v>45195</v>
      </c>
      <c r="B746" s="2" t="s">
        <v>84</v>
      </c>
      <c r="C746" s="2" t="s">
        <v>126</v>
      </c>
      <c r="D746" s="2" t="s">
        <v>22</v>
      </c>
      <c r="E746" s="2" t="s">
        <v>23</v>
      </c>
      <c r="F746" s="2" t="s">
        <v>39</v>
      </c>
      <c r="G746">
        <v>82</v>
      </c>
      <c r="H746">
        <v>520</v>
      </c>
      <c r="I746">
        <v>32</v>
      </c>
      <c r="J746" s="3">
        <v>6195400</v>
      </c>
      <c r="K746" s="3">
        <v>198252800</v>
      </c>
      <c r="L746" s="2" t="s">
        <v>33</v>
      </c>
      <c r="M746" s="2" t="s">
        <v>34</v>
      </c>
      <c r="N746">
        <v>2023</v>
      </c>
      <c r="O746" s="2" t="s">
        <v>148</v>
      </c>
      <c r="P746" s="2" t="s">
        <v>151</v>
      </c>
      <c r="Q746">
        <v>9</v>
      </c>
      <c r="R746" s="4">
        <v>45170</v>
      </c>
      <c r="S746" s="3">
        <v>6195400</v>
      </c>
      <c r="T746" s="3">
        <v>19.829999999999998</v>
      </c>
    </row>
    <row r="747" spans="1:20" hidden="1" x14ac:dyDescent="0.3">
      <c r="A747" s="1">
        <v>45195</v>
      </c>
      <c r="B747" s="2" t="s">
        <v>59</v>
      </c>
      <c r="C747" s="2" t="s">
        <v>135</v>
      </c>
      <c r="D747" s="2" t="s">
        <v>82</v>
      </c>
      <c r="E747" s="2" t="s">
        <v>83</v>
      </c>
      <c r="F747" s="2" t="s">
        <v>72</v>
      </c>
      <c r="G747">
        <v>40</v>
      </c>
      <c r="H747">
        <v>39</v>
      </c>
      <c r="I747">
        <v>104</v>
      </c>
      <c r="J747" s="3">
        <v>2177300</v>
      </c>
      <c r="K747" s="3">
        <v>226439200</v>
      </c>
      <c r="L747" s="2" t="s">
        <v>33</v>
      </c>
      <c r="M747" s="2" t="s">
        <v>34</v>
      </c>
      <c r="N747">
        <v>2023</v>
      </c>
      <c r="O747" s="2" t="s">
        <v>148</v>
      </c>
      <c r="P747" s="2" t="s">
        <v>151</v>
      </c>
      <c r="Q747">
        <v>9</v>
      </c>
      <c r="R747" s="4">
        <v>45170</v>
      </c>
      <c r="S747" s="3">
        <v>2177300</v>
      </c>
      <c r="T747" s="3">
        <v>22.64</v>
      </c>
    </row>
    <row r="748" spans="1:20" hidden="1" x14ac:dyDescent="0.3">
      <c r="A748" s="1">
        <v>45195</v>
      </c>
      <c r="B748" s="2" t="s">
        <v>59</v>
      </c>
      <c r="C748" s="2" t="s">
        <v>81</v>
      </c>
      <c r="D748" s="2" t="s">
        <v>50</v>
      </c>
      <c r="E748" s="2" t="s">
        <v>51</v>
      </c>
      <c r="F748" s="2" t="s">
        <v>24</v>
      </c>
      <c r="G748">
        <v>77</v>
      </c>
      <c r="H748">
        <v>528</v>
      </c>
      <c r="I748">
        <v>6</v>
      </c>
      <c r="J748" s="3">
        <v>4784800</v>
      </c>
      <c r="K748" s="3">
        <v>28708800</v>
      </c>
      <c r="L748" s="2" t="s">
        <v>33</v>
      </c>
      <c r="M748" s="2" t="s">
        <v>77</v>
      </c>
      <c r="N748">
        <v>2023</v>
      </c>
      <c r="O748" s="2" t="s">
        <v>148</v>
      </c>
      <c r="P748" s="2" t="s">
        <v>151</v>
      </c>
      <c r="Q748">
        <v>9</v>
      </c>
      <c r="R748" s="4">
        <v>45170</v>
      </c>
      <c r="S748" s="3">
        <v>4784800</v>
      </c>
      <c r="T748" s="3">
        <v>2.87</v>
      </c>
    </row>
    <row r="749" spans="1:20" hidden="1" x14ac:dyDescent="0.3">
      <c r="A749" s="1">
        <v>45195</v>
      </c>
      <c r="B749" s="2" t="s">
        <v>40</v>
      </c>
      <c r="C749" s="2" t="s">
        <v>136</v>
      </c>
      <c r="D749" s="2" t="s">
        <v>79</v>
      </c>
      <c r="E749" s="2" t="s">
        <v>80</v>
      </c>
      <c r="F749" s="2" t="s">
        <v>24</v>
      </c>
      <c r="G749">
        <v>69</v>
      </c>
      <c r="H749">
        <v>418</v>
      </c>
      <c r="I749">
        <v>21</v>
      </c>
      <c r="J749" s="3">
        <v>5949700</v>
      </c>
      <c r="K749" s="3">
        <v>124943700</v>
      </c>
      <c r="L749" s="2" t="s">
        <v>92</v>
      </c>
      <c r="M749" s="2" t="s">
        <v>26</v>
      </c>
      <c r="N749">
        <v>2023</v>
      </c>
      <c r="O749" s="2" t="s">
        <v>148</v>
      </c>
      <c r="P749" s="2" t="s">
        <v>151</v>
      </c>
      <c r="Q749">
        <v>9</v>
      </c>
      <c r="R749" s="4">
        <v>45170</v>
      </c>
      <c r="S749" s="3">
        <v>5949700</v>
      </c>
      <c r="T749" s="3">
        <v>12.49</v>
      </c>
    </row>
    <row r="750" spans="1:20" hidden="1" x14ac:dyDescent="0.3">
      <c r="A750" s="1">
        <v>45195</v>
      </c>
      <c r="B750" s="2" t="s">
        <v>20</v>
      </c>
      <c r="C750" s="2" t="s">
        <v>125</v>
      </c>
      <c r="D750" s="2" t="s">
        <v>22</v>
      </c>
      <c r="E750" s="2" t="s">
        <v>23</v>
      </c>
      <c r="F750" s="2" t="s">
        <v>24</v>
      </c>
      <c r="G750">
        <v>82</v>
      </c>
      <c r="H750">
        <v>520</v>
      </c>
      <c r="I750">
        <v>8</v>
      </c>
      <c r="J750" s="3">
        <v>6083100</v>
      </c>
      <c r="K750" s="3">
        <v>48664800</v>
      </c>
      <c r="L750" s="2" t="s">
        <v>33</v>
      </c>
      <c r="M750" s="2" t="s">
        <v>34</v>
      </c>
      <c r="N750">
        <v>2023</v>
      </c>
      <c r="O750" s="2" t="s">
        <v>148</v>
      </c>
      <c r="P750" s="2" t="s">
        <v>151</v>
      </c>
      <c r="Q750">
        <v>9</v>
      </c>
      <c r="R750" s="4">
        <v>45170</v>
      </c>
      <c r="S750" s="3">
        <v>6083100</v>
      </c>
      <c r="T750" s="3">
        <v>4.87</v>
      </c>
    </row>
    <row r="751" spans="1:20" hidden="1" x14ac:dyDescent="0.3">
      <c r="A751" s="1">
        <v>45196</v>
      </c>
      <c r="B751" s="2" t="s">
        <v>108</v>
      </c>
      <c r="C751" s="2" t="s">
        <v>133</v>
      </c>
      <c r="D751" s="2" t="s">
        <v>54</v>
      </c>
      <c r="E751" s="2" t="s">
        <v>55</v>
      </c>
      <c r="F751" s="2" t="s">
        <v>24</v>
      </c>
      <c r="G751">
        <v>30</v>
      </c>
      <c r="H751">
        <v>320</v>
      </c>
      <c r="I751">
        <v>64</v>
      </c>
      <c r="J751" s="3">
        <v>1244200</v>
      </c>
      <c r="K751" s="3">
        <v>79628800</v>
      </c>
      <c r="L751" s="2" t="s">
        <v>33</v>
      </c>
      <c r="M751" s="2" t="s">
        <v>26</v>
      </c>
      <c r="N751">
        <v>2023</v>
      </c>
      <c r="O751" s="2" t="s">
        <v>148</v>
      </c>
      <c r="P751" s="2" t="s">
        <v>151</v>
      </c>
      <c r="Q751">
        <v>9</v>
      </c>
      <c r="R751" s="4">
        <v>45170</v>
      </c>
      <c r="S751" s="3">
        <v>1244200</v>
      </c>
      <c r="T751" s="3">
        <v>7.96</v>
      </c>
    </row>
    <row r="752" spans="1:20" hidden="1" x14ac:dyDescent="0.3">
      <c r="A752" s="1">
        <v>45196</v>
      </c>
      <c r="B752" s="2" t="s">
        <v>84</v>
      </c>
      <c r="C752" s="2" t="s">
        <v>126</v>
      </c>
      <c r="D752" s="2" t="s">
        <v>50</v>
      </c>
      <c r="E752" s="2" t="s">
        <v>51</v>
      </c>
      <c r="F752" s="2" t="s">
        <v>24</v>
      </c>
      <c r="G752">
        <v>77</v>
      </c>
      <c r="H752">
        <v>528</v>
      </c>
      <c r="I752">
        <v>44</v>
      </c>
      <c r="J752" s="3">
        <v>4478600</v>
      </c>
      <c r="K752" s="3">
        <v>197058400</v>
      </c>
      <c r="L752" s="2" t="s">
        <v>25</v>
      </c>
      <c r="M752" s="2" t="s">
        <v>77</v>
      </c>
      <c r="N752">
        <v>2023</v>
      </c>
      <c r="O752" s="2" t="s">
        <v>148</v>
      </c>
      <c r="P752" s="2" t="s">
        <v>151</v>
      </c>
      <c r="Q752">
        <v>9</v>
      </c>
      <c r="R752" s="4">
        <v>45170</v>
      </c>
      <c r="S752" s="3">
        <v>4478600</v>
      </c>
      <c r="T752" s="3">
        <v>19.71</v>
      </c>
    </row>
    <row r="753" spans="1:20" hidden="1" x14ac:dyDescent="0.3">
      <c r="A753" s="1">
        <v>45197</v>
      </c>
      <c r="B753" s="2" t="s">
        <v>48</v>
      </c>
      <c r="C753" s="2" t="s">
        <v>49</v>
      </c>
      <c r="D753" s="2" t="s">
        <v>100</v>
      </c>
      <c r="E753" s="2" t="s">
        <v>101</v>
      </c>
      <c r="F753" s="2" t="s">
        <v>24</v>
      </c>
      <c r="G753">
        <v>3</v>
      </c>
      <c r="H753">
        <v>150</v>
      </c>
      <c r="I753">
        <v>154</v>
      </c>
      <c r="J753" s="3">
        <v>178400</v>
      </c>
      <c r="K753" s="3">
        <v>27473600</v>
      </c>
      <c r="L753" s="2" t="s">
        <v>33</v>
      </c>
      <c r="M753" s="2" t="s">
        <v>26</v>
      </c>
      <c r="N753">
        <v>2023</v>
      </c>
      <c r="O753" s="2" t="s">
        <v>148</v>
      </c>
      <c r="P753" s="2" t="s">
        <v>151</v>
      </c>
      <c r="Q753">
        <v>9</v>
      </c>
      <c r="R753" s="4">
        <v>45170</v>
      </c>
      <c r="S753" s="3">
        <v>178400</v>
      </c>
      <c r="T753" s="3">
        <v>2.75</v>
      </c>
    </row>
    <row r="754" spans="1:20" hidden="1" x14ac:dyDescent="0.3">
      <c r="A754" s="1">
        <v>45197</v>
      </c>
      <c r="B754" s="2" t="s">
        <v>40</v>
      </c>
      <c r="C754" s="2" t="s">
        <v>136</v>
      </c>
      <c r="D754" s="2" t="s">
        <v>70</v>
      </c>
      <c r="E754" s="2" t="s">
        <v>74</v>
      </c>
      <c r="F754" s="2" t="s">
        <v>24</v>
      </c>
      <c r="G754">
        <v>25</v>
      </c>
      <c r="H754">
        <v>32</v>
      </c>
      <c r="I754">
        <v>158</v>
      </c>
      <c r="J754" s="3">
        <v>1014700</v>
      </c>
      <c r="K754" s="3">
        <v>160322600</v>
      </c>
      <c r="L754" s="2" t="s">
        <v>33</v>
      </c>
      <c r="M754" s="2" t="s">
        <v>26</v>
      </c>
      <c r="N754">
        <v>2023</v>
      </c>
      <c r="O754" s="2" t="s">
        <v>148</v>
      </c>
      <c r="P754" s="2" t="s">
        <v>151</v>
      </c>
      <c r="Q754">
        <v>9</v>
      </c>
      <c r="R754" s="4">
        <v>45170</v>
      </c>
      <c r="S754" s="3">
        <v>1014700</v>
      </c>
      <c r="T754" s="3">
        <v>16.03</v>
      </c>
    </row>
    <row r="755" spans="1:20" hidden="1" x14ac:dyDescent="0.3">
      <c r="A755" s="1">
        <v>45197</v>
      </c>
      <c r="B755" s="2" t="s">
        <v>48</v>
      </c>
      <c r="C755" s="2" t="s">
        <v>69</v>
      </c>
      <c r="D755" s="2" t="s">
        <v>79</v>
      </c>
      <c r="E755" s="2" t="s">
        <v>80</v>
      </c>
      <c r="F755" s="2" t="s">
        <v>24</v>
      </c>
      <c r="G755">
        <v>69</v>
      </c>
      <c r="H755">
        <v>418</v>
      </c>
      <c r="I755">
        <v>28</v>
      </c>
      <c r="J755" s="3">
        <v>5994300</v>
      </c>
      <c r="K755" s="3">
        <v>167840400</v>
      </c>
      <c r="L755" s="2" t="s">
        <v>33</v>
      </c>
      <c r="M755" s="2" t="s">
        <v>34</v>
      </c>
      <c r="N755">
        <v>2023</v>
      </c>
      <c r="O755" s="2" t="s">
        <v>148</v>
      </c>
      <c r="P755" s="2" t="s">
        <v>151</v>
      </c>
      <c r="Q755">
        <v>9</v>
      </c>
      <c r="R755" s="4">
        <v>45170</v>
      </c>
      <c r="S755" s="3">
        <v>5994300</v>
      </c>
      <c r="T755" s="3">
        <v>16.78</v>
      </c>
    </row>
    <row r="756" spans="1:20" hidden="1" x14ac:dyDescent="0.3">
      <c r="A756" s="1">
        <v>45197</v>
      </c>
      <c r="B756" s="2" t="s">
        <v>29</v>
      </c>
      <c r="C756" s="2" t="s">
        <v>96</v>
      </c>
      <c r="D756" s="2" t="s">
        <v>63</v>
      </c>
      <c r="E756" s="2" t="s">
        <v>64</v>
      </c>
      <c r="F756" s="2" t="s">
        <v>24</v>
      </c>
      <c r="G756">
        <v>3</v>
      </c>
      <c r="H756">
        <v>127</v>
      </c>
      <c r="I756">
        <v>84</v>
      </c>
      <c r="J756" s="3">
        <v>168900</v>
      </c>
      <c r="K756" s="3">
        <v>14187600</v>
      </c>
      <c r="L756" s="2" t="s">
        <v>33</v>
      </c>
      <c r="M756" s="2" t="s">
        <v>26</v>
      </c>
      <c r="N756">
        <v>2023</v>
      </c>
      <c r="O756" s="2" t="s">
        <v>148</v>
      </c>
      <c r="P756" s="2" t="s">
        <v>151</v>
      </c>
      <c r="Q756">
        <v>9</v>
      </c>
      <c r="R756" s="4">
        <v>45170</v>
      </c>
      <c r="S756" s="3">
        <v>168900</v>
      </c>
      <c r="T756" s="3">
        <v>1.42</v>
      </c>
    </row>
    <row r="757" spans="1:20" hidden="1" x14ac:dyDescent="0.3">
      <c r="A757" s="1">
        <v>45198</v>
      </c>
      <c r="B757" s="2" t="s">
        <v>40</v>
      </c>
      <c r="C757" s="2" t="s">
        <v>41</v>
      </c>
      <c r="D757" s="2" t="s">
        <v>54</v>
      </c>
      <c r="E757" s="2" t="s">
        <v>55</v>
      </c>
      <c r="F757" s="2" t="s">
        <v>24</v>
      </c>
      <c r="G757">
        <v>30</v>
      </c>
      <c r="H757">
        <v>320</v>
      </c>
      <c r="I757">
        <v>34</v>
      </c>
      <c r="J757" s="3">
        <v>1576900</v>
      </c>
      <c r="K757" s="3">
        <v>53614600</v>
      </c>
      <c r="L757" s="2" t="s">
        <v>33</v>
      </c>
      <c r="M757" s="2" t="s">
        <v>77</v>
      </c>
      <c r="N757">
        <v>2023</v>
      </c>
      <c r="O757" s="2" t="s">
        <v>148</v>
      </c>
      <c r="P757" s="2" t="s">
        <v>151</v>
      </c>
      <c r="Q757">
        <v>9</v>
      </c>
      <c r="R757" s="4">
        <v>45170</v>
      </c>
      <c r="S757" s="3">
        <v>1576900</v>
      </c>
      <c r="T757" s="3">
        <v>5.36</v>
      </c>
    </row>
    <row r="758" spans="1:20" hidden="1" x14ac:dyDescent="0.3">
      <c r="A758" s="1">
        <v>45199</v>
      </c>
      <c r="B758" s="2" t="s">
        <v>35</v>
      </c>
      <c r="C758" s="2" t="s">
        <v>121</v>
      </c>
      <c r="D758" s="2" t="s">
        <v>50</v>
      </c>
      <c r="E758" s="2" t="s">
        <v>51</v>
      </c>
      <c r="F758" s="2" t="s">
        <v>24</v>
      </c>
      <c r="G758">
        <v>77</v>
      </c>
      <c r="H758">
        <v>528</v>
      </c>
      <c r="I758">
        <v>55</v>
      </c>
      <c r="J758" s="3">
        <v>5401800</v>
      </c>
      <c r="K758" s="3">
        <v>297099000</v>
      </c>
      <c r="L758" s="2" t="s">
        <v>33</v>
      </c>
      <c r="M758" s="2" t="s">
        <v>26</v>
      </c>
      <c r="N758">
        <v>2023</v>
      </c>
      <c r="O758" s="2" t="s">
        <v>148</v>
      </c>
      <c r="P758" s="2" t="s">
        <v>151</v>
      </c>
      <c r="Q758">
        <v>9</v>
      </c>
      <c r="R758" s="4">
        <v>45170</v>
      </c>
      <c r="S758" s="3">
        <v>5401800</v>
      </c>
      <c r="T758" s="3">
        <v>29.71</v>
      </c>
    </row>
    <row r="759" spans="1:20" hidden="1" x14ac:dyDescent="0.3">
      <c r="A759" s="1">
        <v>45199</v>
      </c>
      <c r="B759" s="2" t="s">
        <v>46</v>
      </c>
      <c r="C759" s="2" t="s">
        <v>110</v>
      </c>
      <c r="D759" s="2" t="s">
        <v>67</v>
      </c>
      <c r="E759" s="2" t="s">
        <v>118</v>
      </c>
      <c r="F759" s="2" t="s">
        <v>138</v>
      </c>
      <c r="G759">
        <v>84</v>
      </c>
      <c r="H759">
        <v>590</v>
      </c>
      <c r="I759">
        <v>41</v>
      </c>
      <c r="J759" s="3">
        <v>8661600</v>
      </c>
      <c r="K759" s="3">
        <v>355125600</v>
      </c>
      <c r="L759" s="2" t="s">
        <v>33</v>
      </c>
      <c r="M759" s="2" t="s">
        <v>77</v>
      </c>
      <c r="N759">
        <v>2023</v>
      </c>
      <c r="O759" s="2" t="s">
        <v>148</v>
      </c>
      <c r="P759" s="2" t="s">
        <v>151</v>
      </c>
      <c r="Q759">
        <v>9</v>
      </c>
      <c r="R759" s="4">
        <v>45170</v>
      </c>
      <c r="S759" s="3">
        <v>8661600</v>
      </c>
      <c r="T759" s="3">
        <v>35.51</v>
      </c>
    </row>
    <row r="760" spans="1:20" hidden="1" x14ac:dyDescent="0.3">
      <c r="A760" s="1">
        <v>45199</v>
      </c>
      <c r="B760" s="2" t="s">
        <v>106</v>
      </c>
      <c r="C760" s="2" t="s">
        <v>107</v>
      </c>
      <c r="D760" s="2" t="s">
        <v>63</v>
      </c>
      <c r="E760" s="2" t="s">
        <v>64</v>
      </c>
      <c r="F760" s="2" t="s">
        <v>24</v>
      </c>
      <c r="G760">
        <v>3</v>
      </c>
      <c r="H760">
        <v>127</v>
      </c>
      <c r="I760">
        <v>18</v>
      </c>
      <c r="J760" s="3">
        <v>173500</v>
      </c>
      <c r="K760" s="3">
        <v>3123000</v>
      </c>
      <c r="L760" s="2" t="s">
        <v>33</v>
      </c>
      <c r="M760" s="2" t="s">
        <v>26</v>
      </c>
      <c r="N760">
        <v>2023</v>
      </c>
      <c r="O760" s="2" t="s">
        <v>148</v>
      </c>
      <c r="P760" s="2" t="s">
        <v>151</v>
      </c>
      <c r="Q760">
        <v>9</v>
      </c>
      <c r="R760" s="4">
        <v>45170</v>
      </c>
      <c r="S760" s="3">
        <v>173500</v>
      </c>
      <c r="T760" s="3">
        <v>0.31</v>
      </c>
    </row>
    <row r="761" spans="1:20" hidden="1" x14ac:dyDescent="0.3">
      <c r="A761" s="1">
        <v>45199</v>
      </c>
      <c r="B761" s="2" t="s">
        <v>84</v>
      </c>
      <c r="C761" s="2" t="s">
        <v>85</v>
      </c>
      <c r="D761" s="2" t="s">
        <v>82</v>
      </c>
      <c r="E761" s="2" t="s">
        <v>83</v>
      </c>
      <c r="F761" s="2" t="s">
        <v>24</v>
      </c>
      <c r="G761">
        <v>40</v>
      </c>
      <c r="H761">
        <v>39</v>
      </c>
      <c r="I761">
        <v>161</v>
      </c>
      <c r="J761" s="3">
        <v>2563500</v>
      </c>
      <c r="K761" s="3">
        <v>412723500</v>
      </c>
      <c r="L761" s="2" t="s">
        <v>33</v>
      </c>
      <c r="M761" s="2" t="s">
        <v>26</v>
      </c>
      <c r="N761">
        <v>2023</v>
      </c>
      <c r="O761" s="2" t="s">
        <v>148</v>
      </c>
      <c r="P761" s="2" t="s">
        <v>151</v>
      </c>
      <c r="Q761">
        <v>9</v>
      </c>
      <c r="R761" s="4">
        <v>45170</v>
      </c>
      <c r="S761" s="3">
        <v>2563500</v>
      </c>
      <c r="T761" s="3">
        <v>41.27</v>
      </c>
    </row>
    <row r="762" spans="1:20" hidden="1" x14ac:dyDescent="0.3">
      <c r="A762" s="1">
        <v>45199</v>
      </c>
      <c r="B762" s="2" t="s">
        <v>59</v>
      </c>
      <c r="C762" s="2" t="s">
        <v>129</v>
      </c>
      <c r="D762" s="2" t="s">
        <v>67</v>
      </c>
      <c r="E762" s="2" t="s">
        <v>68</v>
      </c>
      <c r="F762" s="2" t="s">
        <v>39</v>
      </c>
      <c r="G762">
        <v>66</v>
      </c>
      <c r="H762">
        <v>440</v>
      </c>
      <c r="I762">
        <v>73</v>
      </c>
      <c r="J762" s="3">
        <v>5558600</v>
      </c>
      <c r="K762" s="3">
        <v>405777800</v>
      </c>
      <c r="L762" s="2" t="s">
        <v>33</v>
      </c>
      <c r="M762" s="2" t="s">
        <v>34</v>
      </c>
      <c r="N762">
        <v>2023</v>
      </c>
      <c r="O762" s="2" t="s">
        <v>148</v>
      </c>
      <c r="P762" s="2" t="s">
        <v>151</v>
      </c>
      <c r="Q762">
        <v>9</v>
      </c>
      <c r="R762" s="4">
        <v>45170</v>
      </c>
      <c r="S762" s="3">
        <v>5558600</v>
      </c>
      <c r="T762" s="3">
        <v>40.58</v>
      </c>
    </row>
    <row r="763" spans="1:20" hidden="1" x14ac:dyDescent="0.3">
      <c r="A763" s="1">
        <v>45199</v>
      </c>
      <c r="B763" s="2" t="s">
        <v>40</v>
      </c>
      <c r="C763" s="2" t="s">
        <v>105</v>
      </c>
      <c r="D763" s="2" t="s">
        <v>31</v>
      </c>
      <c r="E763" s="2" t="s">
        <v>124</v>
      </c>
      <c r="F763" s="2" t="s">
        <v>24</v>
      </c>
      <c r="G763">
        <v>3</v>
      </c>
      <c r="H763">
        <v>151</v>
      </c>
      <c r="I763">
        <v>163</v>
      </c>
      <c r="J763" s="3">
        <v>117300</v>
      </c>
      <c r="K763" s="3">
        <v>19119900</v>
      </c>
      <c r="L763" s="2" t="s">
        <v>33</v>
      </c>
      <c r="M763" s="2" t="s">
        <v>77</v>
      </c>
      <c r="N763">
        <v>2023</v>
      </c>
      <c r="O763" s="2" t="s">
        <v>148</v>
      </c>
      <c r="P763" s="2" t="s">
        <v>151</v>
      </c>
      <c r="Q763">
        <v>9</v>
      </c>
      <c r="R763" s="4">
        <v>45170</v>
      </c>
      <c r="S763" s="3">
        <v>117300</v>
      </c>
      <c r="T763" s="3">
        <v>1.91</v>
      </c>
    </row>
    <row r="764" spans="1:20" hidden="1" x14ac:dyDescent="0.3">
      <c r="A764" s="1">
        <v>45199</v>
      </c>
      <c r="B764" s="2" t="s">
        <v>46</v>
      </c>
      <c r="C764" s="2" t="s">
        <v>137</v>
      </c>
      <c r="D764" s="2" t="s">
        <v>102</v>
      </c>
      <c r="E764" s="2" t="s">
        <v>103</v>
      </c>
      <c r="F764" s="2" t="s">
        <v>24</v>
      </c>
      <c r="G764">
        <v>5</v>
      </c>
      <c r="H764">
        <v>150</v>
      </c>
      <c r="I764">
        <v>72</v>
      </c>
      <c r="J764" s="3">
        <v>180600</v>
      </c>
      <c r="K764" s="3">
        <v>13003200</v>
      </c>
      <c r="L764" s="2" t="s">
        <v>25</v>
      </c>
      <c r="M764" s="2" t="s">
        <v>34</v>
      </c>
      <c r="N764">
        <v>2023</v>
      </c>
      <c r="O764" s="2" t="s">
        <v>148</v>
      </c>
      <c r="P764" s="2" t="s">
        <v>151</v>
      </c>
      <c r="Q764">
        <v>9</v>
      </c>
      <c r="R764" s="4">
        <v>45170</v>
      </c>
      <c r="S764" s="3">
        <v>180600</v>
      </c>
      <c r="T764" s="3">
        <v>1.3</v>
      </c>
    </row>
    <row r="765" spans="1:20" hidden="1" x14ac:dyDescent="0.3">
      <c r="A765" s="1">
        <v>45200</v>
      </c>
      <c r="B765" s="2" t="s">
        <v>48</v>
      </c>
      <c r="C765" s="2" t="s">
        <v>73</v>
      </c>
      <c r="D765" s="2" t="s">
        <v>82</v>
      </c>
      <c r="E765" s="2" t="s">
        <v>83</v>
      </c>
      <c r="F765" s="2" t="s">
        <v>24</v>
      </c>
      <c r="G765">
        <v>40</v>
      </c>
      <c r="H765">
        <v>39</v>
      </c>
      <c r="I765">
        <v>128</v>
      </c>
      <c r="J765" s="3">
        <v>1994000</v>
      </c>
      <c r="K765" s="3">
        <v>255232000</v>
      </c>
      <c r="L765" s="2" t="s">
        <v>33</v>
      </c>
      <c r="M765" s="2" t="s">
        <v>26</v>
      </c>
      <c r="N765">
        <v>2023</v>
      </c>
      <c r="O765" s="2" t="s">
        <v>152</v>
      </c>
      <c r="P765" s="2" t="s">
        <v>153</v>
      </c>
      <c r="Q765">
        <v>10</v>
      </c>
      <c r="R765" s="4">
        <v>45200</v>
      </c>
      <c r="S765" s="3">
        <v>1994000</v>
      </c>
      <c r="T765" s="3">
        <v>25.52</v>
      </c>
    </row>
    <row r="766" spans="1:20" hidden="1" x14ac:dyDescent="0.3">
      <c r="A766" s="1">
        <v>45200</v>
      </c>
      <c r="B766" s="2" t="s">
        <v>44</v>
      </c>
      <c r="C766" s="2" t="s">
        <v>142</v>
      </c>
      <c r="D766" s="2" t="s">
        <v>67</v>
      </c>
      <c r="E766" s="2" t="s">
        <v>118</v>
      </c>
      <c r="F766" s="2" t="s">
        <v>24</v>
      </c>
      <c r="G766">
        <v>84</v>
      </c>
      <c r="H766">
        <v>590</v>
      </c>
      <c r="I766">
        <v>32</v>
      </c>
      <c r="J766" s="3">
        <v>7806100</v>
      </c>
      <c r="K766" s="3">
        <v>249795200</v>
      </c>
      <c r="L766" s="2" t="s">
        <v>25</v>
      </c>
      <c r="M766" s="2" t="s">
        <v>26</v>
      </c>
      <c r="N766">
        <v>2023</v>
      </c>
      <c r="O766" s="2" t="s">
        <v>152</v>
      </c>
      <c r="P766" s="2" t="s">
        <v>153</v>
      </c>
      <c r="Q766">
        <v>10</v>
      </c>
      <c r="R766" s="4">
        <v>45200</v>
      </c>
      <c r="S766" s="3">
        <v>7806100</v>
      </c>
      <c r="T766" s="3">
        <v>24.98</v>
      </c>
    </row>
    <row r="767" spans="1:20" hidden="1" x14ac:dyDescent="0.3">
      <c r="A767" s="1">
        <v>45200</v>
      </c>
      <c r="B767" s="2" t="s">
        <v>20</v>
      </c>
      <c r="C767" s="2" t="s">
        <v>21</v>
      </c>
      <c r="D767" s="2" t="s">
        <v>100</v>
      </c>
      <c r="E767" s="2" t="s">
        <v>101</v>
      </c>
      <c r="F767" s="2" t="s">
        <v>24</v>
      </c>
      <c r="G767">
        <v>3</v>
      </c>
      <c r="H767">
        <v>150</v>
      </c>
      <c r="I767">
        <v>175</v>
      </c>
      <c r="J767" s="3">
        <v>153000</v>
      </c>
      <c r="K767" s="3">
        <v>26775000</v>
      </c>
      <c r="L767" s="2" t="s">
        <v>33</v>
      </c>
      <c r="M767" s="2" t="s">
        <v>26</v>
      </c>
      <c r="N767">
        <v>2023</v>
      </c>
      <c r="O767" s="2" t="s">
        <v>152</v>
      </c>
      <c r="P767" s="2" t="s">
        <v>153</v>
      </c>
      <c r="Q767">
        <v>10</v>
      </c>
      <c r="R767" s="4">
        <v>45200</v>
      </c>
      <c r="S767" s="3">
        <v>153000</v>
      </c>
      <c r="T767" s="3">
        <v>2.68</v>
      </c>
    </row>
    <row r="768" spans="1:20" hidden="1" x14ac:dyDescent="0.3">
      <c r="A768" s="1">
        <v>45200</v>
      </c>
      <c r="B768" s="2" t="s">
        <v>40</v>
      </c>
      <c r="C768" s="2" t="s">
        <v>105</v>
      </c>
      <c r="D768" s="2" t="s">
        <v>70</v>
      </c>
      <c r="E768" s="2" t="s">
        <v>71</v>
      </c>
      <c r="F768" s="2" t="s">
        <v>24</v>
      </c>
      <c r="G768">
        <v>50</v>
      </c>
      <c r="H768">
        <v>46</v>
      </c>
      <c r="I768">
        <v>25</v>
      </c>
      <c r="J768" s="3">
        <v>2269900</v>
      </c>
      <c r="K768" s="3">
        <v>56747500</v>
      </c>
      <c r="L768" s="2" t="s">
        <v>25</v>
      </c>
      <c r="M768" s="2" t="s">
        <v>26</v>
      </c>
      <c r="N768">
        <v>2023</v>
      </c>
      <c r="O768" s="2" t="s">
        <v>152</v>
      </c>
      <c r="P768" s="2" t="s">
        <v>153</v>
      </c>
      <c r="Q768">
        <v>10</v>
      </c>
      <c r="R768" s="4">
        <v>45200</v>
      </c>
      <c r="S768" s="3">
        <v>2269900</v>
      </c>
      <c r="T768" s="3">
        <v>5.67</v>
      </c>
    </row>
    <row r="769" spans="1:20" hidden="1" x14ac:dyDescent="0.3">
      <c r="A769" s="1">
        <v>45201</v>
      </c>
      <c r="B769" s="2" t="s">
        <v>48</v>
      </c>
      <c r="C769" s="2" t="s">
        <v>69</v>
      </c>
      <c r="D769" s="2" t="s">
        <v>57</v>
      </c>
      <c r="E769" s="2" t="s">
        <v>86</v>
      </c>
      <c r="F769" s="2" t="s">
        <v>24</v>
      </c>
      <c r="G769">
        <v>48</v>
      </c>
      <c r="H769">
        <v>39</v>
      </c>
      <c r="I769">
        <v>148</v>
      </c>
      <c r="J769" s="3">
        <v>2663400</v>
      </c>
      <c r="K769" s="3">
        <v>394183200</v>
      </c>
      <c r="L769" s="2" t="s">
        <v>25</v>
      </c>
      <c r="M769" s="2" t="s">
        <v>26</v>
      </c>
      <c r="N769">
        <v>2023</v>
      </c>
      <c r="O769" s="2" t="s">
        <v>152</v>
      </c>
      <c r="P769" s="2" t="s">
        <v>153</v>
      </c>
      <c r="Q769">
        <v>10</v>
      </c>
      <c r="R769" s="4">
        <v>45200</v>
      </c>
      <c r="S769" s="3">
        <v>2663400</v>
      </c>
      <c r="T769" s="3">
        <v>39.42</v>
      </c>
    </row>
    <row r="770" spans="1:20" hidden="1" x14ac:dyDescent="0.3">
      <c r="A770" s="1">
        <v>45201</v>
      </c>
      <c r="B770" s="2" t="s">
        <v>84</v>
      </c>
      <c r="C770" s="2" t="s">
        <v>126</v>
      </c>
      <c r="D770" s="2" t="s">
        <v>88</v>
      </c>
      <c r="E770" s="2" t="s">
        <v>89</v>
      </c>
      <c r="F770" s="2" t="s">
        <v>24</v>
      </c>
      <c r="G770">
        <v>82</v>
      </c>
      <c r="H770">
        <v>580</v>
      </c>
      <c r="I770">
        <v>64</v>
      </c>
      <c r="J770" s="3">
        <v>4817600</v>
      </c>
      <c r="K770" s="3">
        <v>308326400</v>
      </c>
      <c r="L770" s="2" t="s">
        <v>33</v>
      </c>
      <c r="M770" s="2" t="s">
        <v>26</v>
      </c>
      <c r="N770">
        <v>2023</v>
      </c>
      <c r="O770" s="2" t="s">
        <v>152</v>
      </c>
      <c r="P770" s="2" t="s">
        <v>153</v>
      </c>
      <c r="Q770">
        <v>10</v>
      </c>
      <c r="R770" s="4">
        <v>45200</v>
      </c>
      <c r="S770" s="3">
        <v>4817600</v>
      </c>
      <c r="T770" s="3">
        <v>30.83</v>
      </c>
    </row>
    <row r="771" spans="1:20" hidden="1" x14ac:dyDescent="0.3">
      <c r="A771" s="1">
        <v>45201</v>
      </c>
      <c r="B771" s="2" t="s">
        <v>90</v>
      </c>
      <c r="C771" s="2" t="s">
        <v>99</v>
      </c>
      <c r="D771" s="2" t="s">
        <v>82</v>
      </c>
      <c r="E771" s="2" t="s">
        <v>83</v>
      </c>
      <c r="F771" s="2" t="s">
        <v>72</v>
      </c>
      <c r="G771">
        <v>40</v>
      </c>
      <c r="H771">
        <v>39</v>
      </c>
      <c r="I771">
        <v>95</v>
      </c>
      <c r="J771" s="3">
        <v>2201500</v>
      </c>
      <c r="K771" s="3">
        <v>209142500</v>
      </c>
      <c r="L771" s="2" t="s">
        <v>92</v>
      </c>
      <c r="M771" s="2" t="s">
        <v>77</v>
      </c>
      <c r="N771">
        <v>2023</v>
      </c>
      <c r="O771" s="2" t="s">
        <v>152</v>
      </c>
      <c r="P771" s="2" t="s">
        <v>153</v>
      </c>
      <c r="Q771">
        <v>10</v>
      </c>
      <c r="R771" s="4">
        <v>45200</v>
      </c>
      <c r="S771" s="3">
        <v>2201500</v>
      </c>
      <c r="T771" s="3">
        <v>20.91</v>
      </c>
    </row>
    <row r="772" spans="1:20" hidden="1" x14ac:dyDescent="0.3">
      <c r="A772" s="1">
        <v>45201</v>
      </c>
      <c r="B772" s="2" t="s">
        <v>48</v>
      </c>
      <c r="C772" s="2" t="s">
        <v>69</v>
      </c>
      <c r="D772" s="2" t="s">
        <v>54</v>
      </c>
      <c r="E772" s="2" t="s">
        <v>55</v>
      </c>
      <c r="F772" s="2" t="s">
        <v>24</v>
      </c>
      <c r="G772">
        <v>30</v>
      </c>
      <c r="H772">
        <v>320</v>
      </c>
      <c r="I772">
        <v>29</v>
      </c>
      <c r="J772" s="3">
        <v>1209500</v>
      </c>
      <c r="K772" s="3">
        <v>35075500</v>
      </c>
      <c r="L772" s="2" t="s">
        <v>33</v>
      </c>
      <c r="M772" s="2" t="s">
        <v>77</v>
      </c>
      <c r="N772">
        <v>2023</v>
      </c>
      <c r="O772" s="2" t="s">
        <v>152</v>
      </c>
      <c r="P772" s="2" t="s">
        <v>153</v>
      </c>
      <c r="Q772">
        <v>10</v>
      </c>
      <c r="R772" s="4">
        <v>45200</v>
      </c>
      <c r="S772" s="3">
        <v>1209500</v>
      </c>
      <c r="T772" s="3">
        <v>3.51</v>
      </c>
    </row>
    <row r="773" spans="1:20" hidden="1" x14ac:dyDescent="0.3">
      <c r="A773" s="1">
        <v>45202</v>
      </c>
      <c r="B773" s="2" t="s">
        <v>106</v>
      </c>
      <c r="C773" s="2" t="s">
        <v>119</v>
      </c>
      <c r="D773" s="2" t="s">
        <v>42</v>
      </c>
      <c r="E773" s="2" t="s">
        <v>43</v>
      </c>
      <c r="F773" s="2" t="s">
        <v>24</v>
      </c>
      <c r="G773">
        <v>3</v>
      </c>
      <c r="H773">
        <v>135</v>
      </c>
      <c r="I773">
        <v>70</v>
      </c>
      <c r="J773" s="3">
        <v>129900</v>
      </c>
      <c r="K773" s="3">
        <v>9093000</v>
      </c>
      <c r="L773" s="2" t="s">
        <v>25</v>
      </c>
      <c r="M773" s="2" t="s">
        <v>97</v>
      </c>
      <c r="N773">
        <v>2023</v>
      </c>
      <c r="O773" s="2" t="s">
        <v>152</v>
      </c>
      <c r="P773" s="2" t="s">
        <v>153</v>
      </c>
      <c r="Q773">
        <v>10</v>
      </c>
      <c r="R773" s="4">
        <v>45200</v>
      </c>
      <c r="S773" s="3">
        <v>129900</v>
      </c>
      <c r="T773" s="3">
        <v>0.91</v>
      </c>
    </row>
    <row r="774" spans="1:20" hidden="1" x14ac:dyDescent="0.3">
      <c r="A774" s="1">
        <v>45202</v>
      </c>
      <c r="B774" s="2" t="s">
        <v>35</v>
      </c>
      <c r="C774" s="2" t="s">
        <v>36</v>
      </c>
      <c r="D774" s="2" t="s">
        <v>88</v>
      </c>
      <c r="E774" s="2" t="s">
        <v>111</v>
      </c>
      <c r="F774" s="2" t="s">
        <v>24</v>
      </c>
      <c r="G774">
        <v>60</v>
      </c>
      <c r="H774">
        <v>480</v>
      </c>
      <c r="I774">
        <v>19</v>
      </c>
      <c r="J774" s="3">
        <v>3196000</v>
      </c>
      <c r="K774" s="3">
        <v>60724000</v>
      </c>
      <c r="L774" s="2" t="s">
        <v>25</v>
      </c>
      <c r="M774" s="2" t="s">
        <v>34</v>
      </c>
      <c r="N774">
        <v>2023</v>
      </c>
      <c r="O774" s="2" t="s">
        <v>152</v>
      </c>
      <c r="P774" s="2" t="s">
        <v>153</v>
      </c>
      <c r="Q774">
        <v>10</v>
      </c>
      <c r="R774" s="4">
        <v>45200</v>
      </c>
      <c r="S774" s="3">
        <v>3196000</v>
      </c>
      <c r="T774" s="3">
        <v>6.07</v>
      </c>
    </row>
    <row r="775" spans="1:20" hidden="1" x14ac:dyDescent="0.3">
      <c r="A775" s="1">
        <v>45202</v>
      </c>
      <c r="B775" s="2" t="s">
        <v>46</v>
      </c>
      <c r="C775" s="2" t="s">
        <v>56</v>
      </c>
      <c r="D775" s="2" t="s">
        <v>37</v>
      </c>
      <c r="E775" s="2" t="s">
        <v>38</v>
      </c>
      <c r="F775" s="2" t="s">
        <v>24</v>
      </c>
      <c r="G775">
        <v>66</v>
      </c>
      <c r="H775">
        <v>423</v>
      </c>
      <c r="I775">
        <v>4</v>
      </c>
      <c r="J775" s="3">
        <v>8617600</v>
      </c>
      <c r="K775" s="3">
        <v>34470400</v>
      </c>
      <c r="L775" s="2" t="s">
        <v>25</v>
      </c>
      <c r="M775" s="2" t="s">
        <v>26</v>
      </c>
      <c r="N775">
        <v>2023</v>
      </c>
      <c r="O775" s="2" t="s">
        <v>152</v>
      </c>
      <c r="P775" s="2" t="s">
        <v>153</v>
      </c>
      <c r="Q775">
        <v>10</v>
      </c>
      <c r="R775" s="4">
        <v>45200</v>
      </c>
      <c r="S775" s="3">
        <v>8617600</v>
      </c>
      <c r="T775" s="3">
        <v>3.45</v>
      </c>
    </row>
    <row r="776" spans="1:20" hidden="1" x14ac:dyDescent="0.3">
      <c r="A776" s="1">
        <v>45202</v>
      </c>
      <c r="B776" s="2" t="s">
        <v>108</v>
      </c>
      <c r="C776" s="2" t="s">
        <v>133</v>
      </c>
      <c r="D776" s="2" t="s">
        <v>57</v>
      </c>
      <c r="E776" s="2" t="s">
        <v>86</v>
      </c>
      <c r="F776" s="2" t="s">
        <v>24</v>
      </c>
      <c r="G776">
        <v>48</v>
      </c>
      <c r="H776">
        <v>39</v>
      </c>
      <c r="I776">
        <v>111</v>
      </c>
      <c r="J776" s="3">
        <v>2300000</v>
      </c>
      <c r="K776" s="3">
        <v>255300000</v>
      </c>
      <c r="L776" s="2" t="s">
        <v>33</v>
      </c>
      <c r="M776" s="2" t="s">
        <v>77</v>
      </c>
      <c r="N776">
        <v>2023</v>
      </c>
      <c r="O776" s="2" t="s">
        <v>152</v>
      </c>
      <c r="P776" s="2" t="s">
        <v>153</v>
      </c>
      <c r="Q776">
        <v>10</v>
      </c>
      <c r="R776" s="4">
        <v>45200</v>
      </c>
      <c r="S776" s="3">
        <v>2300000</v>
      </c>
      <c r="T776" s="3">
        <v>25.53</v>
      </c>
    </row>
    <row r="777" spans="1:20" hidden="1" x14ac:dyDescent="0.3">
      <c r="A777" s="1">
        <v>45203</v>
      </c>
      <c r="B777" s="2" t="s">
        <v>48</v>
      </c>
      <c r="C777" s="2" t="s">
        <v>69</v>
      </c>
      <c r="D777" s="2" t="s">
        <v>94</v>
      </c>
      <c r="E777" s="2" t="s">
        <v>115</v>
      </c>
      <c r="F777" s="2" t="s">
        <v>24</v>
      </c>
      <c r="G777">
        <v>24</v>
      </c>
      <c r="H777">
        <v>24</v>
      </c>
      <c r="I777">
        <v>89</v>
      </c>
      <c r="J777" s="3">
        <v>1217500</v>
      </c>
      <c r="K777" s="3">
        <v>108357500</v>
      </c>
      <c r="L777" s="2" t="s">
        <v>33</v>
      </c>
      <c r="M777" s="2" t="s">
        <v>34</v>
      </c>
      <c r="N777">
        <v>2023</v>
      </c>
      <c r="O777" s="2" t="s">
        <v>152</v>
      </c>
      <c r="P777" s="2" t="s">
        <v>153</v>
      </c>
      <c r="Q777">
        <v>10</v>
      </c>
      <c r="R777" s="4">
        <v>45200</v>
      </c>
      <c r="S777" s="3">
        <v>1217500</v>
      </c>
      <c r="T777" s="3">
        <v>10.84</v>
      </c>
    </row>
    <row r="778" spans="1:20" hidden="1" x14ac:dyDescent="0.3">
      <c r="A778" s="1">
        <v>45203</v>
      </c>
      <c r="B778" s="2" t="s">
        <v>84</v>
      </c>
      <c r="C778" s="2" t="s">
        <v>126</v>
      </c>
      <c r="D778" s="2" t="s">
        <v>57</v>
      </c>
      <c r="E778" s="2" t="s">
        <v>58</v>
      </c>
      <c r="F778" s="2" t="s">
        <v>39</v>
      </c>
      <c r="G778">
        <v>72</v>
      </c>
      <c r="H778">
        <v>488</v>
      </c>
      <c r="I778">
        <v>147</v>
      </c>
      <c r="J778" s="3">
        <v>5366800</v>
      </c>
      <c r="K778" s="3">
        <v>788919600</v>
      </c>
      <c r="L778" s="2" t="s">
        <v>25</v>
      </c>
      <c r="M778" s="2" t="s">
        <v>97</v>
      </c>
      <c r="N778">
        <v>2023</v>
      </c>
      <c r="O778" s="2" t="s">
        <v>152</v>
      </c>
      <c r="P778" s="2" t="s">
        <v>153</v>
      </c>
      <c r="Q778">
        <v>10</v>
      </c>
      <c r="R778" s="4">
        <v>45200</v>
      </c>
      <c r="S778" s="3">
        <v>5366800</v>
      </c>
      <c r="T778" s="3">
        <v>78.89</v>
      </c>
    </row>
    <row r="779" spans="1:20" hidden="1" x14ac:dyDescent="0.3">
      <c r="A779" s="1">
        <v>45204</v>
      </c>
      <c r="B779" s="2" t="s">
        <v>35</v>
      </c>
      <c r="C779" s="2" t="s">
        <v>87</v>
      </c>
      <c r="D779" s="2" t="s">
        <v>63</v>
      </c>
      <c r="E779" s="2" t="s">
        <v>64</v>
      </c>
      <c r="F779" s="2" t="s">
        <v>24</v>
      </c>
      <c r="G779">
        <v>3</v>
      </c>
      <c r="H779">
        <v>127</v>
      </c>
      <c r="I779">
        <v>149</v>
      </c>
      <c r="J779" s="3">
        <v>187800</v>
      </c>
      <c r="K779" s="3">
        <v>27982200</v>
      </c>
      <c r="L779" s="2" t="s">
        <v>33</v>
      </c>
      <c r="M779" s="2" t="s">
        <v>26</v>
      </c>
      <c r="N779">
        <v>2023</v>
      </c>
      <c r="O779" s="2" t="s">
        <v>152</v>
      </c>
      <c r="P779" s="2" t="s">
        <v>153</v>
      </c>
      <c r="Q779">
        <v>10</v>
      </c>
      <c r="R779" s="4">
        <v>45200</v>
      </c>
      <c r="S779" s="3">
        <v>187800</v>
      </c>
      <c r="T779" s="3">
        <v>2.8</v>
      </c>
    </row>
    <row r="780" spans="1:20" hidden="1" x14ac:dyDescent="0.3">
      <c r="A780" s="1">
        <v>45204</v>
      </c>
      <c r="B780" s="2" t="s">
        <v>84</v>
      </c>
      <c r="C780" s="2" t="s">
        <v>93</v>
      </c>
      <c r="D780" s="2" t="s">
        <v>42</v>
      </c>
      <c r="E780" s="2" t="s">
        <v>43</v>
      </c>
      <c r="F780" s="2" t="s">
        <v>24</v>
      </c>
      <c r="G780">
        <v>3</v>
      </c>
      <c r="H780">
        <v>135</v>
      </c>
      <c r="I780">
        <v>12</v>
      </c>
      <c r="J780" s="3">
        <v>129700</v>
      </c>
      <c r="K780" s="3">
        <v>1556400</v>
      </c>
      <c r="L780" s="2" t="s">
        <v>33</v>
      </c>
      <c r="M780" s="2" t="s">
        <v>77</v>
      </c>
      <c r="N780">
        <v>2023</v>
      </c>
      <c r="O780" s="2" t="s">
        <v>152</v>
      </c>
      <c r="P780" s="2" t="s">
        <v>153</v>
      </c>
      <c r="Q780">
        <v>10</v>
      </c>
      <c r="R780" s="4">
        <v>45200</v>
      </c>
      <c r="S780" s="3">
        <v>129700</v>
      </c>
      <c r="T780" s="3">
        <v>0.16</v>
      </c>
    </row>
    <row r="781" spans="1:20" hidden="1" x14ac:dyDescent="0.3">
      <c r="A781" s="1">
        <v>45204</v>
      </c>
      <c r="B781" s="2" t="s">
        <v>52</v>
      </c>
      <c r="C781" s="2" t="s">
        <v>66</v>
      </c>
      <c r="D781" s="2" t="s">
        <v>100</v>
      </c>
      <c r="E781" s="2" t="s">
        <v>101</v>
      </c>
      <c r="F781" s="2" t="s">
        <v>24</v>
      </c>
      <c r="G781">
        <v>3</v>
      </c>
      <c r="H781">
        <v>150</v>
      </c>
      <c r="I781">
        <v>145</v>
      </c>
      <c r="J781" s="3">
        <v>160900</v>
      </c>
      <c r="K781" s="3">
        <v>23330500</v>
      </c>
      <c r="L781" s="2" t="s">
        <v>25</v>
      </c>
      <c r="M781" s="2" t="s">
        <v>26</v>
      </c>
      <c r="N781">
        <v>2023</v>
      </c>
      <c r="O781" s="2" t="s">
        <v>152</v>
      </c>
      <c r="P781" s="2" t="s">
        <v>153</v>
      </c>
      <c r="Q781">
        <v>10</v>
      </c>
      <c r="R781" s="4">
        <v>45200</v>
      </c>
      <c r="S781" s="3">
        <v>160900</v>
      </c>
      <c r="T781" s="3">
        <v>2.33</v>
      </c>
    </row>
    <row r="782" spans="1:20" hidden="1" x14ac:dyDescent="0.3">
      <c r="A782" s="1">
        <v>45204</v>
      </c>
      <c r="B782" s="2" t="s">
        <v>108</v>
      </c>
      <c r="C782" s="2" t="s">
        <v>131</v>
      </c>
      <c r="D782" s="2" t="s">
        <v>42</v>
      </c>
      <c r="E782" s="2" t="s">
        <v>43</v>
      </c>
      <c r="F782" s="2" t="s">
        <v>24</v>
      </c>
      <c r="G782">
        <v>3</v>
      </c>
      <c r="H782">
        <v>135</v>
      </c>
      <c r="I782">
        <v>71</v>
      </c>
      <c r="J782" s="3">
        <v>136800</v>
      </c>
      <c r="K782" s="3">
        <v>9712800</v>
      </c>
      <c r="L782" s="2" t="s">
        <v>33</v>
      </c>
      <c r="M782" s="2" t="s">
        <v>26</v>
      </c>
      <c r="N782">
        <v>2023</v>
      </c>
      <c r="O782" s="2" t="s">
        <v>152</v>
      </c>
      <c r="P782" s="2" t="s">
        <v>153</v>
      </c>
      <c r="Q782">
        <v>10</v>
      </c>
      <c r="R782" s="4">
        <v>45200</v>
      </c>
      <c r="S782" s="3">
        <v>136800</v>
      </c>
      <c r="T782" s="3">
        <v>0.97</v>
      </c>
    </row>
    <row r="783" spans="1:20" hidden="1" x14ac:dyDescent="0.3">
      <c r="A783" s="1">
        <v>45204</v>
      </c>
      <c r="B783" s="2" t="s">
        <v>48</v>
      </c>
      <c r="C783" s="2" t="s">
        <v>98</v>
      </c>
      <c r="D783" s="2" t="s">
        <v>102</v>
      </c>
      <c r="E783" s="2" t="s">
        <v>103</v>
      </c>
      <c r="F783" s="2" t="s">
        <v>24</v>
      </c>
      <c r="G783">
        <v>5</v>
      </c>
      <c r="H783">
        <v>150</v>
      </c>
      <c r="I783">
        <v>45</v>
      </c>
      <c r="J783" s="3">
        <v>185800</v>
      </c>
      <c r="K783" s="3">
        <v>8361000</v>
      </c>
      <c r="L783" s="2" t="s">
        <v>25</v>
      </c>
      <c r="M783" s="2" t="s">
        <v>26</v>
      </c>
      <c r="N783">
        <v>2023</v>
      </c>
      <c r="O783" s="2" t="s">
        <v>152</v>
      </c>
      <c r="P783" s="2" t="s">
        <v>153</v>
      </c>
      <c r="Q783">
        <v>10</v>
      </c>
      <c r="R783" s="4">
        <v>45200</v>
      </c>
      <c r="S783" s="3">
        <v>185800</v>
      </c>
      <c r="T783" s="3">
        <v>0.84</v>
      </c>
    </row>
    <row r="784" spans="1:20" hidden="1" x14ac:dyDescent="0.3">
      <c r="A784" s="1">
        <v>45205</v>
      </c>
      <c r="B784" s="2" t="s">
        <v>52</v>
      </c>
      <c r="C784" s="2" t="s">
        <v>66</v>
      </c>
      <c r="D784" s="2" t="s">
        <v>42</v>
      </c>
      <c r="E784" s="2" t="s">
        <v>43</v>
      </c>
      <c r="F784" s="2" t="s">
        <v>24</v>
      </c>
      <c r="G784">
        <v>3</v>
      </c>
      <c r="H784">
        <v>135</v>
      </c>
      <c r="I784">
        <v>58</v>
      </c>
      <c r="J784" s="3">
        <v>137600</v>
      </c>
      <c r="K784" s="3">
        <v>7980800</v>
      </c>
      <c r="L784" s="2" t="s">
        <v>33</v>
      </c>
      <c r="M784" s="2" t="s">
        <v>26</v>
      </c>
      <c r="N784">
        <v>2023</v>
      </c>
      <c r="O784" s="2" t="s">
        <v>152</v>
      </c>
      <c r="P784" s="2" t="s">
        <v>153</v>
      </c>
      <c r="Q784">
        <v>10</v>
      </c>
      <c r="R784" s="4">
        <v>45200</v>
      </c>
      <c r="S784" s="3">
        <v>137600</v>
      </c>
      <c r="T784" s="3">
        <v>0.8</v>
      </c>
    </row>
    <row r="785" spans="1:20" hidden="1" x14ac:dyDescent="0.3">
      <c r="A785" s="1">
        <v>45205</v>
      </c>
      <c r="B785" s="2" t="s">
        <v>44</v>
      </c>
      <c r="C785" s="2" t="s">
        <v>117</v>
      </c>
      <c r="D785" s="2" t="s">
        <v>94</v>
      </c>
      <c r="E785" s="2" t="s">
        <v>95</v>
      </c>
      <c r="F785" s="2" t="s">
        <v>72</v>
      </c>
      <c r="G785">
        <v>40</v>
      </c>
      <c r="H785">
        <v>30</v>
      </c>
      <c r="I785">
        <v>90</v>
      </c>
      <c r="J785" s="3">
        <v>2341300</v>
      </c>
      <c r="K785" s="3">
        <v>210717000</v>
      </c>
      <c r="L785" s="2" t="s">
        <v>33</v>
      </c>
      <c r="M785" s="2" t="s">
        <v>26</v>
      </c>
      <c r="N785">
        <v>2023</v>
      </c>
      <c r="O785" s="2" t="s">
        <v>152</v>
      </c>
      <c r="P785" s="2" t="s">
        <v>153</v>
      </c>
      <c r="Q785">
        <v>10</v>
      </c>
      <c r="R785" s="4">
        <v>45200</v>
      </c>
      <c r="S785" s="3">
        <v>2341300</v>
      </c>
      <c r="T785" s="3">
        <v>21.07</v>
      </c>
    </row>
    <row r="786" spans="1:20" hidden="1" x14ac:dyDescent="0.3">
      <c r="A786" s="1">
        <v>45206</v>
      </c>
      <c r="B786" s="2" t="s">
        <v>35</v>
      </c>
      <c r="C786" s="2" t="s">
        <v>121</v>
      </c>
      <c r="D786" s="2" t="s">
        <v>63</v>
      </c>
      <c r="E786" s="2" t="s">
        <v>64</v>
      </c>
      <c r="F786" s="2" t="s">
        <v>24</v>
      </c>
      <c r="G786">
        <v>3</v>
      </c>
      <c r="H786">
        <v>127</v>
      </c>
      <c r="I786">
        <v>155</v>
      </c>
      <c r="J786" s="3">
        <v>144500</v>
      </c>
      <c r="K786" s="3">
        <v>22397500</v>
      </c>
      <c r="L786" s="2" t="s">
        <v>33</v>
      </c>
      <c r="M786" s="2" t="s">
        <v>34</v>
      </c>
      <c r="N786">
        <v>2023</v>
      </c>
      <c r="O786" s="2" t="s">
        <v>152</v>
      </c>
      <c r="P786" s="2" t="s">
        <v>153</v>
      </c>
      <c r="Q786">
        <v>10</v>
      </c>
      <c r="R786" s="4">
        <v>45200</v>
      </c>
      <c r="S786" s="3">
        <v>144500</v>
      </c>
      <c r="T786" s="3">
        <v>2.2400000000000002</v>
      </c>
    </row>
    <row r="787" spans="1:20" hidden="1" x14ac:dyDescent="0.3">
      <c r="A787" s="1">
        <v>45207</v>
      </c>
      <c r="B787" s="2" t="s">
        <v>108</v>
      </c>
      <c r="C787" s="2" t="s">
        <v>133</v>
      </c>
      <c r="D787" s="2" t="s">
        <v>57</v>
      </c>
      <c r="E787" s="2" t="s">
        <v>86</v>
      </c>
      <c r="F787" s="2" t="s">
        <v>24</v>
      </c>
      <c r="G787">
        <v>48</v>
      </c>
      <c r="H787">
        <v>39</v>
      </c>
      <c r="I787">
        <v>139</v>
      </c>
      <c r="J787" s="3">
        <v>2070100</v>
      </c>
      <c r="K787" s="3">
        <v>287743900</v>
      </c>
      <c r="L787" s="2" t="s">
        <v>25</v>
      </c>
      <c r="M787" s="2" t="s">
        <v>77</v>
      </c>
      <c r="N787">
        <v>2023</v>
      </c>
      <c r="O787" s="2" t="s">
        <v>152</v>
      </c>
      <c r="P787" s="2" t="s">
        <v>153</v>
      </c>
      <c r="Q787">
        <v>10</v>
      </c>
      <c r="R787" s="4">
        <v>45200</v>
      </c>
      <c r="S787" s="3">
        <v>2070100</v>
      </c>
      <c r="T787" s="3">
        <v>28.77</v>
      </c>
    </row>
    <row r="788" spans="1:20" hidden="1" x14ac:dyDescent="0.3">
      <c r="A788" s="1">
        <v>45207</v>
      </c>
      <c r="B788" s="2" t="s">
        <v>46</v>
      </c>
      <c r="C788" s="2" t="s">
        <v>56</v>
      </c>
      <c r="D788" s="2" t="s">
        <v>63</v>
      </c>
      <c r="E788" s="2" t="s">
        <v>64</v>
      </c>
      <c r="F788" s="2" t="s">
        <v>24</v>
      </c>
      <c r="G788">
        <v>3</v>
      </c>
      <c r="H788">
        <v>127</v>
      </c>
      <c r="I788">
        <v>161</v>
      </c>
      <c r="J788" s="3">
        <v>144200</v>
      </c>
      <c r="K788" s="3">
        <v>23216200</v>
      </c>
      <c r="L788" s="2" t="s">
        <v>33</v>
      </c>
      <c r="M788" s="2" t="s">
        <v>26</v>
      </c>
      <c r="N788">
        <v>2023</v>
      </c>
      <c r="O788" s="2" t="s">
        <v>152</v>
      </c>
      <c r="P788" s="2" t="s">
        <v>153</v>
      </c>
      <c r="Q788">
        <v>10</v>
      </c>
      <c r="R788" s="4">
        <v>45200</v>
      </c>
      <c r="S788" s="3">
        <v>144200</v>
      </c>
      <c r="T788" s="3">
        <v>2.3199999999999998</v>
      </c>
    </row>
    <row r="789" spans="1:20" hidden="1" x14ac:dyDescent="0.3">
      <c r="A789" s="1">
        <v>45208</v>
      </c>
      <c r="B789" s="2" t="s">
        <v>90</v>
      </c>
      <c r="C789" s="2" t="s">
        <v>128</v>
      </c>
      <c r="D789" s="2" t="s">
        <v>37</v>
      </c>
      <c r="E789" s="2" t="s">
        <v>38</v>
      </c>
      <c r="F789" s="2" t="s">
        <v>39</v>
      </c>
      <c r="G789">
        <v>66</v>
      </c>
      <c r="H789">
        <v>423</v>
      </c>
      <c r="I789">
        <v>69</v>
      </c>
      <c r="J789" s="3">
        <v>8386900</v>
      </c>
      <c r="K789" s="3">
        <v>578696100</v>
      </c>
      <c r="L789" s="2" t="s">
        <v>33</v>
      </c>
      <c r="M789" s="2" t="s">
        <v>26</v>
      </c>
      <c r="N789">
        <v>2023</v>
      </c>
      <c r="O789" s="2" t="s">
        <v>152</v>
      </c>
      <c r="P789" s="2" t="s">
        <v>153</v>
      </c>
      <c r="Q789">
        <v>10</v>
      </c>
      <c r="R789" s="4">
        <v>45200</v>
      </c>
      <c r="S789" s="3">
        <v>8386900</v>
      </c>
      <c r="T789" s="3">
        <v>57.87</v>
      </c>
    </row>
    <row r="790" spans="1:20" hidden="1" x14ac:dyDescent="0.3">
      <c r="A790" s="1">
        <v>45208</v>
      </c>
      <c r="B790" s="2" t="s">
        <v>84</v>
      </c>
      <c r="C790" s="2" t="s">
        <v>113</v>
      </c>
      <c r="D790" s="2" t="s">
        <v>67</v>
      </c>
      <c r="E790" s="2" t="s">
        <v>68</v>
      </c>
      <c r="F790" s="2" t="s">
        <v>24</v>
      </c>
      <c r="G790">
        <v>66</v>
      </c>
      <c r="H790">
        <v>440</v>
      </c>
      <c r="I790">
        <v>8</v>
      </c>
      <c r="J790" s="3">
        <v>6348600</v>
      </c>
      <c r="K790" s="3">
        <v>50788800</v>
      </c>
      <c r="L790" s="2" t="s">
        <v>92</v>
      </c>
      <c r="M790" s="2" t="s">
        <v>26</v>
      </c>
      <c r="N790">
        <v>2023</v>
      </c>
      <c r="O790" s="2" t="s">
        <v>152</v>
      </c>
      <c r="P790" s="2" t="s">
        <v>153</v>
      </c>
      <c r="Q790">
        <v>10</v>
      </c>
      <c r="R790" s="4">
        <v>45200</v>
      </c>
      <c r="S790" s="3">
        <v>6348600</v>
      </c>
      <c r="T790" s="3">
        <v>5.08</v>
      </c>
    </row>
    <row r="791" spans="1:20" hidden="1" x14ac:dyDescent="0.3">
      <c r="A791" s="1">
        <v>45209</v>
      </c>
      <c r="B791" s="2" t="s">
        <v>90</v>
      </c>
      <c r="C791" s="2" t="s">
        <v>91</v>
      </c>
      <c r="D791" s="2" t="s">
        <v>67</v>
      </c>
      <c r="E791" s="2" t="s">
        <v>118</v>
      </c>
      <c r="F791" s="2" t="s">
        <v>72</v>
      </c>
      <c r="G791">
        <v>84</v>
      </c>
      <c r="H791">
        <v>590</v>
      </c>
      <c r="I791">
        <v>38</v>
      </c>
      <c r="J791" s="3">
        <v>7197500</v>
      </c>
      <c r="K791" s="3">
        <v>273505000</v>
      </c>
      <c r="L791" s="2" t="s">
        <v>92</v>
      </c>
      <c r="M791" s="2" t="s">
        <v>77</v>
      </c>
      <c r="N791">
        <v>2023</v>
      </c>
      <c r="O791" s="2" t="s">
        <v>152</v>
      </c>
      <c r="P791" s="2" t="s">
        <v>153</v>
      </c>
      <c r="Q791">
        <v>10</v>
      </c>
      <c r="R791" s="4">
        <v>45200</v>
      </c>
      <c r="S791" s="3">
        <v>7197500</v>
      </c>
      <c r="T791" s="3">
        <v>27.35</v>
      </c>
    </row>
    <row r="792" spans="1:20" hidden="1" x14ac:dyDescent="0.3">
      <c r="A792" s="1">
        <v>45209</v>
      </c>
      <c r="B792" s="2" t="s">
        <v>84</v>
      </c>
      <c r="C792" s="2" t="s">
        <v>85</v>
      </c>
      <c r="D792" s="2" t="s">
        <v>67</v>
      </c>
      <c r="E792" s="2" t="s">
        <v>68</v>
      </c>
      <c r="F792" s="2" t="s">
        <v>39</v>
      </c>
      <c r="G792">
        <v>66</v>
      </c>
      <c r="H792">
        <v>440</v>
      </c>
      <c r="I792">
        <v>65</v>
      </c>
      <c r="J792" s="3">
        <v>5842400</v>
      </c>
      <c r="K792" s="3">
        <v>379756000</v>
      </c>
      <c r="L792" s="2" t="s">
        <v>33</v>
      </c>
      <c r="M792" s="2" t="s">
        <v>34</v>
      </c>
      <c r="N792">
        <v>2023</v>
      </c>
      <c r="O792" s="2" t="s">
        <v>152</v>
      </c>
      <c r="P792" s="2" t="s">
        <v>153</v>
      </c>
      <c r="Q792">
        <v>10</v>
      </c>
      <c r="R792" s="4">
        <v>45200</v>
      </c>
      <c r="S792" s="3">
        <v>5842400</v>
      </c>
      <c r="T792" s="3">
        <v>37.979999999999997</v>
      </c>
    </row>
    <row r="793" spans="1:20" hidden="1" x14ac:dyDescent="0.3">
      <c r="A793" s="1">
        <v>45210</v>
      </c>
      <c r="B793" s="2" t="s">
        <v>90</v>
      </c>
      <c r="C793" s="2" t="s">
        <v>128</v>
      </c>
      <c r="D793" s="2" t="s">
        <v>70</v>
      </c>
      <c r="E793" s="2" t="s">
        <v>74</v>
      </c>
      <c r="F793" s="2" t="s">
        <v>39</v>
      </c>
      <c r="G793">
        <v>25</v>
      </c>
      <c r="H793">
        <v>32</v>
      </c>
      <c r="I793">
        <v>88</v>
      </c>
      <c r="J793" s="3">
        <v>1268500</v>
      </c>
      <c r="K793" s="3">
        <v>111628000</v>
      </c>
      <c r="L793" s="2" t="s">
        <v>25</v>
      </c>
      <c r="M793" s="2" t="s">
        <v>26</v>
      </c>
      <c r="N793">
        <v>2023</v>
      </c>
      <c r="O793" s="2" t="s">
        <v>152</v>
      </c>
      <c r="P793" s="2" t="s">
        <v>153</v>
      </c>
      <c r="Q793">
        <v>10</v>
      </c>
      <c r="R793" s="4">
        <v>45200</v>
      </c>
      <c r="S793" s="3">
        <v>1268500</v>
      </c>
      <c r="T793" s="3">
        <v>11.16</v>
      </c>
    </row>
    <row r="794" spans="1:20" hidden="1" x14ac:dyDescent="0.3">
      <c r="A794" s="1">
        <v>45210</v>
      </c>
      <c r="B794" s="2" t="s">
        <v>44</v>
      </c>
      <c r="C794" s="2" t="s">
        <v>142</v>
      </c>
      <c r="D794" s="2" t="s">
        <v>54</v>
      </c>
      <c r="E794" s="2" t="s">
        <v>55</v>
      </c>
      <c r="F794" s="2" t="s">
        <v>72</v>
      </c>
      <c r="G794">
        <v>30</v>
      </c>
      <c r="H794">
        <v>320</v>
      </c>
      <c r="I794">
        <v>77</v>
      </c>
      <c r="J794" s="3">
        <v>1621700</v>
      </c>
      <c r="K794" s="3">
        <v>124870900</v>
      </c>
      <c r="L794" s="2" t="s">
        <v>25</v>
      </c>
      <c r="M794" s="2" t="s">
        <v>34</v>
      </c>
      <c r="N794">
        <v>2023</v>
      </c>
      <c r="O794" s="2" t="s">
        <v>152</v>
      </c>
      <c r="P794" s="2" t="s">
        <v>153</v>
      </c>
      <c r="Q794">
        <v>10</v>
      </c>
      <c r="R794" s="4">
        <v>45200</v>
      </c>
      <c r="S794" s="3">
        <v>1621700</v>
      </c>
      <c r="T794" s="3">
        <v>12.49</v>
      </c>
    </row>
    <row r="795" spans="1:20" hidden="1" x14ac:dyDescent="0.3">
      <c r="A795" s="1">
        <v>45210</v>
      </c>
      <c r="B795" s="2" t="s">
        <v>90</v>
      </c>
      <c r="C795" s="2" t="s">
        <v>91</v>
      </c>
      <c r="D795" s="2" t="s">
        <v>54</v>
      </c>
      <c r="E795" s="2" t="s">
        <v>55</v>
      </c>
      <c r="F795" s="2" t="s">
        <v>24</v>
      </c>
      <c r="G795">
        <v>30</v>
      </c>
      <c r="H795">
        <v>320</v>
      </c>
      <c r="I795">
        <v>12</v>
      </c>
      <c r="J795" s="3">
        <v>1695400</v>
      </c>
      <c r="K795" s="3">
        <v>20344800</v>
      </c>
      <c r="L795" s="2" t="s">
        <v>33</v>
      </c>
      <c r="M795" s="2" t="s">
        <v>26</v>
      </c>
      <c r="N795">
        <v>2023</v>
      </c>
      <c r="O795" s="2" t="s">
        <v>152</v>
      </c>
      <c r="P795" s="2" t="s">
        <v>153</v>
      </c>
      <c r="Q795">
        <v>10</v>
      </c>
      <c r="R795" s="4">
        <v>45200</v>
      </c>
      <c r="S795" s="3">
        <v>1695400</v>
      </c>
      <c r="T795" s="3">
        <v>2.0299999999999998</v>
      </c>
    </row>
    <row r="796" spans="1:20" hidden="1" x14ac:dyDescent="0.3">
      <c r="A796" s="1">
        <v>45211</v>
      </c>
      <c r="B796" s="2" t="s">
        <v>20</v>
      </c>
      <c r="C796" s="2" t="s">
        <v>21</v>
      </c>
      <c r="D796" s="2" t="s">
        <v>79</v>
      </c>
      <c r="E796" s="2" t="s">
        <v>80</v>
      </c>
      <c r="F796" s="2" t="s">
        <v>39</v>
      </c>
      <c r="G796">
        <v>69</v>
      </c>
      <c r="H796">
        <v>418</v>
      </c>
      <c r="I796">
        <v>52</v>
      </c>
      <c r="J796" s="3">
        <v>5065900</v>
      </c>
      <c r="K796" s="3">
        <v>263426800</v>
      </c>
      <c r="L796" s="2" t="s">
        <v>25</v>
      </c>
      <c r="M796" s="2" t="s">
        <v>77</v>
      </c>
      <c r="N796">
        <v>2023</v>
      </c>
      <c r="O796" s="2" t="s">
        <v>152</v>
      </c>
      <c r="P796" s="2" t="s">
        <v>153</v>
      </c>
      <c r="Q796">
        <v>10</v>
      </c>
      <c r="R796" s="4">
        <v>45200</v>
      </c>
      <c r="S796" s="3">
        <v>5065900</v>
      </c>
      <c r="T796" s="3">
        <v>26.34</v>
      </c>
    </row>
    <row r="797" spans="1:20" hidden="1" x14ac:dyDescent="0.3">
      <c r="A797" s="1">
        <v>45211</v>
      </c>
      <c r="B797" s="2" t="s">
        <v>40</v>
      </c>
      <c r="C797" s="2" t="s">
        <v>41</v>
      </c>
      <c r="D797" s="2" t="s">
        <v>102</v>
      </c>
      <c r="E797" s="2" t="s">
        <v>103</v>
      </c>
      <c r="F797" s="2" t="s">
        <v>24</v>
      </c>
      <c r="G797">
        <v>5</v>
      </c>
      <c r="H797">
        <v>150</v>
      </c>
      <c r="I797">
        <v>122</v>
      </c>
      <c r="J797" s="3">
        <v>163700</v>
      </c>
      <c r="K797" s="3">
        <v>19971400</v>
      </c>
      <c r="L797" s="2" t="s">
        <v>33</v>
      </c>
      <c r="M797" s="2" t="s">
        <v>77</v>
      </c>
      <c r="N797">
        <v>2023</v>
      </c>
      <c r="O797" s="2" t="s">
        <v>152</v>
      </c>
      <c r="P797" s="2" t="s">
        <v>153</v>
      </c>
      <c r="Q797">
        <v>10</v>
      </c>
      <c r="R797" s="4">
        <v>45200</v>
      </c>
      <c r="S797" s="3">
        <v>163700</v>
      </c>
      <c r="T797" s="3">
        <v>2</v>
      </c>
    </row>
    <row r="798" spans="1:20" hidden="1" x14ac:dyDescent="0.3">
      <c r="A798" s="1">
        <v>45212</v>
      </c>
      <c r="B798" s="2" t="s">
        <v>75</v>
      </c>
      <c r="C798" s="2" t="s">
        <v>122</v>
      </c>
      <c r="D798" s="2" t="s">
        <v>102</v>
      </c>
      <c r="E798" s="2" t="s">
        <v>103</v>
      </c>
      <c r="F798" s="2" t="s">
        <v>24</v>
      </c>
      <c r="G798">
        <v>5</v>
      </c>
      <c r="H798">
        <v>150</v>
      </c>
      <c r="I798">
        <v>161</v>
      </c>
      <c r="J798" s="3">
        <v>171200</v>
      </c>
      <c r="K798" s="3">
        <v>27563200</v>
      </c>
      <c r="L798" s="2" t="s">
        <v>33</v>
      </c>
      <c r="M798" s="2" t="s">
        <v>26</v>
      </c>
      <c r="N798">
        <v>2023</v>
      </c>
      <c r="O798" s="2" t="s">
        <v>152</v>
      </c>
      <c r="P798" s="2" t="s">
        <v>153</v>
      </c>
      <c r="Q798">
        <v>10</v>
      </c>
      <c r="R798" s="4">
        <v>45200</v>
      </c>
      <c r="S798" s="3">
        <v>171200</v>
      </c>
      <c r="T798" s="3">
        <v>2.76</v>
      </c>
    </row>
    <row r="799" spans="1:20" hidden="1" x14ac:dyDescent="0.3">
      <c r="A799" s="1">
        <v>45213</v>
      </c>
      <c r="B799" s="2" t="s">
        <v>40</v>
      </c>
      <c r="C799" s="2" t="s">
        <v>41</v>
      </c>
      <c r="D799" s="2" t="s">
        <v>82</v>
      </c>
      <c r="E799" s="2" t="s">
        <v>141</v>
      </c>
      <c r="F799" s="2" t="s">
        <v>24</v>
      </c>
      <c r="G799">
        <v>59</v>
      </c>
      <c r="H799">
        <v>55</v>
      </c>
      <c r="I799">
        <v>139</v>
      </c>
      <c r="J799" s="3">
        <v>2613800</v>
      </c>
      <c r="K799" s="3">
        <v>363318200</v>
      </c>
      <c r="L799" s="2" t="s">
        <v>33</v>
      </c>
      <c r="M799" s="2" t="s">
        <v>77</v>
      </c>
      <c r="N799">
        <v>2023</v>
      </c>
      <c r="O799" s="2" t="s">
        <v>152</v>
      </c>
      <c r="P799" s="2" t="s">
        <v>153</v>
      </c>
      <c r="Q799">
        <v>10</v>
      </c>
      <c r="R799" s="4">
        <v>45200</v>
      </c>
      <c r="S799" s="3">
        <v>2613800</v>
      </c>
      <c r="T799" s="3">
        <v>36.33</v>
      </c>
    </row>
    <row r="800" spans="1:20" hidden="1" x14ac:dyDescent="0.3">
      <c r="A800" s="1">
        <v>45213</v>
      </c>
      <c r="B800" s="2" t="s">
        <v>106</v>
      </c>
      <c r="C800" s="2" t="s">
        <v>107</v>
      </c>
      <c r="D800" s="2" t="s">
        <v>37</v>
      </c>
      <c r="E800" s="2" t="s">
        <v>38</v>
      </c>
      <c r="F800" s="2" t="s">
        <v>24</v>
      </c>
      <c r="G800">
        <v>66</v>
      </c>
      <c r="H800">
        <v>423</v>
      </c>
      <c r="I800">
        <v>55</v>
      </c>
      <c r="J800" s="3">
        <v>7601800</v>
      </c>
      <c r="K800" s="3">
        <v>418099000</v>
      </c>
      <c r="L800" s="2" t="s">
        <v>33</v>
      </c>
      <c r="M800" s="2" t="s">
        <v>34</v>
      </c>
      <c r="N800">
        <v>2023</v>
      </c>
      <c r="O800" s="2" t="s">
        <v>152</v>
      </c>
      <c r="P800" s="2" t="s">
        <v>153</v>
      </c>
      <c r="Q800">
        <v>10</v>
      </c>
      <c r="R800" s="4">
        <v>45200</v>
      </c>
      <c r="S800" s="3">
        <v>7601800</v>
      </c>
      <c r="T800" s="3">
        <v>41.81</v>
      </c>
    </row>
    <row r="801" spans="1:20" hidden="1" x14ac:dyDescent="0.3">
      <c r="A801" s="1">
        <v>45213</v>
      </c>
      <c r="B801" s="2" t="s">
        <v>29</v>
      </c>
      <c r="C801" s="2" t="s">
        <v>30</v>
      </c>
      <c r="D801" s="2" t="s">
        <v>63</v>
      </c>
      <c r="E801" s="2" t="s">
        <v>64</v>
      </c>
      <c r="F801" s="2" t="s">
        <v>24</v>
      </c>
      <c r="G801">
        <v>3</v>
      </c>
      <c r="H801">
        <v>127</v>
      </c>
      <c r="I801">
        <v>43</v>
      </c>
      <c r="J801" s="3">
        <v>162400</v>
      </c>
      <c r="K801" s="3">
        <v>6983200</v>
      </c>
      <c r="L801" s="2" t="s">
        <v>33</v>
      </c>
      <c r="M801" s="2" t="s">
        <v>26</v>
      </c>
      <c r="N801">
        <v>2023</v>
      </c>
      <c r="O801" s="2" t="s">
        <v>152</v>
      </c>
      <c r="P801" s="2" t="s">
        <v>153</v>
      </c>
      <c r="Q801">
        <v>10</v>
      </c>
      <c r="R801" s="4">
        <v>45200</v>
      </c>
      <c r="S801" s="3">
        <v>162400</v>
      </c>
      <c r="T801" s="3">
        <v>0.7</v>
      </c>
    </row>
    <row r="802" spans="1:20" hidden="1" x14ac:dyDescent="0.3">
      <c r="A802" s="1">
        <v>45213</v>
      </c>
      <c r="B802" s="2" t="s">
        <v>84</v>
      </c>
      <c r="C802" s="2" t="s">
        <v>126</v>
      </c>
      <c r="D802" s="2" t="s">
        <v>57</v>
      </c>
      <c r="E802" s="2" t="s">
        <v>86</v>
      </c>
      <c r="F802" s="2" t="s">
        <v>24</v>
      </c>
      <c r="G802">
        <v>48</v>
      </c>
      <c r="H802">
        <v>39</v>
      </c>
      <c r="I802">
        <v>132</v>
      </c>
      <c r="J802" s="3">
        <v>2451400</v>
      </c>
      <c r="K802" s="3">
        <v>323584800</v>
      </c>
      <c r="L802" s="2" t="s">
        <v>25</v>
      </c>
      <c r="M802" s="2" t="s">
        <v>26</v>
      </c>
      <c r="N802">
        <v>2023</v>
      </c>
      <c r="O802" s="2" t="s">
        <v>152</v>
      </c>
      <c r="P802" s="2" t="s">
        <v>153</v>
      </c>
      <c r="Q802">
        <v>10</v>
      </c>
      <c r="R802" s="4">
        <v>45200</v>
      </c>
      <c r="S802" s="3">
        <v>2451400</v>
      </c>
      <c r="T802" s="3">
        <v>32.36</v>
      </c>
    </row>
    <row r="803" spans="1:20" hidden="1" x14ac:dyDescent="0.3">
      <c r="A803" s="1">
        <v>45213</v>
      </c>
      <c r="B803" s="2" t="s">
        <v>108</v>
      </c>
      <c r="C803" s="2" t="s">
        <v>123</v>
      </c>
      <c r="D803" s="2" t="s">
        <v>67</v>
      </c>
      <c r="E803" s="2" t="s">
        <v>118</v>
      </c>
      <c r="F803" s="2" t="s">
        <v>24</v>
      </c>
      <c r="G803">
        <v>84</v>
      </c>
      <c r="H803">
        <v>590</v>
      </c>
      <c r="I803">
        <v>32</v>
      </c>
      <c r="J803" s="3">
        <v>7619000</v>
      </c>
      <c r="K803" s="3">
        <v>243808000</v>
      </c>
      <c r="L803" s="2" t="s">
        <v>33</v>
      </c>
      <c r="M803" s="2" t="s">
        <v>77</v>
      </c>
      <c r="N803">
        <v>2023</v>
      </c>
      <c r="O803" s="2" t="s">
        <v>152</v>
      </c>
      <c r="P803" s="2" t="s">
        <v>153</v>
      </c>
      <c r="Q803">
        <v>10</v>
      </c>
      <c r="R803" s="4">
        <v>45200</v>
      </c>
      <c r="S803" s="3">
        <v>7619000</v>
      </c>
      <c r="T803" s="3">
        <v>24.38</v>
      </c>
    </row>
    <row r="804" spans="1:20" hidden="1" x14ac:dyDescent="0.3">
      <c r="A804" s="1">
        <v>45214</v>
      </c>
      <c r="B804" s="2" t="s">
        <v>20</v>
      </c>
      <c r="C804" s="2" t="s">
        <v>125</v>
      </c>
      <c r="D804" s="2" t="s">
        <v>57</v>
      </c>
      <c r="E804" s="2" t="s">
        <v>58</v>
      </c>
      <c r="F804" s="2" t="s">
        <v>24</v>
      </c>
      <c r="G804">
        <v>72</v>
      </c>
      <c r="H804">
        <v>488</v>
      </c>
      <c r="I804">
        <v>69</v>
      </c>
      <c r="J804" s="3">
        <v>4884000</v>
      </c>
      <c r="K804" s="3">
        <v>336996000</v>
      </c>
      <c r="L804" s="2" t="s">
        <v>33</v>
      </c>
      <c r="M804" s="2" t="s">
        <v>26</v>
      </c>
      <c r="N804">
        <v>2023</v>
      </c>
      <c r="O804" s="2" t="s">
        <v>152</v>
      </c>
      <c r="P804" s="2" t="s">
        <v>153</v>
      </c>
      <c r="Q804">
        <v>10</v>
      </c>
      <c r="R804" s="4">
        <v>45200</v>
      </c>
      <c r="S804" s="3">
        <v>4884000</v>
      </c>
      <c r="T804" s="3">
        <v>33.700000000000003</v>
      </c>
    </row>
    <row r="805" spans="1:20" hidden="1" x14ac:dyDescent="0.3">
      <c r="A805" s="1">
        <v>45214</v>
      </c>
      <c r="B805" s="2" t="s">
        <v>46</v>
      </c>
      <c r="C805" s="2" t="s">
        <v>47</v>
      </c>
      <c r="D805" s="2" t="s">
        <v>63</v>
      </c>
      <c r="E805" s="2" t="s">
        <v>64</v>
      </c>
      <c r="F805" s="2" t="s">
        <v>24</v>
      </c>
      <c r="G805">
        <v>3</v>
      </c>
      <c r="H805">
        <v>127</v>
      </c>
      <c r="I805">
        <v>106</v>
      </c>
      <c r="J805" s="3">
        <v>153200</v>
      </c>
      <c r="K805" s="3">
        <v>16239200</v>
      </c>
      <c r="L805" s="2" t="s">
        <v>33</v>
      </c>
      <c r="M805" s="2" t="s">
        <v>26</v>
      </c>
      <c r="N805">
        <v>2023</v>
      </c>
      <c r="O805" s="2" t="s">
        <v>152</v>
      </c>
      <c r="P805" s="2" t="s">
        <v>153</v>
      </c>
      <c r="Q805">
        <v>10</v>
      </c>
      <c r="R805" s="4">
        <v>45200</v>
      </c>
      <c r="S805" s="3">
        <v>153200</v>
      </c>
      <c r="T805" s="3">
        <v>1.62</v>
      </c>
    </row>
    <row r="806" spans="1:20" hidden="1" x14ac:dyDescent="0.3">
      <c r="A806" s="1">
        <v>45215</v>
      </c>
      <c r="B806" s="2" t="s">
        <v>106</v>
      </c>
      <c r="C806" s="2" t="s">
        <v>120</v>
      </c>
      <c r="D806" s="2" t="s">
        <v>82</v>
      </c>
      <c r="E806" s="2" t="s">
        <v>141</v>
      </c>
      <c r="F806" s="2" t="s">
        <v>24</v>
      </c>
      <c r="G806">
        <v>59</v>
      </c>
      <c r="H806">
        <v>55</v>
      </c>
      <c r="I806">
        <v>106</v>
      </c>
      <c r="J806" s="3">
        <v>2792600</v>
      </c>
      <c r="K806" s="3">
        <v>296015600</v>
      </c>
      <c r="L806" s="2" t="s">
        <v>33</v>
      </c>
      <c r="M806" s="2" t="s">
        <v>26</v>
      </c>
      <c r="N806">
        <v>2023</v>
      </c>
      <c r="O806" s="2" t="s">
        <v>152</v>
      </c>
      <c r="P806" s="2" t="s">
        <v>153</v>
      </c>
      <c r="Q806">
        <v>10</v>
      </c>
      <c r="R806" s="4">
        <v>45200</v>
      </c>
      <c r="S806" s="3">
        <v>2792600</v>
      </c>
      <c r="T806" s="3">
        <v>29.6</v>
      </c>
    </row>
    <row r="807" spans="1:20" hidden="1" x14ac:dyDescent="0.3">
      <c r="A807" s="1">
        <v>45215</v>
      </c>
      <c r="B807" s="2" t="s">
        <v>40</v>
      </c>
      <c r="C807" s="2" t="s">
        <v>41</v>
      </c>
      <c r="D807" s="2" t="s">
        <v>50</v>
      </c>
      <c r="E807" s="2" t="s">
        <v>51</v>
      </c>
      <c r="F807" s="2" t="s">
        <v>39</v>
      </c>
      <c r="G807">
        <v>77</v>
      </c>
      <c r="H807">
        <v>528</v>
      </c>
      <c r="I807">
        <v>7</v>
      </c>
      <c r="J807" s="3">
        <v>5442500</v>
      </c>
      <c r="K807" s="3">
        <v>38097500</v>
      </c>
      <c r="L807" s="2" t="s">
        <v>25</v>
      </c>
      <c r="M807" s="2" t="s">
        <v>26</v>
      </c>
      <c r="N807">
        <v>2023</v>
      </c>
      <c r="O807" s="2" t="s">
        <v>152</v>
      </c>
      <c r="P807" s="2" t="s">
        <v>153</v>
      </c>
      <c r="Q807">
        <v>10</v>
      </c>
      <c r="R807" s="4">
        <v>45200</v>
      </c>
      <c r="S807" s="3">
        <v>5442500</v>
      </c>
      <c r="T807" s="3">
        <v>3.81</v>
      </c>
    </row>
    <row r="808" spans="1:20" hidden="1" x14ac:dyDescent="0.3">
      <c r="A808" s="1">
        <v>45215</v>
      </c>
      <c r="B808" s="2" t="s">
        <v>40</v>
      </c>
      <c r="C808" s="2" t="s">
        <v>136</v>
      </c>
      <c r="D808" s="2" t="s">
        <v>88</v>
      </c>
      <c r="E808" s="2" t="s">
        <v>89</v>
      </c>
      <c r="F808" s="2" t="s">
        <v>39</v>
      </c>
      <c r="G808">
        <v>82</v>
      </c>
      <c r="H808">
        <v>580</v>
      </c>
      <c r="I808">
        <v>15</v>
      </c>
      <c r="J808" s="3">
        <v>5468200</v>
      </c>
      <c r="K808" s="3">
        <v>82023000</v>
      </c>
      <c r="L808" s="2" t="s">
        <v>25</v>
      </c>
      <c r="M808" s="2" t="s">
        <v>26</v>
      </c>
      <c r="N808">
        <v>2023</v>
      </c>
      <c r="O808" s="2" t="s">
        <v>152</v>
      </c>
      <c r="P808" s="2" t="s">
        <v>153</v>
      </c>
      <c r="Q808">
        <v>10</v>
      </c>
      <c r="R808" s="4">
        <v>45200</v>
      </c>
      <c r="S808" s="3">
        <v>5468200</v>
      </c>
      <c r="T808" s="3">
        <v>8.1999999999999993</v>
      </c>
    </row>
    <row r="809" spans="1:20" hidden="1" x14ac:dyDescent="0.3">
      <c r="A809" s="1">
        <v>45216</v>
      </c>
      <c r="B809" s="2" t="s">
        <v>29</v>
      </c>
      <c r="C809" s="2" t="s">
        <v>65</v>
      </c>
      <c r="D809" s="2" t="s">
        <v>70</v>
      </c>
      <c r="E809" s="2" t="s">
        <v>71</v>
      </c>
      <c r="F809" s="2" t="s">
        <v>24</v>
      </c>
      <c r="G809">
        <v>50</v>
      </c>
      <c r="H809">
        <v>46</v>
      </c>
      <c r="I809">
        <v>58</v>
      </c>
      <c r="J809" s="3">
        <v>2043500</v>
      </c>
      <c r="K809" s="3">
        <v>118523000</v>
      </c>
      <c r="L809" s="2" t="s">
        <v>33</v>
      </c>
      <c r="M809" s="2" t="s">
        <v>26</v>
      </c>
      <c r="N809">
        <v>2023</v>
      </c>
      <c r="O809" s="2" t="s">
        <v>152</v>
      </c>
      <c r="P809" s="2" t="s">
        <v>153</v>
      </c>
      <c r="Q809">
        <v>10</v>
      </c>
      <c r="R809" s="4">
        <v>45200</v>
      </c>
      <c r="S809" s="3">
        <v>2043500</v>
      </c>
      <c r="T809" s="3">
        <v>11.85</v>
      </c>
    </row>
    <row r="810" spans="1:20" hidden="1" x14ac:dyDescent="0.3">
      <c r="A810" s="1">
        <v>45216</v>
      </c>
      <c r="B810" s="2" t="s">
        <v>108</v>
      </c>
      <c r="C810" s="2" t="s">
        <v>131</v>
      </c>
      <c r="D810" s="2" t="s">
        <v>94</v>
      </c>
      <c r="E810" s="2" t="s">
        <v>140</v>
      </c>
      <c r="F810" s="2" t="s">
        <v>24</v>
      </c>
      <c r="G810">
        <v>35</v>
      </c>
      <c r="H810">
        <v>32</v>
      </c>
      <c r="I810">
        <v>49</v>
      </c>
      <c r="J810" s="3">
        <v>2049800</v>
      </c>
      <c r="K810" s="3">
        <v>100440200</v>
      </c>
      <c r="L810" s="2" t="s">
        <v>33</v>
      </c>
      <c r="M810" s="2" t="s">
        <v>26</v>
      </c>
      <c r="N810">
        <v>2023</v>
      </c>
      <c r="O810" s="2" t="s">
        <v>152</v>
      </c>
      <c r="P810" s="2" t="s">
        <v>153</v>
      </c>
      <c r="Q810">
        <v>10</v>
      </c>
      <c r="R810" s="4">
        <v>45200</v>
      </c>
      <c r="S810" s="3">
        <v>2049800</v>
      </c>
      <c r="T810" s="3">
        <v>10.039999999999999</v>
      </c>
    </row>
    <row r="811" spans="1:20" hidden="1" x14ac:dyDescent="0.3">
      <c r="A811" s="1">
        <v>45216</v>
      </c>
      <c r="B811" s="2" t="s">
        <v>48</v>
      </c>
      <c r="C811" s="2" t="s">
        <v>49</v>
      </c>
      <c r="D811" s="2" t="s">
        <v>63</v>
      </c>
      <c r="E811" s="2" t="s">
        <v>64</v>
      </c>
      <c r="F811" s="2" t="s">
        <v>24</v>
      </c>
      <c r="G811">
        <v>3</v>
      </c>
      <c r="H811">
        <v>127</v>
      </c>
      <c r="I811">
        <v>92</v>
      </c>
      <c r="J811" s="3">
        <v>182700</v>
      </c>
      <c r="K811" s="3">
        <v>16808400</v>
      </c>
      <c r="L811" s="2" t="s">
        <v>33</v>
      </c>
      <c r="M811" s="2" t="s">
        <v>26</v>
      </c>
      <c r="N811">
        <v>2023</v>
      </c>
      <c r="O811" s="2" t="s">
        <v>152</v>
      </c>
      <c r="P811" s="2" t="s">
        <v>153</v>
      </c>
      <c r="Q811">
        <v>10</v>
      </c>
      <c r="R811" s="4">
        <v>45200</v>
      </c>
      <c r="S811" s="3">
        <v>182700</v>
      </c>
      <c r="T811" s="3">
        <v>1.68</v>
      </c>
    </row>
    <row r="812" spans="1:20" hidden="1" x14ac:dyDescent="0.3">
      <c r="A812" s="1">
        <v>45217</v>
      </c>
      <c r="B812" s="2" t="s">
        <v>106</v>
      </c>
      <c r="C812" s="2" t="s">
        <v>119</v>
      </c>
      <c r="D812" s="2" t="s">
        <v>42</v>
      </c>
      <c r="E812" s="2" t="s">
        <v>43</v>
      </c>
      <c r="F812" s="2" t="s">
        <v>24</v>
      </c>
      <c r="G812">
        <v>3</v>
      </c>
      <c r="H812">
        <v>135</v>
      </c>
      <c r="I812">
        <v>162</v>
      </c>
      <c r="J812" s="3">
        <v>103400</v>
      </c>
      <c r="K812" s="3">
        <v>16750800</v>
      </c>
      <c r="L812" s="2" t="s">
        <v>33</v>
      </c>
      <c r="M812" s="2" t="s">
        <v>77</v>
      </c>
      <c r="N812">
        <v>2023</v>
      </c>
      <c r="O812" s="2" t="s">
        <v>152</v>
      </c>
      <c r="P812" s="2" t="s">
        <v>153</v>
      </c>
      <c r="Q812">
        <v>10</v>
      </c>
      <c r="R812" s="4">
        <v>45200</v>
      </c>
      <c r="S812" s="3">
        <v>103400</v>
      </c>
      <c r="T812" s="3">
        <v>1.68</v>
      </c>
    </row>
    <row r="813" spans="1:20" hidden="1" x14ac:dyDescent="0.3">
      <c r="A813" s="1">
        <v>45218</v>
      </c>
      <c r="B813" s="2" t="s">
        <v>75</v>
      </c>
      <c r="C813" s="2" t="s">
        <v>134</v>
      </c>
      <c r="D813" s="2" t="s">
        <v>67</v>
      </c>
      <c r="E813" s="2" t="s">
        <v>68</v>
      </c>
      <c r="F813" s="2" t="s">
        <v>24</v>
      </c>
      <c r="G813">
        <v>66</v>
      </c>
      <c r="H813">
        <v>440</v>
      </c>
      <c r="I813">
        <v>77</v>
      </c>
      <c r="J813" s="3">
        <v>5964700</v>
      </c>
      <c r="K813" s="3">
        <v>459281900</v>
      </c>
      <c r="L813" s="2" t="s">
        <v>33</v>
      </c>
      <c r="M813" s="2" t="s">
        <v>26</v>
      </c>
      <c r="N813">
        <v>2023</v>
      </c>
      <c r="O813" s="2" t="s">
        <v>152</v>
      </c>
      <c r="P813" s="2" t="s">
        <v>153</v>
      </c>
      <c r="Q813">
        <v>10</v>
      </c>
      <c r="R813" s="4">
        <v>45200</v>
      </c>
      <c r="S813" s="3">
        <v>5964700</v>
      </c>
      <c r="T813" s="3">
        <v>45.93</v>
      </c>
    </row>
    <row r="814" spans="1:20" hidden="1" x14ac:dyDescent="0.3">
      <c r="A814" s="1">
        <v>45218</v>
      </c>
      <c r="B814" s="2" t="s">
        <v>40</v>
      </c>
      <c r="C814" s="2" t="s">
        <v>136</v>
      </c>
      <c r="D814" s="2" t="s">
        <v>57</v>
      </c>
      <c r="E814" s="2" t="s">
        <v>58</v>
      </c>
      <c r="F814" s="2" t="s">
        <v>24</v>
      </c>
      <c r="G814">
        <v>72</v>
      </c>
      <c r="H814">
        <v>488</v>
      </c>
      <c r="I814">
        <v>34</v>
      </c>
      <c r="J814" s="3">
        <v>5569000</v>
      </c>
      <c r="K814" s="3">
        <v>189346000</v>
      </c>
      <c r="L814" s="2" t="s">
        <v>33</v>
      </c>
      <c r="M814" s="2" t="s">
        <v>34</v>
      </c>
      <c r="N814">
        <v>2023</v>
      </c>
      <c r="O814" s="2" t="s">
        <v>152</v>
      </c>
      <c r="P814" s="2" t="s">
        <v>153</v>
      </c>
      <c r="Q814">
        <v>10</v>
      </c>
      <c r="R814" s="4">
        <v>45200</v>
      </c>
      <c r="S814" s="3">
        <v>5569000</v>
      </c>
      <c r="T814" s="3">
        <v>18.93</v>
      </c>
    </row>
    <row r="815" spans="1:20" hidden="1" x14ac:dyDescent="0.3">
      <c r="A815" s="1">
        <v>45218</v>
      </c>
      <c r="B815" s="2" t="s">
        <v>48</v>
      </c>
      <c r="C815" s="2" t="s">
        <v>73</v>
      </c>
      <c r="D815" s="2" t="s">
        <v>82</v>
      </c>
      <c r="E815" s="2" t="s">
        <v>141</v>
      </c>
      <c r="F815" s="2" t="s">
        <v>72</v>
      </c>
      <c r="G815">
        <v>59</v>
      </c>
      <c r="H815">
        <v>55</v>
      </c>
      <c r="I815">
        <v>75</v>
      </c>
      <c r="J815" s="3">
        <v>2713300</v>
      </c>
      <c r="K815" s="3">
        <v>203497500</v>
      </c>
      <c r="L815" s="2" t="s">
        <v>33</v>
      </c>
      <c r="M815" s="2" t="s">
        <v>26</v>
      </c>
      <c r="N815">
        <v>2023</v>
      </c>
      <c r="O815" s="2" t="s">
        <v>152</v>
      </c>
      <c r="P815" s="2" t="s">
        <v>153</v>
      </c>
      <c r="Q815">
        <v>10</v>
      </c>
      <c r="R815" s="4">
        <v>45200</v>
      </c>
      <c r="S815" s="3">
        <v>2713300</v>
      </c>
      <c r="T815" s="3">
        <v>20.350000000000001</v>
      </c>
    </row>
    <row r="816" spans="1:20" hidden="1" x14ac:dyDescent="0.3">
      <c r="A816" s="1">
        <v>45218</v>
      </c>
      <c r="B816" s="2" t="s">
        <v>29</v>
      </c>
      <c r="C816" s="2" t="s">
        <v>30</v>
      </c>
      <c r="D816" s="2" t="s">
        <v>94</v>
      </c>
      <c r="E816" s="2" t="s">
        <v>95</v>
      </c>
      <c r="F816" s="2" t="s">
        <v>24</v>
      </c>
      <c r="G816">
        <v>40</v>
      </c>
      <c r="H816">
        <v>30</v>
      </c>
      <c r="I816">
        <v>67</v>
      </c>
      <c r="J816" s="3">
        <v>2419700</v>
      </c>
      <c r="K816" s="3">
        <v>162119900</v>
      </c>
      <c r="L816" s="2" t="s">
        <v>33</v>
      </c>
      <c r="M816" s="2" t="s">
        <v>26</v>
      </c>
      <c r="N816">
        <v>2023</v>
      </c>
      <c r="O816" s="2" t="s">
        <v>152</v>
      </c>
      <c r="P816" s="2" t="s">
        <v>153</v>
      </c>
      <c r="Q816">
        <v>10</v>
      </c>
      <c r="R816" s="4">
        <v>45200</v>
      </c>
      <c r="S816" s="3">
        <v>2419700</v>
      </c>
      <c r="T816" s="3">
        <v>16.21</v>
      </c>
    </row>
    <row r="817" spans="1:20" hidden="1" x14ac:dyDescent="0.3">
      <c r="A817" s="1">
        <v>45219</v>
      </c>
      <c r="B817" s="2" t="s">
        <v>35</v>
      </c>
      <c r="C817" s="2" t="s">
        <v>132</v>
      </c>
      <c r="D817" s="2" t="s">
        <v>100</v>
      </c>
      <c r="E817" s="2" t="s">
        <v>101</v>
      </c>
      <c r="F817" s="2" t="s">
        <v>24</v>
      </c>
      <c r="G817">
        <v>3</v>
      </c>
      <c r="H817">
        <v>150</v>
      </c>
      <c r="I817">
        <v>51</v>
      </c>
      <c r="J817" s="3">
        <v>157800</v>
      </c>
      <c r="K817" s="3">
        <v>8047800</v>
      </c>
      <c r="L817" s="2" t="s">
        <v>33</v>
      </c>
      <c r="M817" s="2" t="s">
        <v>26</v>
      </c>
      <c r="N817">
        <v>2023</v>
      </c>
      <c r="O817" s="2" t="s">
        <v>152</v>
      </c>
      <c r="P817" s="2" t="s">
        <v>153</v>
      </c>
      <c r="Q817">
        <v>10</v>
      </c>
      <c r="R817" s="4">
        <v>45200</v>
      </c>
      <c r="S817" s="3">
        <v>157800</v>
      </c>
      <c r="T817" s="3">
        <v>0.8</v>
      </c>
    </row>
    <row r="818" spans="1:20" hidden="1" x14ac:dyDescent="0.3">
      <c r="A818" s="1">
        <v>45219</v>
      </c>
      <c r="B818" s="2" t="s">
        <v>84</v>
      </c>
      <c r="C818" s="2" t="s">
        <v>113</v>
      </c>
      <c r="D818" s="2" t="s">
        <v>54</v>
      </c>
      <c r="E818" s="2" t="s">
        <v>55</v>
      </c>
      <c r="F818" s="2" t="s">
        <v>39</v>
      </c>
      <c r="G818">
        <v>30</v>
      </c>
      <c r="H818">
        <v>320</v>
      </c>
      <c r="I818">
        <v>16</v>
      </c>
      <c r="J818" s="3">
        <v>1288300</v>
      </c>
      <c r="K818" s="3">
        <v>20612800</v>
      </c>
      <c r="L818" s="2" t="s">
        <v>25</v>
      </c>
      <c r="M818" s="2" t="s">
        <v>26</v>
      </c>
      <c r="N818">
        <v>2023</v>
      </c>
      <c r="O818" s="2" t="s">
        <v>152</v>
      </c>
      <c r="P818" s="2" t="s">
        <v>153</v>
      </c>
      <c r="Q818">
        <v>10</v>
      </c>
      <c r="R818" s="4">
        <v>45200</v>
      </c>
      <c r="S818" s="3">
        <v>1288300</v>
      </c>
      <c r="T818" s="3">
        <v>2.06</v>
      </c>
    </row>
    <row r="819" spans="1:20" hidden="1" x14ac:dyDescent="0.3">
      <c r="A819" s="1">
        <v>45219</v>
      </c>
      <c r="B819" s="2" t="s">
        <v>35</v>
      </c>
      <c r="C819" s="2" t="s">
        <v>36</v>
      </c>
      <c r="D819" s="2" t="s">
        <v>42</v>
      </c>
      <c r="E819" s="2" t="s">
        <v>43</v>
      </c>
      <c r="F819" s="2" t="s">
        <v>24</v>
      </c>
      <c r="G819">
        <v>3</v>
      </c>
      <c r="H819">
        <v>135</v>
      </c>
      <c r="I819">
        <v>175</v>
      </c>
      <c r="J819" s="3">
        <v>120400</v>
      </c>
      <c r="K819" s="3">
        <v>21070000</v>
      </c>
      <c r="L819" s="2" t="s">
        <v>33</v>
      </c>
      <c r="M819" s="2" t="s">
        <v>26</v>
      </c>
      <c r="N819">
        <v>2023</v>
      </c>
      <c r="O819" s="2" t="s">
        <v>152</v>
      </c>
      <c r="P819" s="2" t="s">
        <v>153</v>
      </c>
      <c r="Q819">
        <v>10</v>
      </c>
      <c r="R819" s="4">
        <v>45200</v>
      </c>
      <c r="S819" s="3">
        <v>120400</v>
      </c>
      <c r="T819" s="3">
        <v>2.11</v>
      </c>
    </row>
    <row r="820" spans="1:20" hidden="1" x14ac:dyDescent="0.3">
      <c r="A820" s="1">
        <v>45219</v>
      </c>
      <c r="B820" s="2" t="s">
        <v>59</v>
      </c>
      <c r="C820" s="2" t="s">
        <v>81</v>
      </c>
      <c r="D820" s="2" t="s">
        <v>88</v>
      </c>
      <c r="E820" s="2" t="s">
        <v>111</v>
      </c>
      <c r="F820" s="2" t="s">
        <v>24</v>
      </c>
      <c r="G820">
        <v>60</v>
      </c>
      <c r="H820">
        <v>480</v>
      </c>
      <c r="I820">
        <v>22</v>
      </c>
      <c r="J820" s="3">
        <v>3270000</v>
      </c>
      <c r="K820" s="3">
        <v>71940000</v>
      </c>
      <c r="L820" s="2" t="s">
        <v>25</v>
      </c>
      <c r="M820" s="2" t="s">
        <v>26</v>
      </c>
      <c r="N820">
        <v>2023</v>
      </c>
      <c r="O820" s="2" t="s">
        <v>152</v>
      </c>
      <c r="P820" s="2" t="s">
        <v>153</v>
      </c>
      <c r="Q820">
        <v>10</v>
      </c>
      <c r="R820" s="4">
        <v>45200</v>
      </c>
      <c r="S820" s="3">
        <v>3270000</v>
      </c>
      <c r="T820" s="3">
        <v>7.19</v>
      </c>
    </row>
    <row r="821" spans="1:20" hidden="1" x14ac:dyDescent="0.3">
      <c r="A821" s="1">
        <v>45219</v>
      </c>
      <c r="B821" s="2" t="s">
        <v>46</v>
      </c>
      <c r="C821" s="2" t="s">
        <v>56</v>
      </c>
      <c r="D821" s="2" t="s">
        <v>22</v>
      </c>
      <c r="E821" s="2" t="s">
        <v>23</v>
      </c>
      <c r="F821" s="2" t="s">
        <v>24</v>
      </c>
      <c r="G821">
        <v>82</v>
      </c>
      <c r="H821">
        <v>520</v>
      </c>
      <c r="I821">
        <v>24</v>
      </c>
      <c r="J821" s="3">
        <v>6241400</v>
      </c>
      <c r="K821" s="3">
        <v>149793600</v>
      </c>
      <c r="L821" s="2" t="s">
        <v>25</v>
      </c>
      <c r="M821" s="2" t="s">
        <v>77</v>
      </c>
      <c r="N821">
        <v>2023</v>
      </c>
      <c r="O821" s="2" t="s">
        <v>152</v>
      </c>
      <c r="P821" s="2" t="s">
        <v>153</v>
      </c>
      <c r="Q821">
        <v>10</v>
      </c>
      <c r="R821" s="4">
        <v>45200</v>
      </c>
      <c r="S821" s="3">
        <v>6241400</v>
      </c>
      <c r="T821" s="3">
        <v>14.98</v>
      </c>
    </row>
    <row r="822" spans="1:20" hidden="1" x14ac:dyDescent="0.3">
      <c r="A822" s="1">
        <v>45220</v>
      </c>
      <c r="B822" s="2" t="s">
        <v>29</v>
      </c>
      <c r="C822" s="2" t="s">
        <v>96</v>
      </c>
      <c r="D822" s="2" t="s">
        <v>57</v>
      </c>
      <c r="E822" s="2" t="s">
        <v>86</v>
      </c>
      <c r="F822" s="2" t="s">
        <v>24</v>
      </c>
      <c r="G822">
        <v>48</v>
      </c>
      <c r="H822">
        <v>39</v>
      </c>
      <c r="I822">
        <v>52</v>
      </c>
      <c r="J822" s="3">
        <v>2117200</v>
      </c>
      <c r="K822" s="3">
        <v>110094400</v>
      </c>
      <c r="L822" s="2" t="s">
        <v>92</v>
      </c>
      <c r="M822" s="2" t="s">
        <v>34</v>
      </c>
      <c r="N822">
        <v>2023</v>
      </c>
      <c r="O822" s="2" t="s">
        <v>152</v>
      </c>
      <c r="P822" s="2" t="s">
        <v>153</v>
      </c>
      <c r="Q822">
        <v>10</v>
      </c>
      <c r="R822" s="4">
        <v>45200</v>
      </c>
      <c r="S822" s="3">
        <v>2117200</v>
      </c>
      <c r="T822" s="3">
        <v>11.01</v>
      </c>
    </row>
    <row r="823" spans="1:20" hidden="1" x14ac:dyDescent="0.3">
      <c r="A823" s="1">
        <v>45220</v>
      </c>
      <c r="B823" s="2" t="s">
        <v>48</v>
      </c>
      <c r="C823" s="2" t="s">
        <v>69</v>
      </c>
      <c r="D823" s="2" t="s">
        <v>67</v>
      </c>
      <c r="E823" s="2" t="s">
        <v>118</v>
      </c>
      <c r="F823" s="2" t="s">
        <v>138</v>
      </c>
      <c r="G823">
        <v>84</v>
      </c>
      <c r="H823">
        <v>590</v>
      </c>
      <c r="I823">
        <v>18</v>
      </c>
      <c r="J823" s="3">
        <v>8793100</v>
      </c>
      <c r="K823" s="3">
        <v>158275800</v>
      </c>
      <c r="L823" s="2" t="s">
        <v>33</v>
      </c>
      <c r="M823" s="2" t="s">
        <v>77</v>
      </c>
      <c r="N823">
        <v>2023</v>
      </c>
      <c r="O823" s="2" t="s">
        <v>152</v>
      </c>
      <c r="P823" s="2" t="s">
        <v>153</v>
      </c>
      <c r="Q823">
        <v>10</v>
      </c>
      <c r="R823" s="4">
        <v>45200</v>
      </c>
      <c r="S823" s="3">
        <v>8793100</v>
      </c>
      <c r="T823" s="3">
        <v>15.83</v>
      </c>
    </row>
    <row r="824" spans="1:20" hidden="1" x14ac:dyDescent="0.3">
      <c r="A824" s="1">
        <v>45220</v>
      </c>
      <c r="B824" s="2" t="s">
        <v>44</v>
      </c>
      <c r="C824" s="2" t="s">
        <v>117</v>
      </c>
      <c r="D824" s="2" t="s">
        <v>63</v>
      </c>
      <c r="E824" s="2" t="s">
        <v>64</v>
      </c>
      <c r="F824" s="2" t="s">
        <v>24</v>
      </c>
      <c r="G824">
        <v>3</v>
      </c>
      <c r="H824">
        <v>127</v>
      </c>
      <c r="I824">
        <v>55</v>
      </c>
      <c r="J824" s="3">
        <v>163000</v>
      </c>
      <c r="K824" s="3">
        <v>8965000</v>
      </c>
      <c r="L824" s="2" t="s">
        <v>33</v>
      </c>
      <c r="M824" s="2" t="s">
        <v>26</v>
      </c>
      <c r="N824">
        <v>2023</v>
      </c>
      <c r="O824" s="2" t="s">
        <v>152</v>
      </c>
      <c r="P824" s="2" t="s">
        <v>153</v>
      </c>
      <c r="Q824">
        <v>10</v>
      </c>
      <c r="R824" s="4">
        <v>45200</v>
      </c>
      <c r="S824" s="3">
        <v>163000</v>
      </c>
      <c r="T824" s="3">
        <v>0.9</v>
      </c>
    </row>
    <row r="825" spans="1:20" hidden="1" x14ac:dyDescent="0.3">
      <c r="A825" s="1">
        <v>45220</v>
      </c>
      <c r="B825" s="2" t="s">
        <v>48</v>
      </c>
      <c r="C825" s="2" t="s">
        <v>49</v>
      </c>
      <c r="D825" s="2" t="s">
        <v>70</v>
      </c>
      <c r="E825" s="2" t="s">
        <v>74</v>
      </c>
      <c r="F825" s="2" t="s">
        <v>24</v>
      </c>
      <c r="G825">
        <v>25</v>
      </c>
      <c r="H825">
        <v>32</v>
      </c>
      <c r="I825">
        <v>102</v>
      </c>
      <c r="J825" s="3">
        <v>1256500</v>
      </c>
      <c r="K825" s="3">
        <v>128163000</v>
      </c>
      <c r="L825" s="2" t="s">
        <v>33</v>
      </c>
      <c r="M825" s="2" t="s">
        <v>26</v>
      </c>
      <c r="N825">
        <v>2023</v>
      </c>
      <c r="O825" s="2" t="s">
        <v>152</v>
      </c>
      <c r="P825" s="2" t="s">
        <v>153</v>
      </c>
      <c r="Q825">
        <v>10</v>
      </c>
      <c r="R825" s="4">
        <v>45200</v>
      </c>
      <c r="S825" s="3">
        <v>1256500</v>
      </c>
      <c r="T825" s="3">
        <v>12.82</v>
      </c>
    </row>
    <row r="826" spans="1:20" hidden="1" x14ac:dyDescent="0.3">
      <c r="A826" s="1">
        <v>45220</v>
      </c>
      <c r="B826" s="2" t="s">
        <v>59</v>
      </c>
      <c r="C826" s="2" t="s">
        <v>81</v>
      </c>
      <c r="D826" s="2" t="s">
        <v>57</v>
      </c>
      <c r="E826" s="2" t="s">
        <v>86</v>
      </c>
      <c r="F826" s="2" t="s">
        <v>72</v>
      </c>
      <c r="G826">
        <v>48</v>
      </c>
      <c r="H826">
        <v>39</v>
      </c>
      <c r="I826">
        <v>77</v>
      </c>
      <c r="J826" s="3">
        <v>2125900</v>
      </c>
      <c r="K826" s="3">
        <v>163694300</v>
      </c>
      <c r="L826" s="2" t="s">
        <v>33</v>
      </c>
      <c r="M826" s="2" t="s">
        <v>26</v>
      </c>
      <c r="N826">
        <v>2023</v>
      </c>
      <c r="O826" s="2" t="s">
        <v>152</v>
      </c>
      <c r="P826" s="2" t="s">
        <v>153</v>
      </c>
      <c r="Q826">
        <v>10</v>
      </c>
      <c r="R826" s="4">
        <v>45200</v>
      </c>
      <c r="S826" s="3">
        <v>2125900</v>
      </c>
      <c r="T826" s="3">
        <v>16.37</v>
      </c>
    </row>
    <row r="827" spans="1:20" hidden="1" x14ac:dyDescent="0.3">
      <c r="A827" s="1">
        <v>45220</v>
      </c>
      <c r="B827" s="2" t="s">
        <v>75</v>
      </c>
      <c r="C827" s="2" t="s">
        <v>122</v>
      </c>
      <c r="D827" s="2" t="s">
        <v>50</v>
      </c>
      <c r="E827" s="2" t="s">
        <v>51</v>
      </c>
      <c r="F827" s="2" t="s">
        <v>24</v>
      </c>
      <c r="G827">
        <v>77</v>
      </c>
      <c r="H827">
        <v>528</v>
      </c>
      <c r="I827">
        <v>38</v>
      </c>
      <c r="J827" s="3">
        <v>5662900</v>
      </c>
      <c r="K827" s="3">
        <v>215190200</v>
      </c>
      <c r="L827" s="2" t="s">
        <v>33</v>
      </c>
      <c r="M827" s="2" t="s">
        <v>26</v>
      </c>
      <c r="N827">
        <v>2023</v>
      </c>
      <c r="O827" s="2" t="s">
        <v>152</v>
      </c>
      <c r="P827" s="2" t="s">
        <v>153</v>
      </c>
      <c r="Q827">
        <v>10</v>
      </c>
      <c r="R827" s="4">
        <v>45200</v>
      </c>
      <c r="S827" s="3">
        <v>5662900</v>
      </c>
      <c r="T827" s="3">
        <v>21.52</v>
      </c>
    </row>
    <row r="828" spans="1:20" hidden="1" x14ac:dyDescent="0.3">
      <c r="A828" s="1">
        <v>45220</v>
      </c>
      <c r="B828" s="2" t="s">
        <v>35</v>
      </c>
      <c r="C828" s="2" t="s">
        <v>121</v>
      </c>
      <c r="D828" s="2" t="s">
        <v>57</v>
      </c>
      <c r="E828" s="2" t="s">
        <v>58</v>
      </c>
      <c r="F828" s="2" t="s">
        <v>72</v>
      </c>
      <c r="G828">
        <v>72</v>
      </c>
      <c r="H828">
        <v>488</v>
      </c>
      <c r="I828">
        <v>44</v>
      </c>
      <c r="J828" s="3">
        <v>5255700</v>
      </c>
      <c r="K828" s="3">
        <v>231250800</v>
      </c>
      <c r="L828" s="2" t="s">
        <v>33</v>
      </c>
      <c r="M828" s="2" t="s">
        <v>77</v>
      </c>
      <c r="N828">
        <v>2023</v>
      </c>
      <c r="O828" s="2" t="s">
        <v>152</v>
      </c>
      <c r="P828" s="2" t="s">
        <v>153</v>
      </c>
      <c r="Q828">
        <v>10</v>
      </c>
      <c r="R828" s="4">
        <v>45200</v>
      </c>
      <c r="S828" s="3">
        <v>5255700</v>
      </c>
      <c r="T828" s="3">
        <v>23.13</v>
      </c>
    </row>
    <row r="829" spans="1:20" hidden="1" x14ac:dyDescent="0.3">
      <c r="A829" s="1">
        <v>45221</v>
      </c>
      <c r="B829" s="2" t="s">
        <v>48</v>
      </c>
      <c r="C829" s="2" t="s">
        <v>98</v>
      </c>
      <c r="D829" s="2" t="s">
        <v>67</v>
      </c>
      <c r="E829" s="2" t="s">
        <v>118</v>
      </c>
      <c r="F829" s="2" t="s">
        <v>24</v>
      </c>
      <c r="G829">
        <v>84</v>
      </c>
      <c r="H829">
        <v>590</v>
      </c>
      <c r="I829">
        <v>57</v>
      </c>
      <c r="J829" s="3">
        <v>7104700</v>
      </c>
      <c r="K829" s="3">
        <v>404967900</v>
      </c>
      <c r="L829" s="2" t="s">
        <v>25</v>
      </c>
      <c r="M829" s="2" t="s">
        <v>26</v>
      </c>
      <c r="N829">
        <v>2023</v>
      </c>
      <c r="O829" s="2" t="s">
        <v>152</v>
      </c>
      <c r="P829" s="2" t="s">
        <v>153</v>
      </c>
      <c r="Q829">
        <v>10</v>
      </c>
      <c r="R829" s="4">
        <v>45200</v>
      </c>
      <c r="S829" s="3">
        <v>7104700</v>
      </c>
      <c r="T829" s="3">
        <v>40.5</v>
      </c>
    </row>
    <row r="830" spans="1:20" hidden="1" x14ac:dyDescent="0.3">
      <c r="A830" s="1">
        <v>45221</v>
      </c>
      <c r="B830" s="2" t="s">
        <v>48</v>
      </c>
      <c r="C830" s="2" t="s">
        <v>73</v>
      </c>
      <c r="D830" s="2" t="s">
        <v>100</v>
      </c>
      <c r="E830" s="2" t="s">
        <v>101</v>
      </c>
      <c r="F830" s="2" t="s">
        <v>24</v>
      </c>
      <c r="G830">
        <v>3</v>
      </c>
      <c r="H830">
        <v>150</v>
      </c>
      <c r="I830">
        <v>10</v>
      </c>
      <c r="J830" s="3">
        <v>131100</v>
      </c>
      <c r="K830" s="3">
        <v>1311000</v>
      </c>
      <c r="L830" s="2" t="s">
        <v>33</v>
      </c>
      <c r="M830" s="2" t="s">
        <v>77</v>
      </c>
      <c r="N830">
        <v>2023</v>
      </c>
      <c r="O830" s="2" t="s">
        <v>152</v>
      </c>
      <c r="P830" s="2" t="s">
        <v>153</v>
      </c>
      <c r="Q830">
        <v>10</v>
      </c>
      <c r="R830" s="4">
        <v>45200</v>
      </c>
      <c r="S830" s="3">
        <v>131100</v>
      </c>
      <c r="T830" s="3">
        <v>0.13</v>
      </c>
    </row>
    <row r="831" spans="1:20" hidden="1" x14ac:dyDescent="0.3">
      <c r="A831" s="1">
        <v>45222</v>
      </c>
      <c r="B831" s="2" t="s">
        <v>48</v>
      </c>
      <c r="C831" s="2" t="s">
        <v>98</v>
      </c>
      <c r="D831" s="2" t="s">
        <v>57</v>
      </c>
      <c r="E831" s="2" t="s">
        <v>86</v>
      </c>
      <c r="F831" s="2" t="s">
        <v>39</v>
      </c>
      <c r="G831">
        <v>48</v>
      </c>
      <c r="H831">
        <v>39</v>
      </c>
      <c r="I831">
        <v>63</v>
      </c>
      <c r="J831" s="3">
        <v>2477200</v>
      </c>
      <c r="K831" s="3">
        <v>156063600</v>
      </c>
      <c r="L831" s="2" t="s">
        <v>33</v>
      </c>
      <c r="M831" s="2" t="s">
        <v>77</v>
      </c>
      <c r="N831">
        <v>2023</v>
      </c>
      <c r="O831" s="2" t="s">
        <v>152</v>
      </c>
      <c r="P831" s="2" t="s">
        <v>153</v>
      </c>
      <c r="Q831">
        <v>10</v>
      </c>
      <c r="R831" s="4">
        <v>45200</v>
      </c>
      <c r="S831" s="3">
        <v>2477200</v>
      </c>
      <c r="T831" s="3">
        <v>15.61</v>
      </c>
    </row>
    <row r="832" spans="1:20" hidden="1" x14ac:dyDescent="0.3">
      <c r="A832" s="1">
        <v>45223</v>
      </c>
      <c r="B832" s="2" t="s">
        <v>48</v>
      </c>
      <c r="C832" s="2" t="s">
        <v>69</v>
      </c>
      <c r="D832" s="2" t="s">
        <v>79</v>
      </c>
      <c r="E832" s="2" t="s">
        <v>80</v>
      </c>
      <c r="F832" s="2" t="s">
        <v>24</v>
      </c>
      <c r="G832">
        <v>69</v>
      </c>
      <c r="H832">
        <v>418</v>
      </c>
      <c r="I832">
        <v>51</v>
      </c>
      <c r="J832" s="3">
        <v>4860900</v>
      </c>
      <c r="K832" s="3">
        <v>247905900</v>
      </c>
      <c r="L832" s="2" t="s">
        <v>25</v>
      </c>
      <c r="M832" s="2" t="s">
        <v>26</v>
      </c>
      <c r="N832">
        <v>2023</v>
      </c>
      <c r="O832" s="2" t="s">
        <v>152</v>
      </c>
      <c r="P832" s="2" t="s">
        <v>153</v>
      </c>
      <c r="Q832">
        <v>10</v>
      </c>
      <c r="R832" s="4">
        <v>45200</v>
      </c>
      <c r="S832" s="3">
        <v>4860900</v>
      </c>
      <c r="T832" s="3">
        <v>24.79</v>
      </c>
    </row>
    <row r="833" spans="1:20" hidden="1" x14ac:dyDescent="0.3">
      <c r="A833" s="1">
        <v>45223</v>
      </c>
      <c r="B833" s="2" t="s">
        <v>48</v>
      </c>
      <c r="C833" s="2" t="s">
        <v>49</v>
      </c>
      <c r="D833" s="2" t="s">
        <v>50</v>
      </c>
      <c r="E833" s="2" t="s">
        <v>51</v>
      </c>
      <c r="F833" s="2" t="s">
        <v>24</v>
      </c>
      <c r="G833">
        <v>77</v>
      </c>
      <c r="H833">
        <v>528</v>
      </c>
      <c r="I833">
        <v>17</v>
      </c>
      <c r="J833" s="3">
        <v>4735300</v>
      </c>
      <c r="K833" s="3">
        <v>80500100</v>
      </c>
      <c r="L833" s="2" t="s">
        <v>25</v>
      </c>
      <c r="M833" s="2" t="s">
        <v>26</v>
      </c>
      <c r="N833">
        <v>2023</v>
      </c>
      <c r="O833" s="2" t="s">
        <v>152</v>
      </c>
      <c r="P833" s="2" t="s">
        <v>153</v>
      </c>
      <c r="Q833">
        <v>10</v>
      </c>
      <c r="R833" s="4">
        <v>45200</v>
      </c>
      <c r="S833" s="3">
        <v>4735300</v>
      </c>
      <c r="T833" s="3">
        <v>8.0500000000000007</v>
      </c>
    </row>
    <row r="834" spans="1:20" hidden="1" x14ac:dyDescent="0.3">
      <c r="A834" s="1">
        <v>45224</v>
      </c>
      <c r="B834" s="2" t="s">
        <v>29</v>
      </c>
      <c r="C834" s="2" t="s">
        <v>104</v>
      </c>
      <c r="D834" s="2" t="s">
        <v>79</v>
      </c>
      <c r="E834" s="2" t="s">
        <v>80</v>
      </c>
      <c r="F834" s="2" t="s">
        <v>39</v>
      </c>
      <c r="G834">
        <v>69</v>
      </c>
      <c r="H834">
        <v>418</v>
      </c>
      <c r="I834">
        <v>34</v>
      </c>
      <c r="J834" s="3">
        <v>6158900</v>
      </c>
      <c r="K834" s="3">
        <v>209402600</v>
      </c>
      <c r="L834" s="2" t="s">
        <v>25</v>
      </c>
      <c r="M834" s="2" t="s">
        <v>77</v>
      </c>
      <c r="N834">
        <v>2023</v>
      </c>
      <c r="O834" s="2" t="s">
        <v>152</v>
      </c>
      <c r="P834" s="2" t="s">
        <v>153</v>
      </c>
      <c r="Q834">
        <v>10</v>
      </c>
      <c r="R834" s="4">
        <v>45200</v>
      </c>
      <c r="S834" s="3">
        <v>6158900</v>
      </c>
      <c r="T834" s="3">
        <v>20.94</v>
      </c>
    </row>
    <row r="835" spans="1:20" hidden="1" x14ac:dyDescent="0.3">
      <c r="A835" s="1">
        <v>45224</v>
      </c>
      <c r="B835" s="2" t="s">
        <v>90</v>
      </c>
      <c r="C835" s="2" t="s">
        <v>128</v>
      </c>
      <c r="D835" s="2" t="s">
        <v>54</v>
      </c>
      <c r="E835" s="2" t="s">
        <v>55</v>
      </c>
      <c r="F835" s="2" t="s">
        <v>24</v>
      </c>
      <c r="G835">
        <v>30</v>
      </c>
      <c r="H835">
        <v>320</v>
      </c>
      <c r="I835">
        <v>39</v>
      </c>
      <c r="J835" s="3">
        <v>1618300</v>
      </c>
      <c r="K835" s="3">
        <v>63113700</v>
      </c>
      <c r="L835" s="2" t="s">
        <v>33</v>
      </c>
      <c r="M835" s="2" t="s">
        <v>26</v>
      </c>
      <c r="N835">
        <v>2023</v>
      </c>
      <c r="O835" s="2" t="s">
        <v>152</v>
      </c>
      <c r="P835" s="2" t="s">
        <v>153</v>
      </c>
      <c r="Q835">
        <v>10</v>
      </c>
      <c r="R835" s="4">
        <v>45200</v>
      </c>
      <c r="S835" s="3">
        <v>1618300</v>
      </c>
      <c r="T835" s="3">
        <v>6.31</v>
      </c>
    </row>
    <row r="836" spans="1:20" hidden="1" x14ac:dyDescent="0.3">
      <c r="A836" s="1">
        <v>45224</v>
      </c>
      <c r="B836" s="2" t="s">
        <v>35</v>
      </c>
      <c r="C836" s="2" t="s">
        <v>36</v>
      </c>
      <c r="D836" s="2" t="s">
        <v>63</v>
      </c>
      <c r="E836" s="2" t="s">
        <v>64</v>
      </c>
      <c r="F836" s="2" t="s">
        <v>24</v>
      </c>
      <c r="G836">
        <v>3</v>
      </c>
      <c r="H836">
        <v>127</v>
      </c>
      <c r="I836">
        <v>114</v>
      </c>
      <c r="J836" s="3">
        <v>155300</v>
      </c>
      <c r="K836" s="3">
        <v>17704200</v>
      </c>
      <c r="L836" s="2" t="s">
        <v>25</v>
      </c>
      <c r="M836" s="2" t="s">
        <v>26</v>
      </c>
      <c r="N836">
        <v>2023</v>
      </c>
      <c r="O836" s="2" t="s">
        <v>152</v>
      </c>
      <c r="P836" s="2" t="s">
        <v>153</v>
      </c>
      <c r="Q836">
        <v>10</v>
      </c>
      <c r="R836" s="4">
        <v>45200</v>
      </c>
      <c r="S836" s="3">
        <v>155300</v>
      </c>
      <c r="T836" s="3">
        <v>1.77</v>
      </c>
    </row>
    <row r="837" spans="1:20" hidden="1" x14ac:dyDescent="0.3">
      <c r="A837" s="1">
        <v>45225</v>
      </c>
      <c r="B837" s="2" t="s">
        <v>46</v>
      </c>
      <c r="C837" s="2" t="s">
        <v>47</v>
      </c>
      <c r="D837" s="2" t="s">
        <v>37</v>
      </c>
      <c r="E837" s="2" t="s">
        <v>38</v>
      </c>
      <c r="F837" s="2" t="s">
        <v>24</v>
      </c>
      <c r="G837">
        <v>66</v>
      </c>
      <c r="H837">
        <v>423</v>
      </c>
      <c r="I837">
        <v>52</v>
      </c>
      <c r="J837" s="3">
        <v>7851700</v>
      </c>
      <c r="K837" s="3">
        <v>408288400</v>
      </c>
      <c r="L837" s="2" t="s">
        <v>25</v>
      </c>
      <c r="M837" s="2" t="s">
        <v>77</v>
      </c>
      <c r="N837">
        <v>2023</v>
      </c>
      <c r="O837" s="2" t="s">
        <v>152</v>
      </c>
      <c r="P837" s="2" t="s">
        <v>153</v>
      </c>
      <c r="Q837">
        <v>10</v>
      </c>
      <c r="R837" s="4">
        <v>45200</v>
      </c>
      <c r="S837" s="3">
        <v>7851700</v>
      </c>
      <c r="T837" s="3">
        <v>40.83</v>
      </c>
    </row>
    <row r="838" spans="1:20" hidden="1" x14ac:dyDescent="0.3">
      <c r="A838" s="1">
        <v>45226</v>
      </c>
      <c r="B838" s="2" t="s">
        <v>75</v>
      </c>
      <c r="C838" s="2" t="s">
        <v>134</v>
      </c>
      <c r="D838" s="2" t="s">
        <v>57</v>
      </c>
      <c r="E838" s="2" t="s">
        <v>86</v>
      </c>
      <c r="F838" s="2" t="s">
        <v>39</v>
      </c>
      <c r="G838">
        <v>48</v>
      </c>
      <c r="H838">
        <v>39</v>
      </c>
      <c r="I838">
        <v>33</v>
      </c>
      <c r="J838" s="3">
        <v>2032200</v>
      </c>
      <c r="K838" s="3">
        <v>67062600</v>
      </c>
      <c r="L838" s="2" t="s">
        <v>92</v>
      </c>
      <c r="M838" s="2" t="s">
        <v>26</v>
      </c>
      <c r="N838">
        <v>2023</v>
      </c>
      <c r="O838" s="2" t="s">
        <v>152</v>
      </c>
      <c r="P838" s="2" t="s">
        <v>153</v>
      </c>
      <c r="Q838">
        <v>10</v>
      </c>
      <c r="R838" s="4">
        <v>45200</v>
      </c>
      <c r="S838" s="3">
        <v>2032200</v>
      </c>
      <c r="T838" s="3">
        <v>6.71</v>
      </c>
    </row>
    <row r="839" spans="1:20" hidden="1" x14ac:dyDescent="0.3">
      <c r="A839" s="1">
        <v>45226</v>
      </c>
      <c r="B839" s="2" t="s">
        <v>29</v>
      </c>
      <c r="C839" s="2" t="s">
        <v>96</v>
      </c>
      <c r="D839" s="2" t="s">
        <v>67</v>
      </c>
      <c r="E839" s="2" t="s">
        <v>118</v>
      </c>
      <c r="F839" s="2" t="s">
        <v>39</v>
      </c>
      <c r="G839">
        <v>84</v>
      </c>
      <c r="H839">
        <v>590</v>
      </c>
      <c r="I839">
        <v>61</v>
      </c>
      <c r="J839" s="3">
        <v>7751900</v>
      </c>
      <c r="K839" s="3">
        <v>472865900</v>
      </c>
      <c r="L839" s="2" t="s">
        <v>33</v>
      </c>
      <c r="M839" s="2" t="s">
        <v>26</v>
      </c>
      <c r="N839">
        <v>2023</v>
      </c>
      <c r="O839" s="2" t="s">
        <v>152</v>
      </c>
      <c r="P839" s="2" t="s">
        <v>153</v>
      </c>
      <c r="Q839">
        <v>10</v>
      </c>
      <c r="R839" s="4">
        <v>45200</v>
      </c>
      <c r="S839" s="3">
        <v>7751900</v>
      </c>
      <c r="T839" s="3">
        <v>47.29</v>
      </c>
    </row>
    <row r="840" spans="1:20" hidden="1" x14ac:dyDescent="0.3">
      <c r="A840" s="1">
        <v>45226</v>
      </c>
      <c r="B840" s="2" t="s">
        <v>40</v>
      </c>
      <c r="C840" s="2" t="s">
        <v>78</v>
      </c>
      <c r="D840" s="2" t="s">
        <v>63</v>
      </c>
      <c r="E840" s="2" t="s">
        <v>64</v>
      </c>
      <c r="F840" s="2" t="s">
        <v>24</v>
      </c>
      <c r="G840">
        <v>3</v>
      </c>
      <c r="H840">
        <v>127</v>
      </c>
      <c r="I840">
        <v>54</v>
      </c>
      <c r="J840" s="3">
        <v>171800</v>
      </c>
      <c r="K840" s="3">
        <v>9277200</v>
      </c>
      <c r="L840" s="2" t="s">
        <v>33</v>
      </c>
      <c r="M840" s="2" t="s">
        <v>26</v>
      </c>
      <c r="N840">
        <v>2023</v>
      </c>
      <c r="O840" s="2" t="s">
        <v>152</v>
      </c>
      <c r="P840" s="2" t="s">
        <v>153</v>
      </c>
      <c r="Q840">
        <v>10</v>
      </c>
      <c r="R840" s="4">
        <v>45200</v>
      </c>
      <c r="S840" s="3">
        <v>171800</v>
      </c>
      <c r="T840" s="3">
        <v>0.93</v>
      </c>
    </row>
    <row r="841" spans="1:20" hidden="1" x14ac:dyDescent="0.3">
      <c r="A841" s="1">
        <v>45227</v>
      </c>
      <c r="B841" s="2" t="s">
        <v>44</v>
      </c>
      <c r="C841" s="2" t="s">
        <v>142</v>
      </c>
      <c r="D841" s="2" t="s">
        <v>57</v>
      </c>
      <c r="E841" s="2" t="s">
        <v>58</v>
      </c>
      <c r="F841" s="2" t="s">
        <v>24</v>
      </c>
      <c r="G841">
        <v>72</v>
      </c>
      <c r="H841">
        <v>488</v>
      </c>
      <c r="I841">
        <v>119</v>
      </c>
      <c r="J841" s="3">
        <v>5127100</v>
      </c>
      <c r="K841" s="3">
        <v>610124900</v>
      </c>
      <c r="L841" s="2" t="s">
        <v>25</v>
      </c>
      <c r="M841" s="2" t="s">
        <v>77</v>
      </c>
      <c r="N841">
        <v>2023</v>
      </c>
      <c r="O841" s="2" t="s">
        <v>152</v>
      </c>
      <c r="P841" s="2" t="s">
        <v>153</v>
      </c>
      <c r="Q841">
        <v>10</v>
      </c>
      <c r="R841" s="4">
        <v>45200</v>
      </c>
      <c r="S841" s="3">
        <v>5127100</v>
      </c>
      <c r="T841" s="3">
        <v>61.01</v>
      </c>
    </row>
    <row r="842" spans="1:20" hidden="1" x14ac:dyDescent="0.3">
      <c r="A842" s="1">
        <v>45227</v>
      </c>
      <c r="B842" s="2" t="s">
        <v>29</v>
      </c>
      <c r="C842" s="2" t="s">
        <v>65</v>
      </c>
      <c r="D842" s="2" t="s">
        <v>54</v>
      </c>
      <c r="E842" s="2" t="s">
        <v>55</v>
      </c>
      <c r="F842" s="2" t="s">
        <v>24</v>
      </c>
      <c r="G842">
        <v>30</v>
      </c>
      <c r="H842">
        <v>320</v>
      </c>
      <c r="I842">
        <v>13</v>
      </c>
      <c r="J842" s="3">
        <v>1430700</v>
      </c>
      <c r="K842" s="3">
        <v>18599100</v>
      </c>
      <c r="L842" s="2" t="s">
        <v>33</v>
      </c>
      <c r="M842" s="2" t="s">
        <v>77</v>
      </c>
      <c r="N842">
        <v>2023</v>
      </c>
      <c r="O842" s="2" t="s">
        <v>152</v>
      </c>
      <c r="P842" s="2" t="s">
        <v>153</v>
      </c>
      <c r="Q842">
        <v>10</v>
      </c>
      <c r="R842" s="4">
        <v>45200</v>
      </c>
      <c r="S842" s="3">
        <v>1430700</v>
      </c>
      <c r="T842" s="3">
        <v>1.86</v>
      </c>
    </row>
    <row r="843" spans="1:20" hidden="1" x14ac:dyDescent="0.3">
      <c r="A843" s="1">
        <v>45227</v>
      </c>
      <c r="B843" s="2" t="s">
        <v>108</v>
      </c>
      <c r="C843" s="2" t="s">
        <v>131</v>
      </c>
      <c r="D843" s="2" t="s">
        <v>102</v>
      </c>
      <c r="E843" s="2" t="s">
        <v>103</v>
      </c>
      <c r="F843" s="2" t="s">
        <v>24</v>
      </c>
      <c r="G843">
        <v>5</v>
      </c>
      <c r="H843">
        <v>150</v>
      </c>
      <c r="I843">
        <v>17</v>
      </c>
      <c r="J843" s="3">
        <v>181100</v>
      </c>
      <c r="K843" s="3">
        <v>3078700</v>
      </c>
      <c r="L843" s="2" t="s">
        <v>25</v>
      </c>
      <c r="M843" s="2" t="s">
        <v>26</v>
      </c>
      <c r="N843">
        <v>2023</v>
      </c>
      <c r="O843" s="2" t="s">
        <v>152</v>
      </c>
      <c r="P843" s="2" t="s">
        <v>153</v>
      </c>
      <c r="Q843">
        <v>10</v>
      </c>
      <c r="R843" s="4">
        <v>45200</v>
      </c>
      <c r="S843" s="3">
        <v>181100</v>
      </c>
      <c r="T843" s="3">
        <v>0.31</v>
      </c>
    </row>
    <row r="844" spans="1:20" hidden="1" x14ac:dyDescent="0.3">
      <c r="A844" s="1">
        <v>45228</v>
      </c>
      <c r="B844" s="2" t="s">
        <v>40</v>
      </c>
      <c r="C844" s="2" t="s">
        <v>78</v>
      </c>
      <c r="D844" s="2" t="s">
        <v>82</v>
      </c>
      <c r="E844" s="2" t="s">
        <v>141</v>
      </c>
      <c r="F844" s="2" t="s">
        <v>72</v>
      </c>
      <c r="G844">
        <v>59</v>
      </c>
      <c r="H844">
        <v>55</v>
      </c>
      <c r="I844">
        <v>90</v>
      </c>
      <c r="J844" s="3">
        <v>2814700</v>
      </c>
      <c r="K844" s="3">
        <v>253323000</v>
      </c>
      <c r="L844" s="2" t="s">
        <v>33</v>
      </c>
      <c r="M844" s="2" t="s">
        <v>26</v>
      </c>
      <c r="N844">
        <v>2023</v>
      </c>
      <c r="O844" s="2" t="s">
        <v>152</v>
      </c>
      <c r="P844" s="2" t="s">
        <v>153</v>
      </c>
      <c r="Q844">
        <v>10</v>
      </c>
      <c r="R844" s="4">
        <v>45200</v>
      </c>
      <c r="S844" s="3">
        <v>2814700</v>
      </c>
      <c r="T844" s="3">
        <v>25.33</v>
      </c>
    </row>
    <row r="845" spans="1:20" hidden="1" x14ac:dyDescent="0.3">
      <c r="A845" s="1">
        <v>45228</v>
      </c>
      <c r="B845" s="2" t="s">
        <v>52</v>
      </c>
      <c r="C845" s="2" t="s">
        <v>53</v>
      </c>
      <c r="D845" s="2" t="s">
        <v>50</v>
      </c>
      <c r="E845" s="2" t="s">
        <v>51</v>
      </c>
      <c r="F845" s="2" t="s">
        <v>24</v>
      </c>
      <c r="G845">
        <v>77</v>
      </c>
      <c r="H845">
        <v>528</v>
      </c>
      <c r="I845">
        <v>34</v>
      </c>
      <c r="J845" s="3">
        <v>5314000</v>
      </c>
      <c r="K845" s="3">
        <v>180676000</v>
      </c>
      <c r="L845" s="2" t="s">
        <v>33</v>
      </c>
      <c r="M845" s="2" t="s">
        <v>97</v>
      </c>
      <c r="N845">
        <v>2023</v>
      </c>
      <c r="O845" s="2" t="s">
        <v>152</v>
      </c>
      <c r="P845" s="2" t="s">
        <v>153</v>
      </c>
      <c r="Q845">
        <v>10</v>
      </c>
      <c r="R845" s="4">
        <v>45200</v>
      </c>
      <c r="S845" s="3">
        <v>5314000</v>
      </c>
      <c r="T845" s="3">
        <v>18.07</v>
      </c>
    </row>
    <row r="846" spans="1:20" hidden="1" x14ac:dyDescent="0.3">
      <c r="A846" s="1">
        <v>45228</v>
      </c>
      <c r="B846" s="2" t="s">
        <v>108</v>
      </c>
      <c r="C846" s="2" t="s">
        <v>123</v>
      </c>
      <c r="D846" s="2" t="s">
        <v>67</v>
      </c>
      <c r="E846" s="2" t="s">
        <v>68</v>
      </c>
      <c r="F846" s="2" t="s">
        <v>24</v>
      </c>
      <c r="G846">
        <v>66</v>
      </c>
      <c r="H846">
        <v>440</v>
      </c>
      <c r="I846">
        <v>77</v>
      </c>
      <c r="J846" s="3">
        <v>6381100</v>
      </c>
      <c r="K846" s="3">
        <v>491344700</v>
      </c>
      <c r="L846" s="2" t="s">
        <v>33</v>
      </c>
      <c r="M846" s="2" t="s">
        <v>77</v>
      </c>
      <c r="N846">
        <v>2023</v>
      </c>
      <c r="O846" s="2" t="s">
        <v>152</v>
      </c>
      <c r="P846" s="2" t="s">
        <v>153</v>
      </c>
      <c r="Q846">
        <v>10</v>
      </c>
      <c r="R846" s="4">
        <v>45200</v>
      </c>
      <c r="S846" s="3">
        <v>6381100</v>
      </c>
      <c r="T846" s="3">
        <v>49.13</v>
      </c>
    </row>
    <row r="847" spans="1:20" hidden="1" x14ac:dyDescent="0.3">
      <c r="A847" s="1">
        <v>45228</v>
      </c>
      <c r="B847" s="2" t="s">
        <v>90</v>
      </c>
      <c r="C847" s="2" t="s">
        <v>99</v>
      </c>
      <c r="D847" s="2" t="s">
        <v>37</v>
      </c>
      <c r="E847" s="2" t="s">
        <v>38</v>
      </c>
      <c r="F847" s="2" t="s">
        <v>24</v>
      </c>
      <c r="G847">
        <v>66</v>
      </c>
      <c r="H847">
        <v>423</v>
      </c>
      <c r="I847">
        <v>7</v>
      </c>
      <c r="J847" s="3">
        <v>7279800</v>
      </c>
      <c r="K847" s="3">
        <v>50958600</v>
      </c>
      <c r="L847" s="2" t="s">
        <v>33</v>
      </c>
      <c r="M847" s="2" t="s">
        <v>26</v>
      </c>
      <c r="N847">
        <v>2023</v>
      </c>
      <c r="O847" s="2" t="s">
        <v>152</v>
      </c>
      <c r="P847" s="2" t="s">
        <v>153</v>
      </c>
      <c r="Q847">
        <v>10</v>
      </c>
      <c r="R847" s="4">
        <v>45200</v>
      </c>
      <c r="S847" s="3">
        <v>7279800</v>
      </c>
      <c r="T847" s="3">
        <v>5.0999999999999996</v>
      </c>
    </row>
    <row r="848" spans="1:20" hidden="1" x14ac:dyDescent="0.3">
      <c r="A848" s="1">
        <v>45229</v>
      </c>
      <c r="B848" s="2" t="s">
        <v>84</v>
      </c>
      <c r="C848" s="2" t="s">
        <v>93</v>
      </c>
      <c r="D848" s="2" t="s">
        <v>22</v>
      </c>
      <c r="E848" s="2" t="s">
        <v>23</v>
      </c>
      <c r="F848" s="2" t="s">
        <v>24</v>
      </c>
      <c r="G848">
        <v>82</v>
      </c>
      <c r="H848">
        <v>520</v>
      </c>
      <c r="I848">
        <v>56</v>
      </c>
      <c r="J848" s="3">
        <v>6018500</v>
      </c>
      <c r="K848" s="3">
        <v>337036000</v>
      </c>
      <c r="L848" s="2" t="s">
        <v>33</v>
      </c>
      <c r="M848" s="2" t="s">
        <v>26</v>
      </c>
      <c r="N848">
        <v>2023</v>
      </c>
      <c r="O848" s="2" t="s">
        <v>152</v>
      </c>
      <c r="P848" s="2" t="s">
        <v>153</v>
      </c>
      <c r="Q848">
        <v>10</v>
      </c>
      <c r="R848" s="4">
        <v>45200</v>
      </c>
      <c r="S848" s="3">
        <v>6018500</v>
      </c>
      <c r="T848" s="3">
        <v>33.700000000000003</v>
      </c>
    </row>
    <row r="849" spans="1:20" hidden="1" x14ac:dyDescent="0.3">
      <c r="A849" s="1">
        <v>45229</v>
      </c>
      <c r="B849" s="2" t="s">
        <v>29</v>
      </c>
      <c r="C849" s="2" t="s">
        <v>96</v>
      </c>
      <c r="D849" s="2" t="s">
        <v>37</v>
      </c>
      <c r="E849" s="2" t="s">
        <v>38</v>
      </c>
      <c r="F849" s="2" t="s">
        <v>72</v>
      </c>
      <c r="G849">
        <v>66</v>
      </c>
      <c r="H849">
        <v>423</v>
      </c>
      <c r="I849">
        <v>54</v>
      </c>
      <c r="J849" s="3">
        <v>7644400</v>
      </c>
      <c r="K849" s="3">
        <v>412797600</v>
      </c>
      <c r="L849" s="2" t="s">
        <v>33</v>
      </c>
      <c r="M849" s="2" t="s">
        <v>26</v>
      </c>
      <c r="N849">
        <v>2023</v>
      </c>
      <c r="O849" s="2" t="s">
        <v>152</v>
      </c>
      <c r="P849" s="2" t="s">
        <v>153</v>
      </c>
      <c r="Q849">
        <v>10</v>
      </c>
      <c r="R849" s="4">
        <v>45200</v>
      </c>
      <c r="S849" s="3">
        <v>7644400</v>
      </c>
      <c r="T849" s="3">
        <v>41.28</v>
      </c>
    </row>
    <row r="850" spans="1:20" hidden="1" x14ac:dyDescent="0.3">
      <c r="A850" s="1">
        <v>45230</v>
      </c>
      <c r="B850" s="2" t="s">
        <v>106</v>
      </c>
      <c r="C850" s="2" t="s">
        <v>119</v>
      </c>
      <c r="D850" s="2" t="s">
        <v>94</v>
      </c>
      <c r="E850" s="2" t="s">
        <v>95</v>
      </c>
      <c r="F850" s="2" t="s">
        <v>39</v>
      </c>
      <c r="G850">
        <v>40</v>
      </c>
      <c r="H850">
        <v>30</v>
      </c>
      <c r="I850">
        <v>106</v>
      </c>
      <c r="J850" s="3">
        <v>2343500</v>
      </c>
      <c r="K850" s="3">
        <v>248411000</v>
      </c>
      <c r="L850" s="2" t="s">
        <v>33</v>
      </c>
      <c r="M850" s="2" t="s">
        <v>26</v>
      </c>
      <c r="N850">
        <v>2023</v>
      </c>
      <c r="O850" s="2" t="s">
        <v>152</v>
      </c>
      <c r="P850" s="2" t="s">
        <v>153</v>
      </c>
      <c r="Q850">
        <v>10</v>
      </c>
      <c r="R850" s="4">
        <v>45200</v>
      </c>
      <c r="S850" s="3">
        <v>2343500</v>
      </c>
      <c r="T850" s="3">
        <v>24.84</v>
      </c>
    </row>
    <row r="851" spans="1:20" hidden="1" x14ac:dyDescent="0.3">
      <c r="A851" s="1">
        <v>45230</v>
      </c>
      <c r="B851" s="2" t="s">
        <v>90</v>
      </c>
      <c r="C851" s="2" t="s">
        <v>114</v>
      </c>
      <c r="D851" s="2" t="s">
        <v>102</v>
      </c>
      <c r="E851" s="2" t="s">
        <v>103</v>
      </c>
      <c r="F851" s="2" t="s">
        <v>24</v>
      </c>
      <c r="G851">
        <v>5</v>
      </c>
      <c r="H851">
        <v>150</v>
      </c>
      <c r="I851">
        <v>139</v>
      </c>
      <c r="J851" s="3">
        <v>159900</v>
      </c>
      <c r="K851" s="3">
        <v>22226100</v>
      </c>
      <c r="L851" s="2" t="s">
        <v>33</v>
      </c>
      <c r="M851" s="2" t="s">
        <v>77</v>
      </c>
      <c r="N851">
        <v>2023</v>
      </c>
      <c r="O851" s="2" t="s">
        <v>152</v>
      </c>
      <c r="P851" s="2" t="s">
        <v>153</v>
      </c>
      <c r="Q851">
        <v>10</v>
      </c>
      <c r="R851" s="4">
        <v>45200</v>
      </c>
      <c r="S851" s="3">
        <v>159900</v>
      </c>
      <c r="T851" s="3">
        <v>2.2200000000000002</v>
      </c>
    </row>
    <row r="852" spans="1:20" hidden="1" x14ac:dyDescent="0.3">
      <c r="A852" s="1">
        <v>45230</v>
      </c>
      <c r="B852" s="2" t="s">
        <v>20</v>
      </c>
      <c r="C852" s="2" t="s">
        <v>21</v>
      </c>
      <c r="D852" s="2" t="s">
        <v>70</v>
      </c>
      <c r="E852" s="2" t="s">
        <v>74</v>
      </c>
      <c r="F852" s="2" t="s">
        <v>72</v>
      </c>
      <c r="G852">
        <v>25</v>
      </c>
      <c r="H852">
        <v>32</v>
      </c>
      <c r="I852">
        <v>57</v>
      </c>
      <c r="J852" s="3">
        <v>1034400</v>
      </c>
      <c r="K852" s="3">
        <v>58960800</v>
      </c>
      <c r="L852" s="2" t="s">
        <v>33</v>
      </c>
      <c r="M852" s="2" t="s">
        <v>26</v>
      </c>
      <c r="N852">
        <v>2023</v>
      </c>
      <c r="O852" s="2" t="s">
        <v>152</v>
      </c>
      <c r="P852" s="2" t="s">
        <v>153</v>
      </c>
      <c r="Q852">
        <v>10</v>
      </c>
      <c r="R852" s="4">
        <v>45200</v>
      </c>
      <c r="S852" s="3">
        <v>1034400</v>
      </c>
      <c r="T852" s="3">
        <v>5.9</v>
      </c>
    </row>
    <row r="853" spans="1:20" hidden="1" x14ac:dyDescent="0.3">
      <c r="A853" s="1">
        <v>45230</v>
      </c>
      <c r="B853" s="2" t="s">
        <v>20</v>
      </c>
      <c r="C853" s="2" t="s">
        <v>112</v>
      </c>
      <c r="D853" s="2" t="s">
        <v>82</v>
      </c>
      <c r="E853" s="2" t="s">
        <v>141</v>
      </c>
      <c r="F853" s="2" t="s">
        <v>24</v>
      </c>
      <c r="G853">
        <v>59</v>
      </c>
      <c r="H853">
        <v>55</v>
      </c>
      <c r="I853">
        <v>128</v>
      </c>
      <c r="J853" s="3">
        <v>2511400</v>
      </c>
      <c r="K853" s="3">
        <v>321459200</v>
      </c>
      <c r="L853" s="2" t="s">
        <v>25</v>
      </c>
      <c r="M853" s="2" t="s">
        <v>26</v>
      </c>
      <c r="N853">
        <v>2023</v>
      </c>
      <c r="O853" s="2" t="s">
        <v>152</v>
      </c>
      <c r="P853" s="2" t="s">
        <v>153</v>
      </c>
      <c r="Q853">
        <v>10</v>
      </c>
      <c r="R853" s="4">
        <v>45200</v>
      </c>
      <c r="S853" s="3">
        <v>2511400</v>
      </c>
      <c r="T853" s="3">
        <v>32.15</v>
      </c>
    </row>
    <row r="854" spans="1:20" hidden="1" x14ac:dyDescent="0.3">
      <c r="A854" s="1">
        <v>45230</v>
      </c>
      <c r="B854" s="2" t="s">
        <v>90</v>
      </c>
      <c r="C854" s="2" t="s">
        <v>91</v>
      </c>
      <c r="D854" s="2" t="s">
        <v>22</v>
      </c>
      <c r="E854" s="2" t="s">
        <v>23</v>
      </c>
      <c r="F854" s="2" t="s">
        <v>24</v>
      </c>
      <c r="G854">
        <v>82</v>
      </c>
      <c r="H854">
        <v>520</v>
      </c>
      <c r="I854">
        <v>79</v>
      </c>
      <c r="J854" s="3">
        <v>7348100</v>
      </c>
      <c r="K854" s="3">
        <v>580499900</v>
      </c>
      <c r="L854" s="2" t="s">
        <v>33</v>
      </c>
      <c r="M854" s="2" t="s">
        <v>26</v>
      </c>
      <c r="N854">
        <v>2023</v>
      </c>
      <c r="O854" s="2" t="s">
        <v>152</v>
      </c>
      <c r="P854" s="2" t="s">
        <v>153</v>
      </c>
      <c r="Q854">
        <v>10</v>
      </c>
      <c r="R854" s="4">
        <v>45200</v>
      </c>
      <c r="S854" s="3">
        <v>7348100</v>
      </c>
      <c r="T854" s="3">
        <v>58.05</v>
      </c>
    </row>
    <row r="855" spans="1:20" hidden="1" x14ac:dyDescent="0.3">
      <c r="A855" s="1">
        <v>45231</v>
      </c>
      <c r="B855" s="2" t="s">
        <v>75</v>
      </c>
      <c r="C855" s="2" t="s">
        <v>122</v>
      </c>
      <c r="D855" s="2" t="s">
        <v>102</v>
      </c>
      <c r="E855" s="2" t="s">
        <v>103</v>
      </c>
      <c r="F855" s="2" t="s">
        <v>24</v>
      </c>
      <c r="G855">
        <v>5</v>
      </c>
      <c r="H855">
        <v>150</v>
      </c>
      <c r="I855">
        <v>120</v>
      </c>
      <c r="J855" s="3">
        <v>162300</v>
      </c>
      <c r="K855" s="3">
        <v>19476000</v>
      </c>
      <c r="L855" s="2" t="s">
        <v>25</v>
      </c>
      <c r="M855" s="2" t="s">
        <v>26</v>
      </c>
      <c r="N855">
        <v>2023</v>
      </c>
      <c r="O855" s="2" t="s">
        <v>152</v>
      </c>
      <c r="P855" s="2" t="s">
        <v>154</v>
      </c>
      <c r="Q855">
        <v>11</v>
      </c>
      <c r="R855" s="4">
        <v>45231</v>
      </c>
      <c r="S855" s="3">
        <v>162300</v>
      </c>
      <c r="T855" s="3">
        <v>1.95</v>
      </c>
    </row>
    <row r="856" spans="1:20" hidden="1" x14ac:dyDescent="0.3">
      <c r="A856" s="1">
        <v>45231</v>
      </c>
      <c r="B856" s="2" t="s">
        <v>44</v>
      </c>
      <c r="C856" s="2" t="s">
        <v>117</v>
      </c>
      <c r="D856" s="2" t="s">
        <v>42</v>
      </c>
      <c r="E856" s="2" t="s">
        <v>43</v>
      </c>
      <c r="F856" s="2" t="s">
        <v>24</v>
      </c>
      <c r="G856">
        <v>3</v>
      </c>
      <c r="H856">
        <v>135</v>
      </c>
      <c r="I856">
        <v>143</v>
      </c>
      <c r="J856" s="3">
        <v>128300</v>
      </c>
      <c r="K856" s="3">
        <v>18346900</v>
      </c>
      <c r="L856" s="2" t="s">
        <v>33</v>
      </c>
      <c r="M856" s="2" t="s">
        <v>77</v>
      </c>
      <c r="N856">
        <v>2023</v>
      </c>
      <c r="O856" s="2" t="s">
        <v>152</v>
      </c>
      <c r="P856" s="2" t="s">
        <v>154</v>
      </c>
      <c r="Q856">
        <v>11</v>
      </c>
      <c r="R856" s="4">
        <v>45231</v>
      </c>
      <c r="S856" s="3">
        <v>128300</v>
      </c>
      <c r="T856" s="3">
        <v>1.83</v>
      </c>
    </row>
    <row r="857" spans="1:20" hidden="1" x14ac:dyDescent="0.3">
      <c r="A857" s="1">
        <v>45232</v>
      </c>
      <c r="B857" s="2" t="s">
        <v>29</v>
      </c>
      <c r="C857" s="2" t="s">
        <v>104</v>
      </c>
      <c r="D857" s="2" t="s">
        <v>94</v>
      </c>
      <c r="E857" s="2" t="s">
        <v>140</v>
      </c>
      <c r="F857" s="2" t="s">
        <v>138</v>
      </c>
      <c r="G857">
        <v>35</v>
      </c>
      <c r="H857">
        <v>32</v>
      </c>
      <c r="I857">
        <v>87</v>
      </c>
      <c r="J857" s="3">
        <v>2054100</v>
      </c>
      <c r="K857" s="3">
        <v>178706700</v>
      </c>
      <c r="L857" s="2" t="s">
        <v>33</v>
      </c>
      <c r="M857" s="2" t="s">
        <v>26</v>
      </c>
      <c r="N857">
        <v>2023</v>
      </c>
      <c r="O857" s="2" t="s">
        <v>152</v>
      </c>
      <c r="P857" s="2" t="s">
        <v>154</v>
      </c>
      <c r="Q857">
        <v>11</v>
      </c>
      <c r="R857" s="4">
        <v>45231</v>
      </c>
      <c r="S857" s="3">
        <v>2054100</v>
      </c>
      <c r="T857" s="3">
        <v>17.87</v>
      </c>
    </row>
    <row r="858" spans="1:20" hidden="1" x14ac:dyDescent="0.3">
      <c r="A858" s="1">
        <v>45232</v>
      </c>
      <c r="B858" s="2" t="s">
        <v>20</v>
      </c>
      <c r="C858" s="2" t="s">
        <v>21</v>
      </c>
      <c r="D858" s="2" t="s">
        <v>63</v>
      </c>
      <c r="E858" s="2" t="s">
        <v>64</v>
      </c>
      <c r="F858" s="2" t="s">
        <v>24</v>
      </c>
      <c r="G858">
        <v>3</v>
      </c>
      <c r="H858">
        <v>127</v>
      </c>
      <c r="I858">
        <v>61</v>
      </c>
      <c r="J858" s="3">
        <v>167700</v>
      </c>
      <c r="K858" s="3">
        <v>10229700</v>
      </c>
      <c r="L858" s="2" t="s">
        <v>33</v>
      </c>
      <c r="M858" s="2" t="s">
        <v>26</v>
      </c>
      <c r="N858">
        <v>2023</v>
      </c>
      <c r="O858" s="2" t="s">
        <v>152</v>
      </c>
      <c r="P858" s="2" t="s">
        <v>154</v>
      </c>
      <c r="Q858">
        <v>11</v>
      </c>
      <c r="R858" s="4">
        <v>45231</v>
      </c>
      <c r="S858" s="3">
        <v>167700</v>
      </c>
      <c r="T858" s="3">
        <v>1.02</v>
      </c>
    </row>
    <row r="859" spans="1:20" hidden="1" x14ac:dyDescent="0.3">
      <c r="A859" s="1">
        <v>45233</v>
      </c>
      <c r="B859" s="2" t="s">
        <v>46</v>
      </c>
      <c r="C859" s="2" t="s">
        <v>110</v>
      </c>
      <c r="D859" s="2" t="s">
        <v>54</v>
      </c>
      <c r="E859" s="2" t="s">
        <v>55</v>
      </c>
      <c r="F859" s="2" t="s">
        <v>24</v>
      </c>
      <c r="G859">
        <v>30</v>
      </c>
      <c r="H859">
        <v>320</v>
      </c>
      <c r="I859">
        <v>60</v>
      </c>
      <c r="J859" s="3">
        <v>1332400</v>
      </c>
      <c r="K859" s="3">
        <v>79944000</v>
      </c>
      <c r="L859" s="2" t="s">
        <v>92</v>
      </c>
      <c r="M859" s="2" t="s">
        <v>97</v>
      </c>
      <c r="N859">
        <v>2023</v>
      </c>
      <c r="O859" s="2" t="s">
        <v>152</v>
      </c>
      <c r="P859" s="2" t="s">
        <v>154</v>
      </c>
      <c r="Q859">
        <v>11</v>
      </c>
      <c r="R859" s="4">
        <v>45231</v>
      </c>
      <c r="S859" s="3">
        <v>1332400</v>
      </c>
      <c r="T859" s="3">
        <v>7.99</v>
      </c>
    </row>
    <row r="860" spans="1:20" hidden="1" x14ac:dyDescent="0.3">
      <c r="A860" s="1">
        <v>45233</v>
      </c>
      <c r="B860" s="2" t="s">
        <v>35</v>
      </c>
      <c r="C860" s="2" t="s">
        <v>87</v>
      </c>
      <c r="D860" s="2" t="s">
        <v>63</v>
      </c>
      <c r="E860" s="2" t="s">
        <v>64</v>
      </c>
      <c r="F860" s="2" t="s">
        <v>24</v>
      </c>
      <c r="G860">
        <v>3</v>
      </c>
      <c r="H860">
        <v>127</v>
      </c>
      <c r="I860">
        <v>30</v>
      </c>
      <c r="J860" s="3">
        <v>162900</v>
      </c>
      <c r="K860" s="3">
        <v>4887000</v>
      </c>
      <c r="L860" s="2" t="s">
        <v>33</v>
      </c>
      <c r="M860" s="2" t="s">
        <v>34</v>
      </c>
      <c r="N860">
        <v>2023</v>
      </c>
      <c r="O860" s="2" t="s">
        <v>152</v>
      </c>
      <c r="P860" s="2" t="s">
        <v>154</v>
      </c>
      <c r="Q860">
        <v>11</v>
      </c>
      <c r="R860" s="4">
        <v>45231</v>
      </c>
      <c r="S860" s="3">
        <v>162900</v>
      </c>
      <c r="T860" s="3">
        <v>0.49</v>
      </c>
    </row>
    <row r="861" spans="1:20" hidden="1" x14ac:dyDescent="0.3">
      <c r="A861" s="1">
        <v>45233</v>
      </c>
      <c r="B861" s="2" t="s">
        <v>20</v>
      </c>
      <c r="C861" s="2" t="s">
        <v>125</v>
      </c>
      <c r="D861" s="2" t="s">
        <v>37</v>
      </c>
      <c r="E861" s="2" t="s">
        <v>38</v>
      </c>
      <c r="F861" s="2" t="s">
        <v>24</v>
      </c>
      <c r="G861">
        <v>66</v>
      </c>
      <c r="H861">
        <v>423</v>
      </c>
      <c r="I861">
        <v>10</v>
      </c>
      <c r="J861" s="3">
        <v>8588700</v>
      </c>
      <c r="K861" s="3">
        <v>85887000</v>
      </c>
      <c r="L861" s="2" t="s">
        <v>33</v>
      </c>
      <c r="M861" s="2" t="s">
        <v>26</v>
      </c>
      <c r="N861">
        <v>2023</v>
      </c>
      <c r="O861" s="2" t="s">
        <v>152</v>
      </c>
      <c r="P861" s="2" t="s">
        <v>154</v>
      </c>
      <c r="Q861">
        <v>11</v>
      </c>
      <c r="R861" s="4">
        <v>45231</v>
      </c>
      <c r="S861" s="3">
        <v>8588700</v>
      </c>
      <c r="T861" s="3">
        <v>8.59</v>
      </c>
    </row>
    <row r="862" spans="1:20" hidden="1" x14ac:dyDescent="0.3">
      <c r="A862" s="1">
        <v>45234</v>
      </c>
      <c r="B862" s="2" t="s">
        <v>35</v>
      </c>
      <c r="C862" s="2" t="s">
        <v>121</v>
      </c>
      <c r="D862" s="2" t="s">
        <v>31</v>
      </c>
      <c r="E862" s="2" t="s">
        <v>32</v>
      </c>
      <c r="F862" s="2" t="s">
        <v>24</v>
      </c>
      <c r="G862">
        <v>4</v>
      </c>
      <c r="H862">
        <v>195</v>
      </c>
      <c r="I862">
        <v>152</v>
      </c>
      <c r="J862" s="3">
        <v>154300</v>
      </c>
      <c r="K862" s="3">
        <v>23453600</v>
      </c>
      <c r="L862" s="2" t="s">
        <v>33</v>
      </c>
      <c r="M862" s="2" t="s">
        <v>34</v>
      </c>
      <c r="N862">
        <v>2023</v>
      </c>
      <c r="O862" s="2" t="s">
        <v>152</v>
      </c>
      <c r="P862" s="2" t="s">
        <v>154</v>
      </c>
      <c r="Q862">
        <v>11</v>
      </c>
      <c r="R862" s="4">
        <v>45231</v>
      </c>
      <c r="S862" s="3">
        <v>154300</v>
      </c>
      <c r="T862" s="3">
        <v>2.35</v>
      </c>
    </row>
    <row r="863" spans="1:20" hidden="1" x14ac:dyDescent="0.3">
      <c r="A863" s="1">
        <v>45234</v>
      </c>
      <c r="B863" s="2" t="s">
        <v>59</v>
      </c>
      <c r="C863" s="2" t="s">
        <v>60</v>
      </c>
      <c r="D863" s="2" t="s">
        <v>50</v>
      </c>
      <c r="E863" s="2" t="s">
        <v>51</v>
      </c>
      <c r="F863" s="2" t="s">
        <v>72</v>
      </c>
      <c r="G863">
        <v>77</v>
      </c>
      <c r="H863">
        <v>528</v>
      </c>
      <c r="I863">
        <v>48</v>
      </c>
      <c r="J863" s="3">
        <v>5297100</v>
      </c>
      <c r="K863" s="3">
        <v>254260800</v>
      </c>
      <c r="L863" s="2" t="s">
        <v>33</v>
      </c>
      <c r="M863" s="2" t="s">
        <v>26</v>
      </c>
      <c r="N863">
        <v>2023</v>
      </c>
      <c r="O863" s="2" t="s">
        <v>152</v>
      </c>
      <c r="P863" s="2" t="s">
        <v>154</v>
      </c>
      <c r="Q863">
        <v>11</v>
      </c>
      <c r="R863" s="4">
        <v>45231</v>
      </c>
      <c r="S863" s="3">
        <v>5297100</v>
      </c>
      <c r="T863" s="3">
        <v>25.43</v>
      </c>
    </row>
    <row r="864" spans="1:20" hidden="1" x14ac:dyDescent="0.3">
      <c r="A864" s="1">
        <v>45234</v>
      </c>
      <c r="B864" s="2" t="s">
        <v>35</v>
      </c>
      <c r="C864" s="2" t="s">
        <v>87</v>
      </c>
      <c r="D864" s="2" t="s">
        <v>70</v>
      </c>
      <c r="E864" s="2" t="s">
        <v>71</v>
      </c>
      <c r="F864" s="2" t="s">
        <v>24</v>
      </c>
      <c r="G864">
        <v>50</v>
      </c>
      <c r="H864">
        <v>46</v>
      </c>
      <c r="I864">
        <v>47</v>
      </c>
      <c r="J864" s="3">
        <v>2192200</v>
      </c>
      <c r="K864" s="3">
        <v>103033400</v>
      </c>
      <c r="L864" s="2" t="s">
        <v>33</v>
      </c>
      <c r="M864" s="2" t="s">
        <v>26</v>
      </c>
      <c r="N864">
        <v>2023</v>
      </c>
      <c r="O864" s="2" t="s">
        <v>152</v>
      </c>
      <c r="P864" s="2" t="s">
        <v>154</v>
      </c>
      <c r="Q864">
        <v>11</v>
      </c>
      <c r="R864" s="4">
        <v>45231</v>
      </c>
      <c r="S864" s="3">
        <v>2192200</v>
      </c>
      <c r="T864" s="3">
        <v>10.3</v>
      </c>
    </row>
    <row r="865" spans="1:20" hidden="1" x14ac:dyDescent="0.3">
      <c r="A865" s="1">
        <v>45234</v>
      </c>
      <c r="B865" s="2" t="s">
        <v>90</v>
      </c>
      <c r="C865" s="2" t="s">
        <v>99</v>
      </c>
      <c r="D865" s="2" t="s">
        <v>79</v>
      </c>
      <c r="E865" s="2" t="s">
        <v>80</v>
      </c>
      <c r="F865" s="2" t="s">
        <v>24</v>
      </c>
      <c r="G865">
        <v>69</v>
      </c>
      <c r="H865">
        <v>418</v>
      </c>
      <c r="I865">
        <v>32</v>
      </c>
      <c r="J865" s="3">
        <v>6138400</v>
      </c>
      <c r="K865" s="3">
        <v>196428800</v>
      </c>
      <c r="L865" s="2" t="s">
        <v>33</v>
      </c>
      <c r="M865" s="2" t="s">
        <v>26</v>
      </c>
      <c r="N865">
        <v>2023</v>
      </c>
      <c r="O865" s="2" t="s">
        <v>152</v>
      </c>
      <c r="P865" s="2" t="s">
        <v>154</v>
      </c>
      <c r="Q865">
        <v>11</v>
      </c>
      <c r="R865" s="4">
        <v>45231</v>
      </c>
      <c r="S865" s="3">
        <v>6138400</v>
      </c>
      <c r="T865" s="3">
        <v>19.64</v>
      </c>
    </row>
    <row r="866" spans="1:20" hidden="1" x14ac:dyDescent="0.3">
      <c r="A866" s="1">
        <v>45235</v>
      </c>
      <c r="B866" s="2" t="s">
        <v>20</v>
      </c>
      <c r="C866" s="2" t="s">
        <v>112</v>
      </c>
      <c r="D866" s="2" t="s">
        <v>102</v>
      </c>
      <c r="E866" s="2" t="s">
        <v>103</v>
      </c>
      <c r="F866" s="2" t="s">
        <v>24</v>
      </c>
      <c r="G866">
        <v>5</v>
      </c>
      <c r="H866">
        <v>150</v>
      </c>
      <c r="I866">
        <v>29</v>
      </c>
      <c r="J866" s="3">
        <v>147900</v>
      </c>
      <c r="K866" s="3">
        <v>4289100</v>
      </c>
      <c r="L866" s="2" t="s">
        <v>25</v>
      </c>
      <c r="M866" s="2" t="s">
        <v>26</v>
      </c>
      <c r="N866">
        <v>2023</v>
      </c>
      <c r="O866" s="2" t="s">
        <v>152</v>
      </c>
      <c r="P866" s="2" t="s">
        <v>154</v>
      </c>
      <c r="Q866">
        <v>11</v>
      </c>
      <c r="R866" s="4">
        <v>45231</v>
      </c>
      <c r="S866" s="3">
        <v>147900</v>
      </c>
      <c r="T866" s="3">
        <v>0.43</v>
      </c>
    </row>
    <row r="867" spans="1:20" hidden="1" x14ac:dyDescent="0.3">
      <c r="A867" s="1">
        <v>45235</v>
      </c>
      <c r="B867" s="2" t="s">
        <v>108</v>
      </c>
      <c r="C867" s="2" t="s">
        <v>109</v>
      </c>
      <c r="D867" s="2" t="s">
        <v>88</v>
      </c>
      <c r="E867" s="2" t="s">
        <v>89</v>
      </c>
      <c r="F867" s="2" t="s">
        <v>24</v>
      </c>
      <c r="G867">
        <v>82</v>
      </c>
      <c r="H867">
        <v>580</v>
      </c>
      <c r="I867">
        <v>38</v>
      </c>
      <c r="J867" s="3">
        <v>4937700</v>
      </c>
      <c r="K867" s="3">
        <v>187632600</v>
      </c>
      <c r="L867" s="2" t="s">
        <v>33</v>
      </c>
      <c r="M867" s="2" t="s">
        <v>26</v>
      </c>
      <c r="N867">
        <v>2023</v>
      </c>
      <c r="O867" s="2" t="s">
        <v>152</v>
      </c>
      <c r="P867" s="2" t="s">
        <v>154</v>
      </c>
      <c r="Q867">
        <v>11</v>
      </c>
      <c r="R867" s="4">
        <v>45231</v>
      </c>
      <c r="S867" s="3">
        <v>4937700</v>
      </c>
      <c r="T867" s="3">
        <v>18.760000000000002</v>
      </c>
    </row>
    <row r="868" spans="1:20" hidden="1" x14ac:dyDescent="0.3">
      <c r="A868" s="1">
        <v>45236</v>
      </c>
      <c r="B868" s="2" t="s">
        <v>35</v>
      </c>
      <c r="C868" s="2" t="s">
        <v>132</v>
      </c>
      <c r="D868" s="2" t="s">
        <v>67</v>
      </c>
      <c r="E868" s="2" t="s">
        <v>68</v>
      </c>
      <c r="F868" s="2" t="s">
        <v>24</v>
      </c>
      <c r="G868">
        <v>66</v>
      </c>
      <c r="H868">
        <v>440</v>
      </c>
      <c r="I868">
        <v>67</v>
      </c>
      <c r="J868" s="3">
        <v>6126600</v>
      </c>
      <c r="K868" s="3">
        <v>410482200</v>
      </c>
      <c r="L868" s="2" t="s">
        <v>33</v>
      </c>
      <c r="M868" s="2" t="s">
        <v>26</v>
      </c>
      <c r="N868">
        <v>2023</v>
      </c>
      <c r="O868" s="2" t="s">
        <v>152</v>
      </c>
      <c r="P868" s="2" t="s">
        <v>154</v>
      </c>
      <c r="Q868">
        <v>11</v>
      </c>
      <c r="R868" s="4">
        <v>45231</v>
      </c>
      <c r="S868" s="3">
        <v>6126600</v>
      </c>
      <c r="T868" s="3">
        <v>41.05</v>
      </c>
    </row>
    <row r="869" spans="1:20" hidden="1" x14ac:dyDescent="0.3">
      <c r="A869" s="1">
        <v>45237</v>
      </c>
      <c r="B869" s="2" t="s">
        <v>46</v>
      </c>
      <c r="C869" s="2" t="s">
        <v>137</v>
      </c>
      <c r="D869" s="2" t="s">
        <v>82</v>
      </c>
      <c r="E869" s="2" t="s">
        <v>83</v>
      </c>
      <c r="F869" s="2" t="s">
        <v>24</v>
      </c>
      <c r="G869">
        <v>40</v>
      </c>
      <c r="H869">
        <v>39</v>
      </c>
      <c r="I869">
        <v>161</v>
      </c>
      <c r="J869" s="3">
        <v>2252500</v>
      </c>
      <c r="K869" s="3">
        <v>362652500</v>
      </c>
      <c r="L869" s="2" t="s">
        <v>33</v>
      </c>
      <c r="M869" s="2" t="s">
        <v>26</v>
      </c>
      <c r="N869">
        <v>2023</v>
      </c>
      <c r="O869" s="2" t="s">
        <v>152</v>
      </c>
      <c r="P869" s="2" t="s">
        <v>154</v>
      </c>
      <c r="Q869">
        <v>11</v>
      </c>
      <c r="R869" s="4">
        <v>45231</v>
      </c>
      <c r="S869" s="3">
        <v>2252500</v>
      </c>
      <c r="T869" s="3">
        <v>36.270000000000003</v>
      </c>
    </row>
    <row r="870" spans="1:20" hidden="1" x14ac:dyDescent="0.3">
      <c r="A870" s="1">
        <v>45237</v>
      </c>
      <c r="B870" s="2" t="s">
        <v>46</v>
      </c>
      <c r="C870" s="2" t="s">
        <v>47</v>
      </c>
      <c r="D870" s="2" t="s">
        <v>70</v>
      </c>
      <c r="E870" s="2" t="s">
        <v>74</v>
      </c>
      <c r="F870" s="2" t="s">
        <v>24</v>
      </c>
      <c r="G870">
        <v>25</v>
      </c>
      <c r="H870">
        <v>32</v>
      </c>
      <c r="I870">
        <v>54</v>
      </c>
      <c r="J870" s="3">
        <v>1133100</v>
      </c>
      <c r="K870" s="3">
        <v>61187400</v>
      </c>
      <c r="L870" s="2" t="s">
        <v>25</v>
      </c>
      <c r="M870" s="2" t="s">
        <v>77</v>
      </c>
      <c r="N870">
        <v>2023</v>
      </c>
      <c r="O870" s="2" t="s">
        <v>152</v>
      </c>
      <c r="P870" s="2" t="s">
        <v>154</v>
      </c>
      <c r="Q870">
        <v>11</v>
      </c>
      <c r="R870" s="4">
        <v>45231</v>
      </c>
      <c r="S870" s="3">
        <v>1133100</v>
      </c>
      <c r="T870" s="3">
        <v>6.12</v>
      </c>
    </row>
    <row r="871" spans="1:20" hidden="1" x14ac:dyDescent="0.3">
      <c r="A871" s="1">
        <v>45237</v>
      </c>
      <c r="B871" s="2" t="s">
        <v>40</v>
      </c>
      <c r="C871" s="2" t="s">
        <v>78</v>
      </c>
      <c r="D871" s="2" t="s">
        <v>31</v>
      </c>
      <c r="E871" s="2" t="s">
        <v>124</v>
      </c>
      <c r="F871" s="2" t="s">
        <v>24</v>
      </c>
      <c r="G871">
        <v>3</v>
      </c>
      <c r="H871">
        <v>151</v>
      </c>
      <c r="I871">
        <v>61</v>
      </c>
      <c r="J871" s="3">
        <v>92400</v>
      </c>
      <c r="K871" s="3">
        <v>5636400</v>
      </c>
      <c r="L871" s="2" t="s">
        <v>33</v>
      </c>
      <c r="M871" s="2" t="s">
        <v>77</v>
      </c>
      <c r="N871">
        <v>2023</v>
      </c>
      <c r="O871" s="2" t="s">
        <v>152</v>
      </c>
      <c r="P871" s="2" t="s">
        <v>154</v>
      </c>
      <c r="Q871">
        <v>11</v>
      </c>
      <c r="R871" s="4">
        <v>45231</v>
      </c>
      <c r="S871" s="3">
        <v>92400</v>
      </c>
      <c r="T871" s="3">
        <v>0.56000000000000005</v>
      </c>
    </row>
    <row r="872" spans="1:20" hidden="1" x14ac:dyDescent="0.3">
      <c r="A872" s="1">
        <v>45237</v>
      </c>
      <c r="B872" s="2" t="s">
        <v>35</v>
      </c>
      <c r="C872" s="2" t="s">
        <v>121</v>
      </c>
      <c r="D872" s="2" t="s">
        <v>70</v>
      </c>
      <c r="E872" s="2" t="s">
        <v>71</v>
      </c>
      <c r="F872" s="2" t="s">
        <v>24</v>
      </c>
      <c r="G872">
        <v>50</v>
      </c>
      <c r="H872">
        <v>46</v>
      </c>
      <c r="I872">
        <v>141</v>
      </c>
      <c r="J872" s="3">
        <v>2270800</v>
      </c>
      <c r="K872" s="3">
        <v>320182800</v>
      </c>
      <c r="L872" s="2" t="s">
        <v>25</v>
      </c>
      <c r="M872" s="2" t="s">
        <v>77</v>
      </c>
      <c r="N872">
        <v>2023</v>
      </c>
      <c r="O872" s="2" t="s">
        <v>152</v>
      </c>
      <c r="P872" s="2" t="s">
        <v>154</v>
      </c>
      <c r="Q872">
        <v>11</v>
      </c>
      <c r="R872" s="4">
        <v>45231</v>
      </c>
      <c r="S872" s="3">
        <v>2270800</v>
      </c>
      <c r="T872" s="3">
        <v>32.020000000000003</v>
      </c>
    </row>
    <row r="873" spans="1:20" hidden="1" x14ac:dyDescent="0.3">
      <c r="A873" s="1">
        <v>45238</v>
      </c>
      <c r="B873" s="2" t="s">
        <v>59</v>
      </c>
      <c r="C873" s="2" t="s">
        <v>135</v>
      </c>
      <c r="D873" s="2" t="s">
        <v>42</v>
      </c>
      <c r="E873" s="2" t="s">
        <v>43</v>
      </c>
      <c r="F873" s="2" t="s">
        <v>24</v>
      </c>
      <c r="G873">
        <v>3</v>
      </c>
      <c r="H873">
        <v>135</v>
      </c>
      <c r="I873">
        <v>45</v>
      </c>
      <c r="J873" s="3">
        <v>110300</v>
      </c>
      <c r="K873" s="3">
        <v>4963500</v>
      </c>
      <c r="L873" s="2" t="s">
        <v>33</v>
      </c>
      <c r="M873" s="2" t="s">
        <v>26</v>
      </c>
      <c r="N873">
        <v>2023</v>
      </c>
      <c r="O873" s="2" t="s">
        <v>152</v>
      </c>
      <c r="P873" s="2" t="s">
        <v>154</v>
      </c>
      <c r="Q873">
        <v>11</v>
      </c>
      <c r="R873" s="4">
        <v>45231</v>
      </c>
      <c r="S873" s="3">
        <v>110300</v>
      </c>
      <c r="T873" s="3">
        <v>0.5</v>
      </c>
    </row>
    <row r="874" spans="1:20" hidden="1" x14ac:dyDescent="0.3">
      <c r="A874" s="1">
        <v>45238</v>
      </c>
      <c r="B874" s="2" t="s">
        <v>46</v>
      </c>
      <c r="C874" s="2" t="s">
        <v>47</v>
      </c>
      <c r="D874" s="2" t="s">
        <v>57</v>
      </c>
      <c r="E874" s="2" t="s">
        <v>86</v>
      </c>
      <c r="F874" s="2" t="s">
        <v>24</v>
      </c>
      <c r="G874">
        <v>48</v>
      </c>
      <c r="H874">
        <v>39</v>
      </c>
      <c r="I874">
        <v>90</v>
      </c>
      <c r="J874" s="3">
        <v>2109800</v>
      </c>
      <c r="K874" s="3">
        <v>189882000</v>
      </c>
      <c r="L874" s="2" t="s">
        <v>33</v>
      </c>
      <c r="M874" s="2" t="s">
        <v>77</v>
      </c>
      <c r="N874">
        <v>2023</v>
      </c>
      <c r="O874" s="2" t="s">
        <v>152</v>
      </c>
      <c r="P874" s="2" t="s">
        <v>154</v>
      </c>
      <c r="Q874">
        <v>11</v>
      </c>
      <c r="R874" s="4">
        <v>45231</v>
      </c>
      <c r="S874" s="3">
        <v>2109800</v>
      </c>
      <c r="T874" s="3">
        <v>18.989999999999998</v>
      </c>
    </row>
    <row r="875" spans="1:20" hidden="1" x14ac:dyDescent="0.3">
      <c r="A875" s="1">
        <v>45239</v>
      </c>
      <c r="B875" s="2" t="s">
        <v>59</v>
      </c>
      <c r="C875" s="2" t="s">
        <v>135</v>
      </c>
      <c r="D875" s="2" t="s">
        <v>67</v>
      </c>
      <c r="E875" s="2" t="s">
        <v>118</v>
      </c>
      <c r="F875" s="2" t="s">
        <v>24</v>
      </c>
      <c r="G875">
        <v>84</v>
      </c>
      <c r="H875">
        <v>590</v>
      </c>
      <c r="I875">
        <v>69</v>
      </c>
      <c r="J875" s="3">
        <v>8049700</v>
      </c>
      <c r="K875" s="3">
        <v>555429300</v>
      </c>
      <c r="L875" s="2" t="s">
        <v>25</v>
      </c>
      <c r="M875" s="2" t="s">
        <v>97</v>
      </c>
      <c r="N875">
        <v>2023</v>
      </c>
      <c r="O875" s="2" t="s">
        <v>152</v>
      </c>
      <c r="P875" s="2" t="s">
        <v>154</v>
      </c>
      <c r="Q875">
        <v>11</v>
      </c>
      <c r="R875" s="4">
        <v>45231</v>
      </c>
      <c r="S875" s="3">
        <v>8049700</v>
      </c>
      <c r="T875" s="3">
        <v>55.54</v>
      </c>
    </row>
    <row r="876" spans="1:20" hidden="1" x14ac:dyDescent="0.3">
      <c r="A876" s="1">
        <v>45239</v>
      </c>
      <c r="B876" s="2" t="s">
        <v>90</v>
      </c>
      <c r="C876" s="2" t="s">
        <v>128</v>
      </c>
      <c r="D876" s="2" t="s">
        <v>50</v>
      </c>
      <c r="E876" s="2" t="s">
        <v>51</v>
      </c>
      <c r="F876" s="2" t="s">
        <v>24</v>
      </c>
      <c r="G876">
        <v>77</v>
      </c>
      <c r="H876">
        <v>528</v>
      </c>
      <c r="I876">
        <v>74</v>
      </c>
      <c r="J876" s="3">
        <v>5158600</v>
      </c>
      <c r="K876" s="3">
        <v>381736400</v>
      </c>
      <c r="L876" s="2" t="s">
        <v>33</v>
      </c>
      <c r="M876" s="2" t="s">
        <v>26</v>
      </c>
      <c r="N876">
        <v>2023</v>
      </c>
      <c r="O876" s="2" t="s">
        <v>152</v>
      </c>
      <c r="P876" s="2" t="s">
        <v>154</v>
      </c>
      <c r="Q876">
        <v>11</v>
      </c>
      <c r="R876" s="4">
        <v>45231</v>
      </c>
      <c r="S876" s="3">
        <v>5158600</v>
      </c>
      <c r="T876" s="3">
        <v>38.17</v>
      </c>
    </row>
    <row r="877" spans="1:20" hidden="1" x14ac:dyDescent="0.3">
      <c r="A877" s="1">
        <v>45239</v>
      </c>
      <c r="B877" s="2" t="s">
        <v>75</v>
      </c>
      <c r="C877" s="2" t="s">
        <v>122</v>
      </c>
      <c r="D877" s="2" t="s">
        <v>50</v>
      </c>
      <c r="E877" s="2" t="s">
        <v>51</v>
      </c>
      <c r="F877" s="2" t="s">
        <v>24</v>
      </c>
      <c r="G877">
        <v>77</v>
      </c>
      <c r="H877">
        <v>528</v>
      </c>
      <c r="I877">
        <v>46</v>
      </c>
      <c r="J877" s="3">
        <v>5125400</v>
      </c>
      <c r="K877" s="3">
        <v>235768400</v>
      </c>
      <c r="L877" s="2" t="s">
        <v>33</v>
      </c>
      <c r="M877" s="2" t="s">
        <v>77</v>
      </c>
      <c r="N877">
        <v>2023</v>
      </c>
      <c r="O877" s="2" t="s">
        <v>152</v>
      </c>
      <c r="P877" s="2" t="s">
        <v>154</v>
      </c>
      <c r="Q877">
        <v>11</v>
      </c>
      <c r="R877" s="4">
        <v>45231</v>
      </c>
      <c r="S877" s="3">
        <v>5125400</v>
      </c>
      <c r="T877" s="3">
        <v>23.58</v>
      </c>
    </row>
    <row r="878" spans="1:20" hidden="1" x14ac:dyDescent="0.3">
      <c r="A878" s="1">
        <v>45239</v>
      </c>
      <c r="B878" s="2" t="s">
        <v>46</v>
      </c>
      <c r="C878" s="2" t="s">
        <v>110</v>
      </c>
      <c r="D878" s="2" t="s">
        <v>37</v>
      </c>
      <c r="E878" s="2" t="s">
        <v>38</v>
      </c>
      <c r="F878" s="2" t="s">
        <v>24</v>
      </c>
      <c r="G878">
        <v>66</v>
      </c>
      <c r="H878">
        <v>423</v>
      </c>
      <c r="I878">
        <v>74</v>
      </c>
      <c r="J878" s="3">
        <v>7470700</v>
      </c>
      <c r="K878" s="3">
        <v>552831800</v>
      </c>
      <c r="L878" s="2" t="s">
        <v>33</v>
      </c>
      <c r="M878" s="2" t="s">
        <v>34</v>
      </c>
      <c r="N878">
        <v>2023</v>
      </c>
      <c r="O878" s="2" t="s">
        <v>152</v>
      </c>
      <c r="P878" s="2" t="s">
        <v>154</v>
      </c>
      <c r="Q878">
        <v>11</v>
      </c>
      <c r="R878" s="4">
        <v>45231</v>
      </c>
      <c r="S878" s="3">
        <v>7470700</v>
      </c>
      <c r="T878" s="3">
        <v>55.28</v>
      </c>
    </row>
    <row r="879" spans="1:20" hidden="1" x14ac:dyDescent="0.3">
      <c r="A879" s="1">
        <v>45240</v>
      </c>
      <c r="B879" s="2" t="s">
        <v>75</v>
      </c>
      <c r="C879" s="2" t="s">
        <v>76</v>
      </c>
      <c r="D879" s="2" t="s">
        <v>94</v>
      </c>
      <c r="E879" s="2" t="s">
        <v>140</v>
      </c>
      <c r="F879" s="2" t="s">
        <v>39</v>
      </c>
      <c r="G879">
        <v>35</v>
      </c>
      <c r="H879">
        <v>32</v>
      </c>
      <c r="I879">
        <v>63</v>
      </c>
      <c r="J879" s="3">
        <v>2093600</v>
      </c>
      <c r="K879" s="3">
        <v>131896800</v>
      </c>
      <c r="L879" s="2" t="s">
        <v>33</v>
      </c>
      <c r="M879" s="2" t="s">
        <v>26</v>
      </c>
      <c r="N879">
        <v>2023</v>
      </c>
      <c r="O879" s="2" t="s">
        <v>152</v>
      </c>
      <c r="P879" s="2" t="s">
        <v>154</v>
      </c>
      <c r="Q879">
        <v>11</v>
      </c>
      <c r="R879" s="4">
        <v>45231</v>
      </c>
      <c r="S879" s="3">
        <v>2093600</v>
      </c>
      <c r="T879" s="3">
        <v>13.19</v>
      </c>
    </row>
    <row r="880" spans="1:20" hidden="1" x14ac:dyDescent="0.3">
      <c r="A880" s="1">
        <v>45240</v>
      </c>
      <c r="B880" s="2" t="s">
        <v>52</v>
      </c>
      <c r="C880" s="2" t="s">
        <v>116</v>
      </c>
      <c r="D880" s="2" t="s">
        <v>88</v>
      </c>
      <c r="E880" s="2" t="s">
        <v>111</v>
      </c>
      <c r="F880" s="2" t="s">
        <v>138</v>
      </c>
      <c r="G880">
        <v>60</v>
      </c>
      <c r="H880">
        <v>480</v>
      </c>
      <c r="I880">
        <v>39</v>
      </c>
      <c r="J880" s="3">
        <v>3525200</v>
      </c>
      <c r="K880" s="3">
        <v>137482800</v>
      </c>
      <c r="L880" s="2" t="s">
        <v>33</v>
      </c>
      <c r="M880" s="2" t="s">
        <v>26</v>
      </c>
      <c r="N880">
        <v>2023</v>
      </c>
      <c r="O880" s="2" t="s">
        <v>152</v>
      </c>
      <c r="P880" s="2" t="s">
        <v>154</v>
      </c>
      <c r="Q880">
        <v>11</v>
      </c>
      <c r="R880" s="4">
        <v>45231</v>
      </c>
      <c r="S880" s="3">
        <v>3525200</v>
      </c>
      <c r="T880" s="3">
        <v>13.75</v>
      </c>
    </row>
    <row r="881" spans="1:20" hidden="1" x14ac:dyDescent="0.3">
      <c r="A881" s="1">
        <v>45241</v>
      </c>
      <c r="B881" s="2" t="s">
        <v>44</v>
      </c>
      <c r="C881" s="2" t="s">
        <v>45</v>
      </c>
      <c r="D881" s="2" t="s">
        <v>54</v>
      </c>
      <c r="E881" s="2" t="s">
        <v>55</v>
      </c>
      <c r="F881" s="2" t="s">
        <v>24</v>
      </c>
      <c r="G881">
        <v>30</v>
      </c>
      <c r="H881">
        <v>320</v>
      </c>
      <c r="I881">
        <v>12</v>
      </c>
      <c r="J881" s="3">
        <v>1529000</v>
      </c>
      <c r="K881" s="3">
        <v>18348000</v>
      </c>
      <c r="L881" s="2" t="s">
        <v>33</v>
      </c>
      <c r="M881" s="2" t="s">
        <v>34</v>
      </c>
      <c r="N881">
        <v>2023</v>
      </c>
      <c r="O881" s="2" t="s">
        <v>152</v>
      </c>
      <c r="P881" s="2" t="s">
        <v>154</v>
      </c>
      <c r="Q881">
        <v>11</v>
      </c>
      <c r="R881" s="4">
        <v>45231</v>
      </c>
      <c r="S881" s="3">
        <v>1529000</v>
      </c>
      <c r="T881" s="3">
        <v>1.83</v>
      </c>
    </row>
    <row r="882" spans="1:20" hidden="1" x14ac:dyDescent="0.3">
      <c r="A882" s="1">
        <v>45242</v>
      </c>
      <c r="B882" s="2" t="s">
        <v>108</v>
      </c>
      <c r="C882" s="2" t="s">
        <v>123</v>
      </c>
      <c r="D882" s="2" t="s">
        <v>57</v>
      </c>
      <c r="E882" s="2" t="s">
        <v>58</v>
      </c>
      <c r="F882" s="2" t="s">
        <v>24</v>
      </c>
      <c r="G882">
        <v>72</v>
      </c>
      <c r="H882">
        <v>488</v>
      </c>
      <c r="I882">
        <v>80</v>
      </c>
      <c r="J882" s="3">
        <v>5175800</v>
      </c>
      <c r="K882" s="3">
        <v>414064000</v>
      </c>
      <c r="L882" s="2" t="s">
        <v>25</v>
      </c>
      <c r="M882" s="2" t="s">
        <v>77</v>
      </c>
      <c r="N882">
        <v>2023</v>
      </c>
      <c r="O882" s="2" t="s">
        <v>152</v>
      </c>
      <c r="P882" s="2" t="s">
        <v>154</v>
      </c>
      <c r="Q882">
        <v>11</v>
      </c>
      <c r="R882" s="4">
        <v>45231</v>
      </c>
      <c r="S882" s="3">
        <v>5175800</v>
      </c>
      <c r="T882" s="3">
        <v>41.41</v>
      </c>
    </row>
    <row r="883" spans="1:20" hidden="1" x14ac:dyDescent="0.3">
      <c r="A883" s="1">
        <v>45242</v>
      </c>
      <c r="B883" s="2" t="s">
        <v>52</v>
      </c>
      <c r="C883" s="2" t="s">
        <v>116</v>
      </c>
      <c r="D883" s="2" t="s">
        <v>54</v>
      </c>
      <c r="E883" s="2" t="s">
        <v>55</v>
      </c>
      <c r="F883" s="2" t="s">
        <v>39</v>
      </c>
      <c r="G883">
        <v>30</v>
      </c>
      <c r="H883">
        <v>320</v>
      </c>
      <c r="I883">
        <v>34</v>
      </c>
      <c r="J883" s="3">
        <v>1339500</v>
      </c>
      <c r="K883" s="3">
        <v>45543000</v>
      </c>
      <c r="L883" s="2" t="s">
        <v>33</v>
      </c>
      <c r="M883" s="2" t="s">
        <v>77</v>
      </c>
      <c r="N883">
        <v>2023</v>
      </c>
      <c r="O883" s="2" t="s">
        <v>152</v>
      </c>
      <c r="P883" s="2" t="s">
        <v>154</v>
      </c>
      <c r="Q883">
        <v>11</v>
      </c>
      <c r="R883" s="4">
        <v>45231</v>
      </c>
      <c r="S883" s="3">
        <v>1339500</v>
      </c>
      <c r="T883" s="3">
        <v>4.55</v>
      </c>
    </row>
    <row r="884" spans="1:20" hidden="1" x14ac:dyDescent="0.3">
      <c r="A884" s="1">
        <v>45243</v>
      </c>
      <c r="B884" s="2" t="s">
        <v>48</v>
      </c>
      <c r="C884" s="2" t="s">
        <v>73</v>
      </c>
      <c r="D884" s="2" t="s">
        <v>57</v>
      </c>
      <c r="E884" s="2" t="s">
        <v>86</v>
      </c>
      <c r="F884" s="2" t="s">
        <v>39</v>
      </c>
      <c r="G884">
        <v>48</v>
      </c>
      <c r="H884">
        <v>39</v>
      </c>
      <c r="I884">
        <v>93</v>
      </c>
      <c r="J884" s="3">
        <v>2224200</v>
      </c>
      <c r="K884" s="3">
        <v>206850600</v>
      </c>
      <c r="L884" s="2" t="s">
        <v>33</v>
      </c>
      <c r="M884" s="2" t="s">
        <v>26</v>
      </c>
      <c r="N884">
        <v>2023</v>
      </c>
      <c r="O884" s="2" t="s">
        <v>152</v>
      </c>
      <c r="P884" s="2" t="s">
        <v>154</v>
      </c>
      <c r="Q884">
        <v>11</v>
      </c>
      <c r="R884" s="4">
        <v>45231</v>
      </c>
      <c r="S884" s="3">
        <v>2224200</v>
      </c>
      <c r="T884" s="3">
        <v>20.69</v>
      </c>
    </row>
    <row r="885" spans="1:20" hidden="1" x14ac:dyDescent="0.3">
      <c r="A885" s="1">
        <v>45243</v>
      </c>
      <c r="B885" s="2" t="s">
        <v>46</v>
      </c>
      <c r="C885" s="2" t="s">
        <v>137</v>
      </c>
      <c r="D885" s="2" t="s">
        <v>70</v>
      </c>
      <c r="E885" s="2" t="s">
        <v>71</v>
      </c>
      <c r="F885" s="2" t="s">
        <v>24</v>
      </c>
      <c r="G885">
        <v>50</v>
      </c>
      <c r="H885">
        <v>46</v>
      </c>
      <c r="I885">
        <v>68</v>
      </c>
      <c r="J885" s="3">
        <v>2454300</v>
      </c>
      <c r="K885" s="3">
        <v>166892400</v>
      </c>
      <c r="L885" s="2" t="s">
        <v>92</v>
      </c>
      <c r="M885" s="2" t="s">
        <v>26</v>
      </c>
      <c r="N885">
        <v>2023</v>
      </c>
      <c r="O885" s="2" t="s">
        <v>152</v>
      </c>
      <c r="P885" s="2" t="s">
        <v>154</v>
      </c>
      <c r="Q885">
        <v>11</v>
      </c>
      <c r="R885" s="4">
        <v>45231</v>
      </c>
      <c r="S885" s="3">
        <v>2454300</v>
      </c>
      <c r="T885" s="3">
        <v>16.690000000000001</v>
      </c>
    </row>
    <row r="886" spans="1:20" hidden="1" x14ac:dyDescent="0.3">
      <c r="A886" s="1">
        <v>45243</v>
      </c>
      <c r="B886" s="2" t="s">
        <v>48</v>
      </c>
      <c r="C886" s="2" t="s">
        <v>98</v>
      </c>
      <c r="D886" s="2" t="s">
        <v>54</v>
      </c>
      <c r="E886" s="2" t="s">
        <v>55</v>
      </c>
      <c r="F886" s="2" t="s">
        <v>24</v>
      </c>
      <c r="G886">
        <v>30</v>
      </c>
      <c r="H886">
        <v>320</v>
      </c>
      <c r="I886">
        <v>75</v>
      </c>
      <c r="J886" s="3">
        <v>1609100</v>
      </c>
      <c r="K886" s="3">
        <v>120682500</v>
      </c>
      <c r="L886" s="2" t="s">
        <v>33</v>
      </c>
      <c r="M886" s="2" t="s">
        <v>26</v>
      </c>
      <c r="N886">
        <v>2023</v>
      </c>
      <c r="O886" s="2" t="s">
        <v>152</v>
      </c>
      <c r="P886" s="2" t="s">
        <v>154</v>
      </c>
      <c r="Q886">
        <v>11</v>
      </c>
      <c r="R886" s="4">
        <v>45231</v>
      </c>
      <c r="S886" s="3">
        <v>1609100</v>
      </c>
      <c r="T886" s="3">
        <v>12.07</v>
      </c>
    </row>
    <row r="887" spans="1:20" hidden="1" x14ac:dyDescent="0.3">
      <c r="A887" s="1">
        <v>45243</v>
      </c>
      <c r="B887" s="2" t="s">
        <v>35</v>
      </c>
      <c r="C887" s="2" t="s">
        <v>87</v>
      </c>
      <c r="D887" s="2" t="s">
        <v>37</v>
      </c>
      <c r="E887" s="2" t="s">
        <v>38</v>
      </c>
      <c r="F887" s="2" t="s">
        <v>39</v>
      </c>
      <c r="G887">
        <v>66</v>
      </c>
      <c r="H887">
        <v>423</v>
      </c>
      <c r="I887">
        <v>61</v>
      </c>
      <c r="J887" s="3">
        <v>7798600</v>
      </c>
      <c r="K887" s="3">
        <v>475714600</v>
      </c>
      <c r="L887" s="2" t="s">
        <v>33</v>
      </c>
      <c r="M887" s="2" t="s">
        <v>26</v>
      </c>
      <c r="N887">
        <v>2023</v>
      </c>
      <c r="O887" s="2" t="s">
        <v>152</v>
      </c>
      <c r="P887" s="2" t="s">
        <v>154</v>
      </c>
      <c r="Q887">
        <v>11</v>
      </c>
      <c r="R887" s="4">
        <v>45231</v>
      </c>
      <c r="S887" s="3">
        <v>7798600</v>
      </c>
      <c r="T887" s="3">
        <v>47.57</v>
      </c>
    </row>
    <row r="888" spans="1:20" hidden="1" x14ac:dyDescent="0.3">
      <c r="A888" s="1">
        <v>45244</v>
      </c>
      <c r="B888" s="2" t="s">
        <v>46</v>
      </c>
      <c r="C888" s="2" t="s">
        <v>137</v>
      </c>
      <c r="D888" s="2" t="s">
        <v>94</v>
      </c>
      <c r="E888" s="2" t="s">
        <v>95</v>
      </c>
      <c r="F888" s="2" t="s">
        <v>24</v>
      </c>
      <c r="G888">
        <v>40</v>
      </c>
      <c r="H888">
        <v>30</v>
      </c>
      <c r="I888">
        <v>117</v>
      </c>
      <c r="J888" s="3">
        <v>2075700</v>
      </c>
      <c r="K888" s="3">
        <v>242856900</v>
      </c>
      <c r="L888" s="2" t="s">
        <v>25</v>
      </c>
      <c r="M888" s="2" t="s">
        <v>77</v>
      </c>
      <c r="N888">
        <v>2023</v>
      </c>
      <c r="O888" s="2" t="s">
        <v>152</v>
      </c>
      <c r="P888" s="2" t="s">
        <v>154</v>
      </c>
      <c r="Q888">
        <v>11</v>
      </c>
      <c r="R888" s="4">
        <v>45231</v>
      </c>
      <c r="S888" s="3">
        <v>2075700</v>
      </c>
      <c r="T888" s="3">
        <v>24.29</v>
      </c>
    </row>
    <row r="889" spans="1:20" hidden="1" x14ac:dyDescent="0.3">
      <c r="A889" s="1">
        <v>45244</v>
      </c>
      <c r="B889" s="2" t="s">
        <v>108</v>
      </c>
      <c r="C889" s="2" t="s">
        <v>109</v>
      </c>
      <c r="D889" s="2" t="s">
        <v>42</v>
      </c>
      <c r="E889" s="2" t="s">
        <v>43</v>
      </c>
      <c r="F889" s="2" t="s">
        <v>24</v>
      </c>
      <c r="G889">
        <v>3</v>
      </c>
      <c r="H889">
        <v>135</v>
      </c>
      <c r="I889">
        <v>34</v>
      </c>
      <c r="J889" s="3">
        <v>126200</v>
      </c>
      <c r="K889" s="3">
        <v>4290800</v>
      </c>
      <c r="L889" s="2" t="s">
        <v>33</v>
      </c>
      <c r="M889" s="2" t="s">
        <v>77</v>
      </c>
      <c r="N889">
        <v>2023</v>
      </c>
      <c r="O889" s="2" t="s">
        <v>152</v>
      </c>
      <c r="P889" s="2" t="s">
        <v>154</v>
      </c>
      <c r="Q889">
        <v>11</v>
      </c>
      <c r="R889" s="4">
        <v>45231</v>
      </c>
      <c r="S889" s="3">
        <v>126200</v>
      </c>
      <c r="T889" s="3">
        <v>0.43</v>
      </c>
    </row>
    <row r="890" spans="1:20" hidden="1" x14ac:dyDescent="0.3">
      <c r="A890" s="1">
        <v>45246</v>
      </c>
      <c r="B890" s="2" t="s">
        <v>46</v>
      </c>
      <c r="C890" s="2" t="s">
        <v>110</v>
      </c>
      <c r="D890" s="2" t="s">
        <v>67</v>
      </c>
      <c r="E890" s="2" t="s">
        <v>118</v>
      </c>
      <c r="F890" s="2" t="s">
        <v>39</v>
      </c>
      <c r="G890">
        <v>84</v>
      </c>
      <c r="H890">
        <v>590</v>
      </c>
      <c r="I890">
        <v>27</v>
      </c>
      <c r="J890" s="3">
        <v>6802900</v>
      </c>
      <c r="K890" s="3">
        <v>183678300</v>
      </c>
      <c r="L890" s="2" t="s">
        <v>33</v>
      </c>
      <c r="M890" s="2" t="s">
        <v>26</v>
      </c>
      <c r="N890">
        <v>2023</v>
      </c>
      <c r="O890" s="2" t="s">
        <v>152</v>
      </c>
      <c r="P890" s="2" t="s">
        <v>154</v>
      </c>
      <c r="Q890">
        <v>11</v>
      </c>
      <c r="R890" s="4">
        <v>45231</v>
      </c>
      <c r="S890" s="3">
        <v>6802900</v>
      </c>
      <c r="T890" s="3">
        <v>18.37</v>
      </c>
    </row>
    <row r="891" spans="1:20" hidden="1" x14ac:dyDescent="0.3">
      <c r="A891" s="1">
        <v>45246</v>
      </c>
      <c r="B891" s="2" t="s">
        <v>46</v>
      </c>
      <c r="C891" s="2" t="s">
        <v>56</v>
      </c>
      <c r="D891" s="2" t="s">
        <v>22</v>
      </c>
      <c r="E891" s="2" t="s">
        <v>23</v>
      </c>
      <c r="F891" s="2" t="s">
        <v>39</v>
      </c>
      <c r="G891">
        <v>82</v>
      </c>
      <c r="H891">
        <v>520</v>
      </c>
      <c r="I891">
        <v>43</v>
      </c>
      <c r="J891" s="3">
        <v>7439600</v>
      </c>
      <c r="K891" s="3">
        <v>319902800</v>
      </c>
      <c r="L891" s="2" t="s">
        <v>33</v>
      </c>
      <c r="M891" s="2" t="s">
        <v>26</v>
      </c>
      <c r="N891">
        <v>2023</v>
      </c>
      <c r="O891" s="2" t="s">
        <v>152</v>
      </c>
      <c r="P891" s="2" t="s">
        <v>154</v>
      </c>
      <c r="Q891">
        <v>11</v>
      </c>
      <c r="R891" s="4">
        <v>45231</v>
      </c>
      <c r="S891" s="3">
        <v>7439600</v>
      </c>
      <c r="T891" s="3">
        <v>31.99</v>
      </c>
    </row>
    <row r="892" spans="1:20" hidden="1" x14ac:dyDescent="0.3">
      <c r="A892" s="1">
        <v>45246</v>
      </c>
      <c r="B892" s="2" t="s">
        <v>46</v>
      </c>
      <c r="C892" s="2" t="s">
        <v>56</v>
      </c>
      <c r="D892" s="2" t="s">
        <v>63</v>
      </c>
      <c r="E892" s="2" t="s">
        <v>64</v>
      </c>
      <c r="F892" s="2" t="s">
        <v>24</v>
      </c>
      <c r="G892">
        <v>3</v>
      </c>
      <c r="H892">
        <v>127</v>
      </c>
      <c r="I892">
        <v>165</v>
      </c>
      <c r="J892" s="3">
        <v>143500</v>
      </c>
      <c r="K892" s="3">
        <v>23677500</v>
      </c>
      <c r="L892" s="2" t="s">
        <v>33</v>
      </c>
      <c r="M892" s="2" t="s">
        <v>26</v>
      </c>
      <c r="N892">
        <v>2023</v>
      </c>
      <c r="O892" s="2" t="s">
        <v>152</v>
      </c>
      <c r="P892" s="2" t="s">
        <v>154</v>
      </c>
      <c r="Q892">
        <v>11</v>
      </c>
      <c r="R892" s="4">
        <v>45231</v>
      </c>
      <c r="S892" s="3">
        <v>143500</v>
      </c>
      <c r="T892" s="3">
        <v>2.37</v>
      </c>
    </row>
    <row r="893" spans="1:20" hidden="1" x14ac:dyDescent="0.3">
      <c r="A893" s="1">
        <v>45247</v>
      </c>
      <c r="B893" s="2" t="s">
        <v>59</v>
      </c>
      <c r="C893" s="2" t="s">
        <v>135</v>
      </c>
      <c r="D893" s="2" t="s">
        <v>22</v>
      </c>
      <c r="E893" s="2" t="s">
        <v>23</v>
      </c>
      <c r="F893" s="2" t="s">
        <v>39</v>
      </c>
      <c r="G893">
        <v>82</v>
      </c>
      <c r="H893">
        <v>520</v>
      </c>
      <c r="I893">
        <v>20</v>
      </c>
      <c r="J893" s="3">
        <v>6133700</v>
      </c>
      <c r="K893" s="3">
        <v>122674000</v>
      </c>
      <c r="L893" s="2" t="s">
        <v>25</v>
      </c>
      <c r="M893" s="2" t="s">
        <v>77</v>
      </c>
      <c r="N893">
        <v>2023</v>
      </c>
      <c r="O893" s="2" t="s">
        <v>152</v>
      </c>
      <c r="P893" s="2" t="s">
        <v>154</v>
      </c>
      <c r="Q893">
        <v>11</v>
      </c>
      <c r="R893" s="4">
        <v>45231</v>
      </c>
      <c r="S893" s="3">
        <v>6133700</v>
      </c>
      <c r="T893" s="3">
        <v>12.27</v>
      </c>
    </row>
    <row r="894" spans="1:20" hidden="1" x14ac:dyDescent="0.3">
      <c r="A894" s="1">
        <v>45248</v>
      </c>
      <c r="B894" s="2" t="s">
        <v>84</v>
      </c>
      <c r="C894" s="2" t="s">
        <v>85</v>
      </c>
      <c r="D894" s="2" t="s">
        <v>50</v>
      </c>
      <c r="E894" s="2" t="s">
        <v>51</v>
      </c>
      <c r="F894" s="2" t="s">
        <v>39</v>
      </c>
      <c r="G894">
        <v>77</v>
      </c>
      <c r="H894">
        <v>528</v>
      </c>
      <c r="I894">
        <v>11</v>
      </c>
      <c r="J894" s="3">
        <v>4546600</v>
      </c>
      <c r="K894" s="3">
        <v>50012600</v>
      </c>
      <c r="L894" s="2" t="s">
        <v>33</v>
      </c>
      <c r="M894" s="2" t="s">
        <v>26</v>
      </c>
      <c r="N894">
        <v>2023</v>
      </c>
      <c r="O894" s="2" t="s">
        <v>152</v>
      </c>
      <c r="P894" s="2" t="s">
        <v>154</v>
      </c>
      <c r="Q894">
        <v>11</v>
      </c>
      <c r="R894" s="4">
        <v>45231</v>
      </c>
      <c r="S894" s="3">
        <v>4546600</v>
      </c>
      <c r="T894" s="3">
        <v>5</v>
      </c>
    </row>
    <row r="895" spans="1:20" hidden="1" x14ac:dyDescent="0.3">
      <c r="A895" s="1">
        <v>45248</v>
      </c>
      <c r="B895" s="2" t="s">
        <v>75</v>
      </c>
      <c r="C895" s="2" t="s">
        <v>122</v>
      </c>
      <c r="D895" s="2" t="s">
        <v>63</v>
      </c>
      <c r="E895" s="2" t="s">
        <v>64</v>
      </c>
      <c r="F895" s="2" t="s">
        <v>24</v>
      </c>
      <c r="G895">
        <v>3</v>
      </c>
      <c r="H895">
        <v>127</v>
      </c>
      <c r="I895">
        <v>171</v>
      </c>
      <c r="J895" s="3">
        <v>168700</v>
      </c>
      <c r="K895" s="3">
        <v>28847700</v>
      </c>
      <c r="L895" s="2" t="s">
        <v>25</v>
      </c>
      <c r="M895" s="2" t="s">
        <v>26</v>
      </c>
      <c r="N895">
        <v>2023</v>
      </c>
      <c r="O895" s="2" t="s">
        <v>152</v>
      </c>
      <c r="P895" s="2" t="s">
        <v>154</v>
      </c>
      <c r="Q895">
        <v>11</v>
      </c>
      <c r="R895" s="4">
        <v>45231</v>
      </c>
      <c r="S895" s="3">
        <v>168700</v>
      </c>
      <c r="T895" s="3">
        <v>2.88</v>
      </c>
    </row>
    <row r="896" spans="1:20" hidden="1" x14ac:dyDescent="0.3">
      <c r="A896" s="1">
        <v>45248</v>
      </c>
      <c r="B896" s="2" t="s">
        <v>84</v>
      </c>
      <c r="C896" s="2" t="s">
        <v>85</v>
      </c>
      <c r="D896" s="2" t="s">
        <v>22</v>
      </c>
      <c r="E896" s="2" t="s">
        <v>23</v>
      </c>
      <c r="F896" s="2" t="s">
        <v>24</v>
      </c>
      <c r="G896">
        <v>82</v>
      </c>
      <c r="H896">
        <v>520</v>
      </c>
      <c r="I896">
        <v>29</v>
      </c>
      <c r="J896" s="3">
        <v>5990800</v>
      </c>
      <c r="K896" s="3">
        <v>173733200</v>
      </c>
      <c r="L896" s="2" t="s">
        <v>33</v>
      </c>
      <c r="M896" s="2" t="s">
        <v>26</v>
      </c>
      <c r="N896">
        <v>2023</v>
      </c>
      <c r="O896" s="2" t="s">
        <v>152</v>
      </c>
      <c r="P896" s="2" t="s">
        <v>154</v>
      </c>
      <c r="Q896">
        <v>11</v>
      </c>
      <c r="R896" s="4">
        <v>45231</v>
      </c>
      <c r="S896" s="3">
        <v>5990800</v>
      </c>
      <c r="T896" s="3">
        <v>17.37</v>
      </c>
    </row>
    <row r="897" spans="1:20" hidden="1" x14ac:dyDescent="0.3">
      <c r="A897" s="1">
        <v>45248</v>
      </c>
      <c r="B897" s="2" t="s">
        <v>29</v>
      </c>
      <c r="C897" s="2" t="s">
        <v>96</v>
      </c>
      <c r="D897" s="2" t="s">
        <v>54</v>
      </c>
      <c r="E897" s="2" t="s">
        <v>55</v>
      </c>
      <c r="F897" s="2" t="s">
        <v>39</v>
      </c>
      <c r="G897">
        <v>30</v>
      </c>
      <c r="H897">
        <v>320</v>
      </c>
      <c r="I897">
        <v>16</v>
      </c>
      <c r="J897" s="3">
        <v>1626100</v>
      </c>
      <c r="K897" s="3">
        <v>26017600</v>
      </c>
      <c r="L897" s="2" t="s">
        <v>92</v>
      </c>
      <c r="M897" s="2" t="s">
        <v>77</v>
      </c>
      <c r="N897">
        <v>2023</v>
      </c>
      <c r="O897" s="2" t="s">
        <v>152</v>
      </c>
      <c r="P897" s="2" t="s">
        <v>154</v>
      </c>
      <c r="Q897">
        <v>11</v>
      </c>
      <c r="R897" s="4">
        <v>45231</v>
      </c>
      <c r="S897" s="3">
        <v>1626100</v>
      </c>
      <c r="T897" s="3">
        <v>2.6</v>
      </c>
    </row>
    <row r="898" spans="1:20" hidden="1" x14ac:dyDescent="0.3">
      <c r="A898" s="1">
        <v>45249</v>
      </c>
      <c r="B898" s="2" t="s">
        <v>106</v>
      </c>
      <c r="C898" s="2" t="s">
        <v>120</v>
      </c>
      <c r="D898" s="2" t="s">
        <v>22</v>
      </c>
      <c r="E898" s="2" t="s">
        <v>23</v>
      </c>
      <c r="F898" s="2" t="s">
        <v>24</v>
      </c>
      <c r="G898">
        <v>82</v>
      </c>
      <c r="H898">
        <v>520</v>
      </c>
      <c r="I898">
        <v>24</v>
      </c>
      <c r="J898" s="3">
        <v>6667500</v>
      </c>
      <c r="K898" s="3">
        <v>160020000</v>
      </c>
      <c r="L898" s="2" t="s">
        <v>25</v>
      </c>
      <c r="M898" s="2" t="s">
        <v>26</v>
      </c>
      <c r="N898">
        <v>2023</v>
      </c>
      <c r="O898" s="2" t="s">
        <v>152</v>
      </c>
      <c r="P898" s="2" t="s">
        <v>154</v>
      </c>
      <c r="Q898">
        <v>11</v>
      </c>
      <c r="R898" s="4">
        <v>45231</v>
      </c>
      <c r="S898" s="3">
        <v>6667500</v>
      </c>
      <c r="T898" s="3">
        <v>16</v>
      </c>
    </row>
    <row r="899" spans="1:20" hidden="1" x14ac:dyDescent="0.3">
      <c r="A899" s="1">
        <v>45249</v>
      </c>
      <c r="B899" s="2" t="s">
        <v>46</v>
      </c>
      <c r="C899" s="2" t="s">
        <v>137</v>
      </c>
      <c r="D899" s="2" t="s">
        <v>50</v>
      </c>
      <c r="E899" s="2" t="s">
        <v>51</v>
      </c>
      <c r="F899" s="2" t="s">
        <v>24</v>
      </c>
      <c r="G899">
        <v>77</v>
      </c>
      <c r="H899">
        <v>528</v>
      </c>
      <c r="I899">
        <v>42</v>
      </c>
      <c r="J899" s="3">
        <v>5466800</v>
      </c>
      <c r="K899" s="3">
        <v>229605600</v>
      </c>
      <c r="L899" s="2" t="s">
        <v>33</v>
      </c>
      <c r="M899" s="2" t="s">
        <v>26</v>
      </c>
      <c r="N899">
        <v>2023</v>
      </c>
      <c r="O899" s="2" t="s">
        <v>152</v>
      </c>
      <c r="P899" s="2" t="s">
        <v>154</v>
      </c>
      <c r="Q899">
        <v>11</v>
      </c>
      <c r="R899" s="4">
        <v>45231</v>
      </c>
      <c r="S899" s="3">
        <v>5466800</v>
      </c>
      <c r="T899" s="3">
        <v>22.96</v>
      </c>
    </row>
    <row r="900" spans="1:20" hidden="1" x14ac:dyDescent="0.3">
      <c r="A900" s="1">
        <v>45250</v>
      </c>
      <c r="B900" s="2" t="s">
        <v>29</v>
      </c>
      <c r="C900" s="2" t="s">
        <v>30</v>
      </c>
      <c r="D900" s="2" t="s">
        <v>31</v>
      </c>
      <c r="E900" s="2" t="s">
        <v>124</v>
      </c>
      <c r="F900" s="2" t="s">
        <v>24</v>
      </c>
      <c r="G900">
        <v>3</v>
      </c>
      <c r="H900">
        <v>151</v>
      </c>
      <c r="I900">
        <v>60</v>
      </c>
      <c r="J900" s="3">
        <v>112300</v>
      </c>
      <c r="K900" s="3">
        <v>6738000</v>
      </c>
      <c r="L900" s="2" t="s">
        <v>25</v>
      </c>
      <c r="M900" s="2" t="s">
        <v>26</v>
      </c>
      <c r="N900">
        <v>2023</v>
      </c>
      <c r="O900" s="2" t="s">
        <v>152</v>
      </c>
      <c r="P900" s="2" t="s">
        <v>154</v>
      </c>
      <c r="Q900">
        <v>11</v>
      </c>
      <c r="R900" s="4">
        <v>45231</v>
      </c>
      <c r="S900" s="3">
        <v>112300</v>
      </c>
      <c r="T900" s="3">
        <v>0.67</v>
      </c>
    </row>
    <row r="901" spans="1:20" hidden="1" x14ac:dyDescent="0.3">
      <c r="A901" s="1">
        <v>45250</v>
      </c>
      <c r="B901" s="2" t="s">
        <v>90</v>
      </c>
      <c r="C901" s="2" t="s">
        <v>99</v>
      </c>
      <c r="D901" s="2" t="s">
        <v>50</v>
      </c>
      <c r="E901" s="2" t="s">
        <v>51</v>
      </c>
      <c r="F901" s="2" t="s">
        <v>72</v>
      </c>
      <c r="G901">
        <v>77</v>
      </c>
      <c r="H901">
        <v>528</v>
      </c>
      <c r="I901">
        <v>21</v>
      </c>
      <c r="J901" s="3">
        <v>4823300</v>
      </c>
      <c r="K901" s="3">
        <v>101289300</v>
      </c>
      <c r="L901" s="2" t="s">
        <v>25</v>
      </c>
      <c r="M901" s="2" t="s">
        <v>77</v>
      </c>
      <c r="N901">
        <v>2023</v>
      </c>
      <c r="O901" s="2" t="s">
        <v>152</v>
      </c>
      <c r="P901" s="2" t="s">
        <v>154</v>
      </c>
      <c r="Q901">
        <v>11</v>
      </c>
      <c r="R901" s="4">
        <v>45231</v>
      </c>
      <c r="S901" s="3">
        <v>4823300</v>
      </c>
      <c r="T901" s="3">
        <v>10.130000000000001</v>
      </c>
    </row>
    <row r="902" spans="1:20" hidden="1" x14ac:dyDescent="0.3">
      <c r="A902" s="1">
        <v>45251</v>
      </c>
      <c r="B902" s="2" t="s">
        <v>40</v>
      </c>
      <c r="C902" s="2" t="s">
        <v>136</v>
      </c>
      <c r="D902" s="2" t="s">
        <v>102</v>
      </c>
      <c r="E902" s="2" t="s">
        <v>103</v>
      </c>
      <c r="F902" s="2" t="s">
        <v>24</v>
      </c>
      <c r="G902">
        <v>5</v>
      </c>
      <c r="H902">
        <v>150</v>
      </c>
      <c r="I902">
        <v>27</v>
      </c>
      <c r="J902" s="3">
        <v>152400</v>
      </c>
      <c r="K902" s="3">
        <v>4114800</v>
      </c>
      <c r="L902" s="2" t="s">
        <v>33</v>
      </c>
      <c r="M902" s="2" t="s">
        <v>26</v>
      </c>
      <c r="N902">
        <v>2023</v>
      </c>
      <c r="O902" s="2" t="s">
        <v>152</v>
      </c>
      <c r="P902" s="2" t="s">
        <v>154</v>
      </c>
      <c r="Q902">
        <v>11</v>
      </c>
      <c r="R902" s="4">
        <v>45231</v>
      </c>
      <c r="S902" s="3">
        <v>152400</v>
      </c>
      <c r="T902" s="3">
        <v>0.41</v>
      </c>
    </row>
    <row r="903" spans="1:20" hidden="1" x14ac:dyDescent="0.3">
      <c r="A903" s="1">
        <v>45251</v>
      </c>
      <c r="B903" s="2" t="s">
        <v>29</v>
      </c>
      <c r="C903" s="2" t="s">
        <v>30</v>
      </c>
      <c r="D903" s="2" t="s">
        <v>22</v>
      </c>
      <c r="E903" s="2" t="s">
        <v>23</v>
      </c>
      <c r="F903" s="2" t="s">
        <v>24</v>
      </c>
      <c r="G903">
        <v>82</v>
      </c>
      <c r="H903">
        <v>520</v>
      </c>
      <c r="I903">
        <v>73</v>
      </c>
      <c r="J903" s="3">
        <v>7083200</v>
      </c>
      <c r="K903" s="3">
        <v>517073600</v>
      </c>
      <c r="L903" s="2" t="s">
        <v>33</v>
      </c>
      <c r="M903" s="2" t="s">
        <v>26</v>
      </c>
      <c r="N903">
        <v>2023</v>
      </c>
      <c r="O903" s="2" t="s">
        <v>152</v>
      </c>
      <c r="P903" s="2" t="s">
        <v>154</v>
      </c>
      <c r="Q903">
        <v>11</v>
      </c>
      <c r="R903" s="4">
        <v>45231</v>
      </c>
      <c r="S903" s="3">
        <v>7083200</v>
      </c>
      <c r="T903" s="3">
        <v>51.71</v>
      </c>
    </row>
    <row r="904" spans="1:20" hidden="1" x14ac:dyDescent="0.3">
      <c r="A904" s="1">
        <v>45251</v>
      </c>
      <c r="B904" s="2" t="s">
        <v>40</v>
      </c>
      <c r="C904" s="2" t="s">
        <v>136</v>
      </c>
      <c r="D904" s="2" t="s">
        <v>22</v>
      </c>
      <c r="E904" s="2" t="s">
        <v>23</v>
      </c>
      <c r="F904" s="2" t="s">
        <v>24</v>
      </c>
      <c r="G904">
        <v>82</v>
      </c>
      <c r="H904">
        <v>520</v>
      </c>
      <c r="I904">
        <v>48</v>
      </c>
      <c r="J904" s="3">
        <v>5840100</v>
      </c>
      <c r="K904" s="3">
        <v>280324800</v>
      </c>
      <c r="L904" s="2" t="s">
        <v>33</v>
      </c>
      <c r="M904" s="2" t="s">
        <v>34</v>
      </c>
      <c r="N904">
        <v>2023</v>
      </c>
      <c r="O904" s="2" t="s">
        <v>152</v>
      </c>
      <c r="P904" s="2" t="s">
        <v>154</v>
      </c>
      <c r="Q904">
        <v>11</v>
      </c>
      <c r="R904" s="4">
        <v>45231</v>
      </c>
      <c r="S904" s="3">
        <v>5840100</v>
      </c>
      <c r="T904" s="3">
        <v>28.03</v>
      </c>
    </row>
    <row r="905" spans="1:20" hidden="1" x14ac:dyDescent="0.3">
      <c r="A905" s="1">
        <v>45251</v>
      </c>
      <c r="B905" s="2" t="s">
        <v>106</v>
      </c>
      <c r="C905" s="2" t="s">
        <v>120</v>
      </c>
      <c r="D905" s="2" t="s">
        <v>82</v>
      </c>
      <c r="E905" s="2" t="s">
        <v>83</v>
      </c>
      <c r="F905" s="2" t="s">
        <v>39</v>
      </c>
      <c r="G905">
        <v>40</v>
      </c>
      <c r="H905">
        <v>39</v>
      </c>
      <c r="I905">
        <v>78</v>
      </c>
      <c r="J905" s="3">
        <v>2546800</v>
      </c>
      <c r="K905" s="3">
        <v>198650400</v>
      </c>
      <c r="L905" s="2" t="s">
        <v>25</v>
      </c>
      <c r="M905" s="2" t="s">
        <v>77</v>
      </c>
      <c r="N905">
        <v>2023</v>
      </c>
      <c r="O905" s="2" t="s">
        <v>152</v>
      </c>
      <c r="P905" s="2" t="s">
        <v>154</v>
      </c>
      <c r="Q905">
        <v>11</v>
      </c>
      <c r="R905" s="4">
        <v>45231</v>
      </c>
      <c r="S905" s="3">
        <v>2546800</v>
      </c>
      <c r="T905" s="3">
        <v>19.87</v>
      </c>
    </row>
    <row r="906" spans="1:20" hidden="1" x14ac:dyDescent="0.3">
      <c r="A906" s="1">
        <v>45251</v>
      </c>
      <c r="B906" s="2" t="s">
        <v>46</v>
      </c>
      <c r="C906" s="2" t="s">
        <v>56</v>
      </c>
      <c r="D906" s="2" t="s">
        <v>79</v>
      </c>
      <c r="E906" s="2" t="s">
        <v>80</v>
      </c>
      <c r="F906" s="2" t="s">
        <v>24</v>
      </c>
      <c r="G906">
        <v>69</v>
      </c>
      <c r="H906">
        <v>418</v>
      </c>
      <c r="I906">
        <v>51</v>
      </c>
      <c r="J906" s="3">
        <v>6173700</v>
      </c>
      <c r="K906" s="3">
        <v>314858700</v>
      </c>
      <c r="L906" s="2" t="s">
        <v>33</v>
      </c>
      <c r="M906" s="2" t="s">
        <v>26</v>
      </c>
      <c r="N906">
        <v>2023</v>
      </c>
      <c r="O906" s="2" t="s">
        <v>152</v>
      </c>
      <c r="P906" s="2" t="s">
        <v>154</v>
      </c>
      <c r="Q906">
        <v>11</v>
      </c>
      <c r="R906" s="4">
        <v>45231</v>
      </c>
      <c r="S906" s="3">
        <v>6173700</v>
      </c>
      <c r="T906" s="3">
        <v>31.49</v>
      </c>
    </row>
    <row r="907" spans="1:20" hidden="1" x14ac:dyDescent="0.3">
      <c r="A907" s="1">
        <v>45252</v>
      </c>
      <c r="B907" s="2" t="s">
        <v>90</v>
      </c>
      <c r="C907" s="2" t="s">
        <v>128</v>
      </c>
      <c r="D907" s="2" t="s">
        <v>88</v>
      </c>
      <c r="E907" s="2" t="s">
        <v>89</v>
      </c>
      <c r="F907" s="2" t="s">
        <v>24</v>
      </c>
      <c r="G907">
        <v>82</v>
      </c>
      <c r="H907">
        <v>580</v>
      </c>
      <c r="I907">
        <v>56</v>
      </c>
      <c r="J907" s="3">
        <v>5712500</v>
      </c>
      <c r="K907" s="3">
        <v>319900000</v>
      </c>
      <c r="L907" s="2" t="s">
        <v>33</v>
      </c>
      <c r="M907" s="2" t="s">
        <v>26</v>
      </c>
      <c r="N907">
        <v>2023</v>
      </c>
      <c r="O907" s="2" t="s">
        <v>152</v>
      </c>
      <c r="P907" s="2" t="s">
        <v>154</v>
      </c>
      <c r="Q907">
        <v>11</v>
      </c>
      <c r="R907" s="4">
        <v>45231</v>
      </c>
      <c r="S907" s="3">
        <v>5712500</v>
      </c>
      <c r="T907" s="3">
        <v>31.99</v>
      </c>
    </row>
    <row r="908" spans="1:20" hidden="1" x14ac:dyDescent="0.3">
      <c r="A908" s="1">
        <v>45252</v>
      </c>
      <c r="B908" s="2" t="s">
        <v>59</v>
      </c>
      <c r="C908" s="2" t="s">
        <v>135</v>
      </c>
      <c r="D908" s="2" t="s">
        <v>22</v>
      </c>
      <c r="E908" s="2" t="s">
        <v>23</v>
      </c>
      <c r="F908" s="2" t="s">
        <v>39</v>
      </c>
      <c r="G908">
        <v>82</v>
      </c>
      <c r="H908">
        <v>520</v>
      </c>
      <c r="I908">
        <v>35</v>
      </c>
      <c r="J908" s="3">
        <v>5977000</v>
      </c>
      <c r="K908" s="3">
        <v>209195000</v>
      </c>
      <c r="L908" s="2" t="s">
        <v>33</v>
      </c>
      <c r="M908" s="2" t="s">
        <v>26</v>
      </c>
      <c r="N908">
        <v>2023</v>
      </c>
      <c r="O908" s="2" t="s">
        <v>152</v>
      </c>
      <c r="P908" s="2" t="s">
        <v>154</v>
      </c>
      <c r="Q908">
        <v>11</v>
      </c>
      <c r="R908" s="4">
        <v>45231</v>
      </c>
      <c r="S908" s="3">
        <v>5977000</v>
      </c>
      <c r="T908" s="3">
        <v>20.92</v>
      </c>
    </row>
    <row r="909" spans="1:20" hidden="1" x14ac:dyDescent="0.3">
      <c r="A909" s="1">
        <v>45252</v>
      </c>
      <c r="B909" s="2" t="s">
        <v>75</v>
      </c>
      <c r="C909" s="2" t="s">
        <v>76</v>
      </c>
      <c r="D909" s="2" t="s">
        <v>70</v>
      </c>
      <c r="E909" s="2" t="s">
        <v>74</v>
      </c>
      <c r="F909" s="2" t="s">
        <v>24</v>
      </c>
      <c r="G909">
        <v>25</v>
      </c>
      <c r="H909">
        <v>32</v>
      </c>
      <c r="I909">
        <v>95</v>
      </c>
      <c r="J909" s="3">
        <v>1065300</v>
      </c>
      <c r="K909" s="3">
        <v>101203500</v>
      </c>
      <c r="L909" s="2" t="s">
        <v>92</v>
      </c>
      <c r="M909" s="2" t="s">
        <v>26</v>
      </c>
      <c r="N909">
        <v>2023</v>
      </c>
      <c r="O909" s="2" t="s">
        <v>152</v>
      </c>
      <c r="P909" s="2" t="s">
        <v>154</v>
      </c>
      <c r="Q909">
        <v>11</v>
      </c>
      <c r="R909" s="4">
        <v>45231</v>
      </c>
      <c r="S909" s="3">
        <v>1065300</v>
      </c>
      <c r="T909" s="3">
        <v>10.119999999999999</v>
      </c>
    </row>
    <row r="910" spans="1:20" hidden="1" x14ac:dyDescent="0.3">
      <c r="A910" s="1">
        <v>45252</v>
      </c>
      <c r="B910" s="2" t="s">
        <v>20</v>
      </c>
      <c r="C910" s="2" t="s">
        <v>112</v>
      </c>
      <c r="D910" s="2" t="s">
        <v>22</v>
      </c>
      <c r="E910" s="2" t="s">
        <v>23</v>
      </c>
      <c r="F910" s="2" t="s">
        <v>24</v>
      </c>
      <c r="G910">
        <v>82</v>
      </c>
      <c r="H910">
        <v>520</v>
      </c>
      <c r="I910">
        <v>5</v>
      </c>
      <c r="J910" s="3">
        <v>6066400</v>
      </c>
      <c r="K910" s="3">
        <v>30332000</v>
      </c>
      <c r="L910" s="2" t="s">
        <v>25</v>
      </c>
      <c r="M910" s="2" t="s">
        <v>77</v>
      </c>
      <c r="N910">
        <v>2023</v>
      </c>
      <c r="O910" s="2" t="s">
        <v>152</v>
      </c>
      <c r="P910" s="2" t="s">
        <v>154</v>
      </c>
      <c r="Q910">
        <v>11</v>
      </c>
      <c r="R910" s="4">
        <v>45231</v>
      </c>
      <c r="S910" s="3">
        <v>6066400</v>
      </c>
      <c r="T910" s="3">
        <v>3.03</v>
      </c>
    </row>
    <row r="911" spans="1:20" hidden="1" x14ac:dyDescent="0.3">
      <c r="A911" s="1">
        <v>45253</v>
      </c>
      <c r="B911" s="2" t="s">
        <v>75</v>
      </c>
      <c r="C911" s="2" t="s">
        <v>76</v>
      </c>
      <c r="D911" s="2" t="s">
        <v>88</v>
      </c>
      <c r="E911" s="2" t="s">
        <v>111</v>
      </c>
      <c r="F911" s="2" t="s">
        <v>24</v>
      </c>
      <c r="G911">
        <v>60</v>
      </c>
      <c r="H911">
        <v>480</v>
      </c>
      <c r="I911">
        <v>25</v>
      </c>
      <c r="J911" s="3">
        <v>3563100</v>
      </c>
      <c r="K911" s="3">
        <v>89077500</v>
      </c>
      <c r="L911" s="2" t="s">
        <v>33</v>
      </c>
      <c r="M911" s="2" t="s">
        <v>26</v>
      </c>
      <c r="N911">
        <v>2023</v>
      </c>
      <c r="O911" s="2" t="s">
        <v>152</v>
      </c>
      <c r="P911" s="2" t="s">
        <v>154</v>
      </c>
      <c r="Q911">
        <v>11</v>
      </c>
      <c r="R911" s="4">
        <v>45231</v>
      </c>
      <c r="S911" s="3">
        <v>3563100</v>
      </c>
      <c r="T911" s="3">
        <v>8.91</v>
      </c>
    </row>
    <row r="912" spans="1:20" hidden="1" x14ac:dyDescent="0.3">
      <c r="A912" s="1">
        <v>45253</v>
      </c>
      <c r="B912" s="2" t="s">
        <v>29</v>
      </c>
      <c r="C912" s="2" t="s">
        <v>30</v>
      </c>
      <c r="D912" s="2" t="s">
        <v>94</v>
      </c>
      <c r="E912" s="2" t="s">
        <v>95</v>
      </c>
      <c r="F912" s="2" t="s">
        <v>24</v>
      </c>
      <c r="G912">
        <v>40</v>
      </c>
      <c r="H912">
        <v>30</v>
      </c>
      <c r="I912">
        <v>65</v>
      </c>
      <c r="J912" s="3">
        <v>2593600</v>
      </c>
      <c r="K912" s="3">
        <v>168584000</v>
      </c>
      <c r="L912" s="2" t="s">
        <v>33</v>
      </c>
      <c r="M912" s="2" t="s">
        <v>77</v>
      </c>
      <c r="N912">
        <v>2023</v>
      </c>
      <c r="O912" s="2" t="s">
        <v>152</v>
      </c>
      <c r="P912" s="2" t="s">
        <v>154</v>
      </c>
      <c r="Q912">
        <v>11</v>
      </c>
      <c r="R912" s="4">
        <v>45231</v>
      </c>
      <c r="S912" s="3">
        <v>2593600</v>
      </c>
      <c r="T912" s="3">
        <v>16.86</v>
      </c>
    </row>
    <row r="913" spans="1:20" hidden="1" x14ac:dyDescent="0.3">
      <c r="A913" s="1">
        <v>45254</v>
      </c>
      <c r="B913" s="2" t="s">
        <v>48</v>
      </c>
      <c r="C913" s="2" t="s">
        <v>98</v>
      </c>
      <c r="D913" s="2" t="s">
        <v>63</v>
      </c>
      <c r="E913" s="2" t="s">
        <v>64</v>
      </c>
      <c r="F913" s="2" t="s">
        <v>24</v>
      </c>
      <c r="G913">
        <v>3</v>
      </c>
      <c r="H913">
        <v>127</v>
      </c>
      <c r="I913">
        <v>172</v>
      </c>
      <c r="J913" s="3">
        <v>151600</v>
      </c>
      <c r="K913" s="3">
        <v>26075200</v>
      </c>
      <c r="L913" s="2" t="s">
        <v>33</v>
      </c>
      <c r="M913" s="2" t="s">
        <v>77</v>
      </c>
      <c r="N913">
        <v>2023</v>
      </c>
      <c r="O913" s="2" t="s">
        <v>152</v>
      </c>
      <c r="P913" s="2" t="s">
        <v>154</v>
      </c>
      <c r="Q913">
        <v>11</v>
      </c>
      <c r="R913" s="4">
        <v>45231</v>
      </c>
      <c r="S913" s="3">
        <v>151600</v>
      </c>
      <c r="T913" s="3">
        <v>2.61</v>
      </c>
    </row>
    <row r="914" spans="1:20" hidden="1" x14ac:dyDescent="0.3">
      <c r="A914" s="1">
        <v>45254</v>
      </c>
      <c r="B914" s="2" t="s">
        <v>90</v>
      </c>
      <c r="C914" s="2" t="s">
        <v>99</v>
      </c>
      <c r="D914" s="2" t="s">
        <v>57</v>
      </c>
      <c r="E914" s="2" t="s">
        <v>58</v>
      </c>
      <c r="F914" s="2" t="s">
        <v>24</v>
      </c>
      <c r="G914">
        <v>72</v>
      </c>
      <c r="H914">
        <v>488</v>
      </c>
      <c r="I914">
        <v>168</v>
      </c>
      <c r="J914" s="3">
        <v>4894500</v>
      </c>
      <c r="K914" s="3">
        <v>822276000</v>
      </c>
      <c r="L914" s="2" t="s">
        <v>33</v>
      </c>
      <c r="M914" s="2" t="s">
        <v>26</v>
      </c>
      <c r="N914">
        <v>2023</v>
      </c>
      <c r="O914" s="2" t="s">
        <v>152</v>
      </c>
      <c r="P914" s="2" t="s">
        <v>154</v>
      </c>
      <c r="Q914">
        <v>11</v>
      </c>
      <c r="R914" s="4">
        <v>45231</v>
      </c>
      <c r="S914" s="3">
        <v>4894500</v>
      </c>
      <c r="T914" s="3">
        <v>82.23</v>
      </c>
    </row>
    <row r="915" spans="1:20" hidden="1" x14ac:dyDescent="0.3">
      <c r="A915" s="1">
        <v>45255</v>
      </c>
      <c r="B915" s="2" t="s">
        <v>59</v>
      </c>
      <c r="C915" s="2" t="s">
        <v>129</v>
      </c>
      <c r="D915" s="2" t="s">
        <v>94</v>
      </c>
      <c r="E915" s="2" t="s">
        <v>140</v>
      </c>
      <c r="F915" s="2" t="s">
        <v>24</v>
      </c>
      <c r="G915">
        <v>35</v>
      </c>
      <c r="H915">
        <v>32</v>
      </c>
      <c r="I915">
        <v>68</v>
      </c>
      <c r="J915" s="3">
        <v>2039700</v>
      </c>
      <c r="K915" s="3">
        <v>138699600</v>
      </c>
      <c r="L915" s="2" t="s">
        <v>33</v>
      </c>
      <c r="M915" s="2" t="s">
        <v>34</v>
      </c>
      <c r="N915">
        <v>2023</v>
      </c>
      <c r="O915" s="2" t="s">
        <v>152</v>
      </c>
      <c r="P915" s="2" t="s">
        <v>154</v>
      </c>
      <c r="Q915">
        <v>11</v>
      </c>
      <c r="R915" s="4">
        <v>45231</v>
      </c>
      <c r="S915" s="3">
        <v>2039700</v>
      </c>
      <c r="T915" s="3">
        <v>13.87</v>
      </c>
    </row>
    <row r="916" spans="1:20" hidden="1" x14ac:dyDescent="0.3">
      <c r="A916" s="1">
        <v>45255</v>
      </c>
      <c r="B916" s="2" t="s">
        <v>40</v>
      </c>
      <c r="C916" s="2" t="s">
        <v>41</v>
      </c>
      <c r="D916" s="2" t="s">
        <v>54</v>
      </c>
      <c r="E916" s="2" t="s">
        <v>55</v>
      </c>
      <c r="F916" s="2" t="s">
        <v>72</v>
      </c>
      <c r="G916">
        <v>30</v>
      </c>
      <c r="H916">
        <v>320</v>
      </c>
      <c r="I916">
        <v>65</v>
      </c>
      <c r="J916" s="3">
        <v>1431800</v>
      </c>
      <c r="K916" s="3">
        <v>93067000</v>
      </c>
      <c r="L916" s="2" t="s">
        <v>33</v>
      </c>
      <c r="M916" s="2" t="s">
        <v>77</v>
      </c>
      <c r="N916">
        <v>2023</v>
      </c>
      <c r="O916" s="2" t="s">
        <v>152</v>
      </c>
      <c r="P916" s="2" t="s">
        <v>154</v>
      </c>
      <c r="Q916">
        <v>11</v>
      </c>
      <c r="R916" s="4">
        <v>45231</v>
      </c>
      <c r="S916" s="3">
        <v>1431800</v>
      </c>
      <c r="T916" s="3">
        <v>9.31</v>
      </c>
    </row>
    <row r="917" spans="1:20" hidden="1" x14ac:dyDescent="0.3">
      <c r="A917" s="1">
        <v>45255</v>
      </c>
      <c r="B917" s="2" t="s">
        <v>44</v>
      </c>
      <c r="C917" s="2" t="s">
        <v>45</v>
      </c>
      <c r="D917" s="2" t="s">
        <v>82</v>
      </c>
      <c r="E917" s="2" t="s">
        <v>141</v>
      </c>
      <c r="F917" s="2" t="s">
        <v>39</v>
      </c>
      <c r="G917">
        <v>59</v>
      </c>
      <c r="H917">
        <v>55</v>
      </c>
      <c r="I917">
        <v>66</v>
      </c>
      <c r="J917" s="3">
        <v>2248600</v>
      </c>
      <c r="K917" s="3">
        <v>148407600</v>
      </c>
      <c r="L917" s="2" t="s">
        <v>25</v>
      </c>
      <c r="M917" s="2" t="s">
        <v>77</v>
      </c>
      <c r="N917">
        <v>2023</v>
      </c>
      <c r="O917" s="2" t="s">
        <v>152</v>
      </c>
      <c r="P917" s="2" t="s">
        <v>154</v>
      </c>
      <c r="Q917">
        <v>11</v>
      </c>
      <c r="R917" s="4">
        <v>45231</v>
      </c>
      <c r="S917" s="3">
        <v>2248600</v>
      </c>
      <c r="T917" s="3">
        <v>14.84</v>
      </c>
    </row>
    <row r="918" spans="1:20" hidden="1" x14ac:dyDescent="0.3">
      <c r="A918" s="1">
        <v>45255</v>
      </c>
      <c r="B918" s="2" t="s">
        <v>106</v>
      </c>
      <c r="C918" s="2" t="s">
        <v>107</v>
      </c>
      <c r="D918" s="2" t="s">
        <v>102</v>
      </c>
      <c r="E918" s="2" t="s">
        <v>103</v>
      </c>
      <c r="F918" s="2" t="s">
        <v>24</v>
      </c>
      <c r="G918">
        <v>5</v>
      </c>
      <c r="H918">
        <v>150</v>
      </c>
      <c r="I918">
        <v>140</v>
      </c>
      <c r="J918" s="3">
        <v>163700</v>
      </c>
      <c r="K918" s="3">
        <v>22918000</v>
      </c>
      <c r="L918" s="2" t="s">
        <v>33</v>
      </c>
      <c r="M918" s="2" t="s">
        <v>26</v>
      </c>
      <c r="N918">
        <v>2023</v>
      </c>
      <c r="O918" s="2" t="s">
        <v>152</v>
      </c>
      <c r="P918" s="2" t="s">
        <v>154</v>
      </c>
      <c r="Q918">
        <v>11</v>
      </c>
      <c r="R918" s="4">
        <v>45231</v>
      </c>
      <c r="S918" s="3">
        <v>163700</v>
      </c>
      <c r="T918" s="3">
        <v>2.29</v>
      </c>
    </row>
    <row r="919" spans="1:20" hidden="1" x14ac:dyDescent="0.3">
      <c r="A919" s="1">
        <v>45255</v>
      </c>
      <c r="B919" s="2" t="s">
        <v>59</v>
      </c>
      <c r="C919" s="2" t="s">
        <v>129</v>
      </c>
      <c r="D919" s="2" t="s">
        <v>100</v>
      </c>
      <c r="E919" s="2" t="s">
        <v>101</v>
      </c>
      <c r="F919" s="2" t="s">
        <v>24</v>
      </c>
      <c r="G919">
        <v>3</v>
      </c>
      <c r="H919">
        <v>150</v>
      </c>
      <c r="I919">
        <v>47</v>
      </c>
      <c r="J919" s="3">
        <v>153700</v>
      </c>
      <c r="K919" s="3">
        <v>7223900</v>
      </c>
      <c r="L919" s="2" t="s">
        <v>33</v>
      </c>
      <c r="M919" s="2" t="s">
        <v>26</v>
      </c>
      <c r="N919">
        <v>2023</v>
      </c>
      <c r="O919" s="2" t="s">
        <v>152</v>
      </c>
      <c r="P919" s="2" t="s">
        <v>154</v>
      </c>
      <c r="Q919">
        <v>11</v>
      </c>
      <c r="R919" s="4">
        <v>45231</v>
      </c>
      <c r="S919" s="3">
        <v>153700</v>
      </c>
      <c r="T919" s="3">
        <v>0.72</v>
      </c>
    </row>
    <row r="920" spans="1:20" hidden="1" x14ac:dyDescent="0.3">
      <c r="A920" s="1">
        <v>45256</v>
      </c>
      <c r="B920" s="2" t="s">
        <v>106</v>
      </c>
      <c r="C920" s="2" t="s">
        <v>107</v>
      </c>
      <c r="D920" s="2" t="s">
        <v>70</v>
      </c>
      <c r="E920" s="2" t="s">
        <v>71</v>
      </c>
      <c r="F920" s="2" t="s">
        <v>24</v>
      </c>
      <c r="G920">
        <v>50</v>
      </c>
      <c r="H920">
        <v>46</v>
      </c>
      <c r="I920">
        <v>132</v>
      </c>
      <c r="J920" s="3">
        <v>2293300</v>
      </c>
      <c r="K920" s="3">
        <v>302715600</v>
      </c>
      <c r="L920" s="2" t="s">
        <v>33</v>
      </c>
      <c r="M920" s="2" t="s">
        <v>26</v>
      </c>
      <c r="N920">
        <v>2023</v>
      </c>
      <c r="O920" s="2" t="s">
        <v>152</v>
      </c>
      <c r="P920" s="2" t="s">
        <v>154</v>
      </c>
      <c r="Q920">
        <v>11</v>
      </c>
      <c r="R920" s="4">
        <v>45231</v>
      </c>
      <c r="S920" s="3">
        <v>2293300</v>
      </c>
      <c r="T920" s="3">
        <v>30.27</v>
      </c>
    </row>
    <row r="921" spans="1:20" hidden="1" x14ac:dyDescent="0.3">
      <c r="A921" s="1">
        <v>45256</v>
      </c>
      <c r="B921" s="2" t="s">
        <v>90</v>
      </c>
      <c r="C921" s="2" t="s">
        <v>91</v>
      </c>
      <c r="D921" s="2" t="s">
        <v>102</v>
      </c>
      <c r="E921" s="2" t="s">
        <v>103</v>
      </c>
      <c r="F921" s="2" t="s">
        <v>24</v>
      </c>
      <c r="G921">
        <v>5</v>
      </c>
      <c r="H921">
        <v>150</v>
      </c>
      <c r="I921">
        <v>144</v>
      </c>
      <c r="J921" s="3">
        <v>152500</v>
      </c>
      <c r="K921" s="3">
        <v>21960000</v>
      </c>
      <c r="L921" s="2" t="s">
        <v>25</v>
      </c>
      <c r="M921" s="2" t="s">
        <v>26</v>
      </c>
      <c r="N921">
        <v>2023</v>
      </c>
      <c r="O921" s="2" t="s">
        <v>152</v>
      </c>
      <c r="P921" s="2" t="s">
        <v>154</v>
      </c>
      <c r="Q921">
        <v>11</v>
      </c>
      <c r="R921" s="4">
        <v>45231</v>
      </c>
      <c r="S921" s="3">
        <v>152500</v>
      </c>
      <c r="T921" s="3">
        <v>2.2000000000000002</v>
      </c>
    </row>
    <row r="922" spans="1:20" hidden="1" x14ac:dyDescent="0.3">
      <c r="A922" s="1">
        <v>45257</v>
      </c>
      <c r="B922" s="2" t="s">
        <v>35</v>
      </c>
      <c r="C922" s="2" t="s">
        <v>87</v>
      </c>
      <c r="D922" s="2" t="s">
        <v>67</v>
      </c>
      <c r="E922" s="2" t="s">
        <v>118</v>
      </c>
      <c r="F922" s="2" t="s">
        <v>24</v>
      </c>
      <c r="G922">
        <v>84</v>
      </c>
      <c r="H922">
        <v>590</v>
      </c>
      <c r="I922">
        <v>64</v>
      </c>
      <c r="J922" s="3">
        <v>7512600</v>
      </c>
      <c r="K922" s="3">
        <v>480806400</v>
      </c>
      <c r="L922" s="2" t="s">
        <v>33</v>
      </c>
      <c r="M922" s="2" t="s">
        <v>26</v>
      </c>
      <c r="N922">
        <v>2023</v>
      </c>
      <c r="O922" s="2" t="s">
        <v>152</v>
      </c>
      <c r="P922" s="2" t="s">
        <v>154</v>
      </c>
      <c r="Q922">
        <v>11</v>
      </c>
      <c r="R922" s="4">
        <v>45231</v>
      </c>
      <c r="S922" s="3">
        <v>7512600</v>
      </c>
      <c r="T922" s="3">
        <v>48.08</v>
      </c>
    </row>
    <row r="923" spans="1:20" hidden="1" x14ac:dyDescent="0.3">
      <c r="A923" s="1">
        <v>45257</v>
      </c>
      <c r="B923" s="2" t="s">
        <v>40</v>
      </c>
      <c r="C923" s="2" t="s">
        <v>105</v>
      </c>
      <c r="D923" s="2" t="s">
        <v>100</v>
      </c>
      <c r="E923" s="2" t="s">
        <v>101</v>
      </c>
      <c r="F923" s="2" t="s">
        <v>24</v>
      </c>
      <c r="G923">
        <v>3</v>
      </c>
      <c r="H923">
        <v>150</v>
      </c>
      <c r="I923">
        <v>163</v>
      </c>
      <c r="J923" s="3">
        <v>158600</v>
      </c>
      <c r="K923" s="3">
        <v>25851800</v>
      </c>
      <c r="L923" s="2" t="s">
        <v>33</v>
      </c>
      <c r="M923" s="2" t="s">
        <v>34</v>
      </c>
      <c r="N923">
        <v>2023</v>
      </c>
      <c r="O923" s="2" t="s">
        <v>152</v>
      </c>
      <c r="P923" s="2" t="s">
        <v>154</v>
      </c>
      <c r="Q923">
        <v>11</v>
      </c>
      <c r="R923" s="4">
        <v>45231</v>
      </c>
      <c r="S923" s="3">
        <v>158600</v>
      </c>
      <c r="T923" s="3">
        <v>2.59</v>
      </c>
    </row>
    <row r="924" spans="1:20" hidden="1" x14ac:dyDescent="0.3">
      <c r="A924" s="1">
        <v>45257</v>
      </c>
      <c r="B924" s="2" t="s">
        <v>44</v>
      </c>
      <c r="C924" s="2" t="s">
        <v>45</v>
      </c>
      <c r="D924" s="2" t="s">
        <v>94</v>
      </c>
      <c r="E924" s="2" t="s">
        <v>115</v>
      </c>
      <c r="F924" s="2" t="s">
        <v>24</v>
      </c>
      <c r="G924">
        <v>24</v>
      </c>
      <c r="H924">
        <v>24</v>
      </c>
      <c r="I924">
        <v>51</v>
      </c>
      <c r="J924" s="3">
        <v>1281300</v>
      </c>
      <c r="K924" s="3">
        <v>65346300</v>
      </c>
      <c r="L924" s="2" t="s">
        <v>33</v>
      </c>
      <c r="M924" s="2" t="s">
        <v>34</v>
      </c>
      <c r="N924">
        <v>2023</v>
      </c>
      <c r="O924" s="2" t="s">
        <v>152</v>
      </c>
      <c r="P924" s="2" t="s">
        <v>154</v>
      </c>
      <c r="Q924">
        <v>11</v>
      </c>
      <c r="R924" s="4">
        <v>45231</v>
      </c>
      <c r="S924" s="3">
        <v>1281300</v>
      </c>
      <c r="T924" s="3">
        <v>6.53</v>
      </c>
    </row>
    <row r="925" spans="1:20" hidden="1" x14ac:dyDescent="0.3">
      <c r="A925" s="1">
        <v>45257</v>
      </c>
      <c r="B925" s="2" t="s">
        <v>48</v>
      </c>
      <c r="C925" s="2" t="s">
        <v>73</v>
      </c>
      <c r="D925" s="2" t="s">
        <v>82</v>
      </c>
      <c r="E925" s="2" t="s">
        <v>141</v>
      </c>
      <c r="F925" s="2" t="s">
        <v>24</v>
      </c>
      <c r="G925">
        <v>59</v>
      </c>
      <c r="H925">
        <v>55</v>
      </c>
      <c r="I925">
        <v>99</v>
      </c>
      <c r="J925" s="3">
        <v>2972200</v>
      </c>
      <c r="K925" s="3">
        <v>294247800</v>
      </c>
      <c r="L925" s="2" t="s">
        <v>92</v>
      </c>
      <c r="M925" s="2" t="s">
        <v>77</v>
      </c>
      <c r="N925">
        <v>2023</v>
      </c>
      <c r="O925" s="2" t="s">
        <v>152</v>
      </c>
      <c r="P925" s="2" t="s">
        <v>154</v>
      </c>
      <c r="Q925">
        <v>11</v>
      </c>
      <c r="R925" s="4">
        <v>45231</v>
      </c>
      <c r="S925" s="3">
        <v>2972200</v>
      </c>
      <c r="T925" s="3">
        <v>29.42</v>
      </c>
    </row>
    <row r="926" spans="1:20" hidden="1" x14ac:dyDescent="0.3">
      <c r="A926" s="1">
        <v>45258</v>
      </c>
      <c r="B926" s="2" t="s">
        <v>20</v>
      </c>
      <c r="C926" s="2" t="s">
        <v>112</v>
      </c>
      <c r="D926" s="2" t="s">
        <v>79</v>
      </c>
      <c r="E926" s="2" t="s">
        <v>80</v>
      </c>
      <c r="F926" s="2" t="s">
        <v>72</v>
      </c>
      <c r="G926">
        <v>69</v>
      </c>
      <c r="H926">
        <v>418</v>
      </c>
      <c r="I926">
        <v>63</v>
      </c>
      <c r="J926" s="3">
        <v>5181900</v>
      </c>
      <c r="K926" s="3">
        <v>326459700</v>
      </c>
      <c r="L926" s="2" t="s">
        <v>33</v>
      </c>
      <c r="M926" s="2" t="s">
        <v>26</v>
      </c>
      <c r="N926">
        <v>2023</v>
      </c>
      <c r="O926" s="2" t="s">
        <v>152</v>
      </c>
      <c r="P926" s="2" t="s">
        <v>154</v>
      </c>
      <c r="Q926">
        <v>11</v>
      </c>
      <c r="R926" s="4">
        <v>45231</v>
      </c>
      <c r="S926" s="3">
        <v>5181900</v>
      </c>
      <c r="T926" s="3">
        <v>32.65</v>
      </c>
    </row>
    <row r="927" spans="1:20" hidden="1" x14ac:dyDescent="0.3">
      <c r="A927" s="1">
        <v>45258</v>
      </c>
      <c r="B927" s="2" t="s">
        <v>61</v>
      </c>
      <c r="C927" s="2" t="s">
        <v>62</v>
      </c>
      <c r="D927" s="2" t="s">
        <v>79</v>
      </c>
      <c r="E927" s="2" t="s">
        <v>80</v>
      </c>
      <c r="F927" s="2" t="s">
        <v>39</v>
      </c>
      <c r="G927">
        <v>69</v>
      </c>
      <c r="H927">
        <v>418</v>
      </c>
      <c r="I927">
        <v>44</v>
      </c>
      <c r="J927" s="3">
        <v>5527700</v>
      </c>
      <c r="K927" s="3">
        <v>243218800</v>
      </c>
      <c r="L927" s="2" t="s">
        <v>92</v>
      </c>
      <c r="M927" s="2" t="s">
        <v>26</v>
      </c>
      <c r="N927">
        <v>2023</v>
      </c>
      <c r="O927" s="2" t="s">
        <v>152</v>
      </c>
      <c r="P927" s="2" t="s">
        <v>154</v>
      </c>
      <c r="Q927">
        <v>11</v>
      </c>
      <c r="R927" s="4">
        <v>45231</v>
      </c>
      <c r="S927" s="3">
        <v>5527700</v>
      </c>
      <c r="T927" s="3">
        <v>24.32</v>
      </c>
    </row>
    <row r="928" spans="1:20" hidden="1" x14ac:dyDescent="0.3">
      <c r="A928" s="1">
        <v>45258</v>
      </c>
      <c r="B928" s="2" t="s">
        <v>35</v>
      </c>
      <c r="C928" s="2" t="s">
        <v>121</v>
      </c>
      <c r="D928" s="2" t="s">
        <v>37</v>
      </c>
      <c r="E928" s="2" t="s">
        <v>38</v>
      </c>
      <c r="F928" s="2" t="s">
        <v>24</v>
      </c>
      <c r="G928">
        <v>66</v>
      </c>
      <c r="H928">
        <v>423</v>
      </c>
      <c r="I928">
        <v>30</v>
      </c>
      <c r="J928" s="3">
        <v>9290600</v>
      </c>
      <c r="K928" s="3">
        <v>278718000</v>
      </c>
      <c r="L928" s="2" t="s">
        <v>33</v>
      </c>
      <c r="M928" s="2" t="s">
        <v>26</v>
      </c>
      <c r="N928">
        <v>2023</v>
      </c>
      <c r="O928" s="2" t="s">
        <v>152</v>
      </c>
      <c r="P928" s="2" t="s">
        <v>154</v>
      </c>
      <c r="Q928">
        <v>11</v>
      </c>
      <c r="R928" s="4">
        <v>45231</v>
      </c>
      <c r="S928" s="3">
        <v>9290600</v>
      </c>
      <c r="T928" s="3">
        <v>27.87</v>
      </c>
    </row>
    <row r="929" spans="1:20" hidden="1" x14ac:dyDescent="0.3">
      <c r="A929" s="1">
        <v>45258</v>
      </c>
      <c r="B929" s="2" t="s">
        <v>90</v>
      </c>
      <c r="C929" s="2" t="s">
        <v>99</v>
      </c>
      <c r="D929" s="2" t="s">
        <v>54</v>
      </c>
      <c r="E929" s="2" t="s">
        <v>55</v>
      </c>
      <c r="F929" s="2" t="s">
        <v>24</v>
      </c>
      <c r="G929">
        <v>30</v>
      </c>
      <c r="H929">
        <v>320</v>
      </c>
      <c r="I929">
        <v>25</v>
      </c>
      <c r="J929" s="3">
        <v>1410900</v>
      </c>
      <c r="K929" s="3">
        <v>35272500</v>
      </c>
      <c r="L929" s="2" t="s">
        <v>25</v>
      </c>
      <c r="M929" s="2" t="s">
        <v>26</v>
      </c>
      <c r="N929">
        <v>2023</v>
      </c>
      <c r="O929" s="2" t="s">
        <v>152</v>
      </c>
      <c r="P929" s="2" t="s">
        <v>154</v>
      </c>
      <c r="Q929">
        <v>11</v>
      </c>
      <c r="R929" s="4">
        <v>45231</v>
      </c>
      <c r="S929" s="3">
        <v>1410900</v>
      </c>
      <c r="T929" s="3">
        <v>3.53</v>
      </c>
    </row>
    <row r="930" spans="1:20" hidden="1" x14ac:dyDescent="0.3">
      <c r="A930" s="1">
        <v>45259</v>
      </c>
      <c r="B930" s="2" t="s">
        <v>20</v>
      </c>
      <c r="C930" s="2" t="s">
        <v>125</v>
      </c>
      <c r="D930" s="2" t="s">
        <v>50</v>
      </c>
      <c r="E930" s="2" t="s">
        <v>51</v>
      </c>
      <c r="F930" s="2" t="s">
        <v>24</v>
      </c>
      <c r="G930">
        <v>77</v>
      </c>
      <c r="H930">
        <v>528</v>
      </c>
      <c r="I930">
        <v>38</v>
      </c>
      <c r="J930" s="3">
        <v>5074500</v>
      </c>
      <c r="K930" s="3">
        <v>192831000</v>
      </c>
      <c r="L930" s="2" t="s">
        <v>33</v>
      </c>
      <c r="M930" s="2" t="s">
        <v>26</v>
      </c>
      <c r="N930">
        <v>2023</v>
      </c>
      <c r="O930" s="2" t="s">
        <v>152</v>
      </c>
      <c r="P930" s="2" t="s">
        <v>154</v>
      </c>
      <c r="Q930">
        <v>11</v>
      </c>
      <c r="R930" s="4">
        <v>45231</v>
      </c>
      <c r="S930" s="3">
        <v>5074500</v>
      </c>
      <c r="T930" s="3">
        <v>19.28</v>
      </c>
    </row>
    <row r="931" spans="1:20" hidden="1" x14ac:dyDescent="0.3">
      <c r="A931" s="1">
        <v>45259</v>
      </c>
      <c r="B931" s="2" t="s">
        <v>61</v>
      </c>
      <c r="C931" s="2" t="s">
        <v>127</v>
      </c>
      <c r="D931" s="2" t="s">
        <v>79</v>
      </c>
      <c r="E931" s="2" t="s">
        <v>80</v>
      </c>
      <c r="F931" s="2" t="s">
        <v>72</v>
      </c>
      <c r="G931">
        <v>69</v>
      </c>
      <c r="H931">
        <v>418</v>
      </c>
      <c r="I931">
        <v>79</v>
      </c>
      <c r="J931" s="3">
        <v>5804200</v>
      </c>
      <c r="K931" s="3">
        <v>458531800</v>
      </c>
      <c r="L931" s="2" t="s">
        <v>33</v>
      </c>
      <c r="M931" s="2" t="s">
        <v>34</v>
      </c>
      <c r="N931">
        <v>2023</v>
      </c>
      <c r="O931" s="2" t="s">
        <v>152</v>
      </c>
      <c r="P931" s="2" t="s">
        <v>154</v>
      </c>
      <c r="Q931">
        <v>11</v>
      </c>
      <c r="R931" s="4">
        <v>45231</v>
      </c>
      <c r="S931" s="3">
        <v>5804200</v>
      </c>
      <c r="T931" s="3">
        <v>45.85</v>
      </c>
    </row>
    <row r="932" spans="1:20" hidden="1" x14ac:dyDescent="0.3">
      <c r="A932" s="1">
        <v>45259</v>
      </c>
      <c r="B932" s="2" t="s">
        <v>48</v>
      </c>
      <c r="C932" s="2" t="s">
        <v>73</v>
      </c>
      <c r="D932" s="2" t="s">
        <v>70</v>
      </c>
      <c r="E932" s="2" t="s">
        <v>71</v>
      </c>
      <c r="F932" s="2" t="s">
        <v>39</v>
      </c>
      <c r="G932">
        <v>50</v>
      </c>
      <c r="H932">
        <v>46</v>
      </c>
      <c r="I932">
        <v>106</v>
      </c>
      <c r="J932" s="3">
        <v>2738600</v>
      </c>
      <c r="K932" s="3">
        <v>290291600</v>
      </c>
      <c r="L932" s="2" t="s">
        <v>33</v>
      </c>
      <c r="M932" s="2" t="s">
        <v>34</v>
      </c>
      <c r="N932">
        <v>2023</v>
      </c>
      <c r="O932" s="2" t="s">
        <v>152</v>
      </c>
      <c r="P932" s="2" t="s">
        <v>154</v>
      </c>
      <c r="Q932">
        <v>11</v>
      </c>
      <c r="R932" s="4">
        <v>45231</v>
      </c>
      <c r="S932" s="3">
        <v>2738600</v>
      </c>
      <c r="T932" s="3">
        <v>29.03</v>
      </c>
    </row>
    <row r="933" spans="1:20" hidden="1" x14ac:dyDescent="0.3">
      <c r="A933" s="1">
        <v>45259</v>
      </c>
      <c r="B933" s="2" t="s">
        <v>52</v>
      </c>
      <c r="C933" s="2" t="s">
        <v>53</v>
      </c>
      <c r="D933" s="2" t="s">
        <v>22</v>
      </c>
      <c r="E933" s="2" t="s">
        <v>23</v>
      </c>
      <c r="F933" s="2" t="s">
        <v>24</v>
      </c>
      <c r="G933">
        <v>82</v>
      </c>
      <c r="H933">
        <v>520</v>
      </c>
      <c r="I933">
        <v>56</v>
      </c>
      <c r="J933" s="3">
        <v>7012400</v>
      </c>
      <c r="K933" s="3">
        <v>392694400</v>
      </c>
      <c r="L933" s="2" t="s">
        <v>33</v>
      </c>
      <c r="M933" s="2" t="s">
        <v>26</v>
      </c>
      <c r="N933">
        <v>2023</v>
      </c>
      <c r="O933" s="2" t="s">
        <v>152</v>
      </c>
      <c r="P933" s="2" t="s">
        <v>154</v>
      </c>
      <c r="Q933">
        <v>11</v>
      </c>
      <c r="R933" s="4">
        <v>45231</v>
      </c>
      <c r="S933" s="3">
        <v>7012400</v>
      </c>
      <c r="T933" s="3">
        <v>39.270000000000003</v>
      </c>
    </row>
    <row r="934" spans="1:20" hidden="1" x14ac:dyDescent="0.3">
      <c r="A934" s="1">
        <v>45259</v>
      </c>
      <c r="B934" s="2" t="s">
        <v>84</v>
      </c>
      <c r="C934" s="2" t="s">
        <v>126</v>
      </c>
      <c r="D934" s="2" t="s">
        <v>31</v>
      </c>
      <c r="E934" s="2" t="s">
        <v>32</v>
      </c>
      <c r="F934" s="2" t="s">
        <v>24</v>
      </c>
      <c r="G934">
        <v>4</v>
      </c>
      <c r="H934">
        <v>195</v>
      </c>
      <c r="I934">
        <v>117</v>
      </c>
      <c r="J934" s="3">
        <v>127300</v>
      </c>
      <c r="K934" s="3">
        <v>14894100</v>
      </c>
      <c r="L934" s="2" t="s">
        <v>33</v>
      </c>
      <c r="M934" s="2" t="s">
        <v>26</v>
      </c>
      <c r="N934">
        <v>2023</v>
      </c>
      <c r="O934" s="2" t="s">
        <v>152</v>
      </c>
      <c r="P934" s="2" t="s">
        <v>154</v>
      </c>
      <c r="Q934">
        <v>11</v>
      </c>
      <c r="R934" s="4">
        <v>45231</v>
      </c>
      <c r="S934" s="3">
        <v>127300</v>
      </c>
      <c r="T934" s="3">
        <v>1.49</v>
      </c>
    </row>
    <row r="935" spans="1:20" hidden="1" x14ac:dyDescent="0.3">
      <c r="A935" s="1">
        <v>45259</v>
      </c>
      <c r="B935" s="2" t="s">
        <v>90</v>
      </c>
      <c r="C935" s="2" t="s">
        <v>99</v>
      </c>
      <c r="D935" s="2" t="s">
        <v>22</v>
      </c>
      <c r="E935" s="2" t="s">
        <v>23</v>
      </c>
      <c r="F935" s="2" t="s">
        <v>138</v>
      </c>
      <c r="G935">
        <v>82</v>
      </c>
      <c r="H935">
        <v>520</v>
      </c>
      <c r="I935">
        <v>77</v>
      </c>
      <c r="J935" s="3">
        <v>7497100</v>
      </c>
      <c r="K935" s="3">
        <v>577276700</v>
      </c>
      <c r="L935" s="2" t="s">
        <v>33</v>
      </c>
      <c r="M935" s="2" t="s">
        <v>26</v>
      </c>
      <c r="N935">
        <v>2023</v>
      </c>
      <c r="O935" s="2" t="s">
        <v>152</v>
      </c>
      <c r="P935" s="2" t="s">
        <v>154</v>
      </c>
      <c r="Q935">
        <v>11</v>
      </c>
      <c r="R935" s="4">
        <v>45231</v>
      </c>
      <c r="S935" s="3">
        <v>7497100</v>
      </c>
      <c r="T935" s="3">
        <v>57.73</v>
      </c>
    </row>
    <row r="936" spans="1:20" hidden="1" x14ac:dyDescent="0.3">
      <c r="A936" s="1">
        <v>45260</v>
      </c>
      <c r="B936" s="2" t="s">
        <v>35</v>
      </c>
      <c r="C936" s="2" t="s">
        <v>121</v>
      </c>
      <c r="D936" s="2" t="s">
        <v>37</v>
      </c>
      <c r="E936" s="2" t="s">
        <v>38</v>
      </c>
      <c r="F936" s="2" t="s">
        <v>24</v>
      </c>
      <c r="G936">
        <v>66</v>
      </c>
      <c r="H936">
        <v>423</v>
      </c>
      <c r="I936">
        <v>14</v>
      </c>
      <c r="J936" s="3">
        <v>8394700</v>
      </c>
      <c r="K936" s="3">
        <v>117525800</v>
      </c>
      <c r="L936" s="2" t="s">
        <v>25</v>
      </c>
      <c r="M936" s="2" t="s">
        <v>26</v>
      </c>
      <c r="N936">
        <v>2023</v>
      </c>
      <c r="O936" s="2" t="s">
        <v>152</v>
      </c>
      <c r="P936" s="2" t="s">
        <v>154</v>
      </c>
      <c r="Q936">
        <v>11</v>
      </c>
      <c r="R936" s="4">
        <v>45231</v>
      </c>
      <c r="S936" s="3">
        <v>8394700</v>
      </c>
      <c r="T936" s="3">
        <v>11.75</v>
      </c>
    </row>
    <row r="937" spans="1:20" hidden="1" x14ac:dyDescent="0.3">
      <c r="A937" s="1">
        <v>45260</v>
      </c>
      <c r="B937" s="2" t="s">
        <v>20</v>
      </c>
      <c r="C937" s="2" t="s">
        <v>125</v>
      </c>
      <c r="D937" s="2" t="s">
        <v>50</v>
      </c>
      <c r="E937" s="2" t="s">
        <v>51</v>
      </c>
      <c r="F937" s="2" t="s">
        <v>24</v>
      </c>
      <c r="G937">
        <v>77</v>
      </c>
      <c r="H937">
        <v>528</v>
      </c>
      <c r="I937">
        <v>23</v>
      </c>
      <c r="J937" s="3">
        <v>5514000</v>
      </c>
      <c r="K937" s="3">
        <v>126822000</v>
      </c>
      <c r="L937" s="2" t="s">
        <v>25</v>
      </c>
      <c r="M937" s="2" t="s">
        <v>26</v>
      </c>
      <c r="N937">
        <v>2023</v>
      </c>
      <c r="O937" s="2" t="s">
        <v>152</v>
      </c>
      <c r="P937" s="2" t="s">
        <v>154</v>
      </c>
      <c r="Q937">
        <v>11</v>
      </c>
      <c r="R937" s="4">
        <v>45231</v>
      </c>
      <c r="S937" s="3">
        <v>5514000</v>
      </c>
      <c r="T937" s="3">
        <v>12.68</v>
      </c>
    </row>
    <row r="938" spans="1:20" hidden="1" x14ac:dyDescent="0.3">
      <c r="A938" s="1">
        <v>45260</v>
      </c>
      <c r="B938" s="2" t="s">
        <v>40</v>
      </c>
      <c r="C938" s="2" t="s">
        <v>136</v>
      </c>
      <c r="D938" s="2" t="s">
        <v>54</v>
      </c>
      <c r="E938" s="2" t="s">
        <v>55</v>
      </c>
      <c r="F938" s="2" t="s">
        <v>24</v>
      </c>
      <c r="G938">
        <v>30</v>
      </c>
      <c r="H938">
        <v>320</v>
      </c>
      <c r="I938">
        <v>28</v>
      </c>
      <c r="J938" s="3">
        <v>1315600</v>
      </c>
      <c r="K938" s="3">
        <v>36836800</v>
      </c>
      <c r="L938" s="2" t="s">
        <v>33</v>
      </c>
      <c r="M938" s="2" t="s">
        <v>26</v>
      </c>
      <c r="N938">
        <v>2023</v>
      </c>
      <c r="O938" s="2" t="s">
        <v>152</v>
      </c>
      <c r="P938" s="2" t="s">
        <v>154</v>
      </c>
      <c r="Q938">
        <v>11</v>
      </c>
      <c r="R938" s="4">
        <v>45231</v>
      </c>
      <c r="S938" s="3">
        <v>1315600</v>
      </c>
      <c r="T938" s="3">
        <v>3.68</v>
      </c>
    </row>
    <row r="939" spans="1:20" hidden="1" x14ac:dyDescent="0.3">
      <c r="A939" s="1">
        <v>45260</v>
      </c>
      <c r="B939" s="2" t="s">
        <v>84</v>
      </c>
      <c r="C939" s="2" t="s">
        <v>126</v>
      </c>
      <c r="D939" s="2" t="s">
        <v>42</v>
      </c>
      <c r="E939" s="2" t="s">
        <v>43</v>
      </c>
      <c r="F939" s="2" t="s">
        <v>24</v>
      </c>
      <c r="G939">
        <v>3</v>
      </c>
      <c r="H939">
        <v>135</v>
      </c>
      <c r="I939">
        <v>82</v>
      </c>
      <c r="J939" s="3">
        <v>123600</v>
      </c>
      <c r="K939" s="3">
        <v>10135200</v>
      </c>
      <c r="L939" s="2" t="s">
        <v>33</v>
      </c>
      <c r="M939" s="2" t="s">
        <v>26</v>
      </c>
      <c r="N939">
        <v>2023</v>
      </c>
      <c r="O939" s="2" t="s">
        <v>152</v>
      </c>
      <c r="P939" s="2" t="s">
        <v>154</v>
      </c>
      <c r="Q939">
        <v>11</v>
      </c>
      <c r="R939" s="4">
        <v>45231</v>
      </c>
      <c r="S939" s="3">
        <v>123600</v>
      </c>
      <c r="T939" s="3">
        <v>1.01</v>
      </c>
    </row>
    <row r="940" spans="1:20" hidden="1" x14ac:dyDescent="0.3">
      <c r="A940" s="1">
        <v>45262</v>
      </c>
      <c r="B940" s="2" t="s">
        <v>106</v>
      </c>
      <c r="C940" s="2" t="s">
        <v>120</v>
      </c>
      <c r="D940" s="2" t="s">
        <v>88</v>
      </c>
      <c r="E940" s="2" t="s">
        <v>111</v>
      </c>
      <c r="F940" s="2" t="s">
        <v>24</v>
      </c>
      <c r="G940">
        <v>60</v>
      </c>
      <c r="H940">
        <v>480</v>
      </c>
      <c r="I940">
        <v>21</v>
      </c>
      <c r="J940" s="3">
        <v>3316400</v>
      </c>
      <c r="K940" s="3">
        <v>69644400</v>
      </c>
      <c r="L940" s="2" t="s">
        <v>33</v>
      </c>
      <c r="M940" s="2" t="s">
        <v>26</v>
      </c>
      <c r="N940">
        <v>2023</v>
      </c>
      <c r="O940" s="2" t="s">
        <v>152</v>
      </c>
      <c r="P940" s="2" t="s">
        <v>155</v>
      </c>
      <c r="Q940">
        <v>12</v>
      </c>
      <c r="R940" s="4">
        <v>45261</v>
      </c>
      <c r="S940" s="3">
        <v>3316400</v>
      </c>
      <c r="T940" s="3">
        <v>6.96</v>
      </c>
    </row>
    <row r="941" spans="1:20" hidden="1" x14ac:dyDescent="0.3">
      <c r="A941" s="1">
        <v>45262</v>
      </c>
      <c r="B941" s="2" t="s">
        <v>90</v>
      </c>
      <c r="C941" s="2" t="s">
        <v>114</v>
      </c>
      <c r="D941" s="2" t="s">
        <v>63</v>
      </c>
      <c r="E941" s="2" t="s">
        <v>64</v>
      </c>
      <c r="F941" s="2" t="s">
        <v>24</v>
      </c>
      <c r="G941">
        <v>3</v>
      </c>
      <c r="H941">
        <v>127</v>
      </c>
      <c r="I941">
        <v>99</v>
      </c>
      <c r="J941" s="3">
        <v>167300</v>
      </c>
      <c r="K941" s="3">
        <v>16562700</v>
      </c>
      <c r="L941" s="2" t="s">
        <v>33</v>
      </c>
      <c r="M941" s="2" t="s">
        <v>26</v>
      </c>
      <c r="N941">
        <v>2023</v>
      </c>
      <c r="O941" s="2" t="s">
        <v>152</v>
      </c>
      <c r="P941" s="2" t="s">
        <v>155</v>
      </c>
      <c r="Q941">
        <v>12</v>
      </c>
      <c r="R941" s="4">
        <v>45261</v>
      </c>
      <c r="S941" s="3">
        <v>167300</v>
      </c>
      <c r="T941" s="3">
        <v>1.66</v>
      </c>
    </row>
    <row r="942" spans="1:20" hidden="1" x14ac:dyDescent="0.3">
      <c r="A942" s="1">
        <v>45263</v>
      </c>
      <c r="B942" s="2" t="s">
        <v>29</v>
      </c>
      <c r="C942" s="2" t="s">
        <v>104</v>
      </c>
      <c r="D942" s="2" t="s">
        <v>94</v>
      </c>
      <c r="E942" s="2" t="s">
        <v>95</v>
      </c>
      <c r="F942" s="2" t="s">
        <v>39</v>
      </c>
      <c r="G942">
        <v>40</v>
      </c>
      <c r="H942">
        <v>30</v>
      </c>
      <c r="I942">
        <v>26</v>
      </c>
      <c r="J942" s="3">
        <v>2281000</v>
      </c>
      <c r="K942" s="3">
        <v>59306000</v>
      </c>
      <c r="L942" s="2" t="s">
        <v>33</v>
      </c>
      <c r="M942" s="2" t="s">
        <v>26</v>
      </c>
      <c r="N942">
        <v>2023</v>
      </c>
      <c r="O942" s="2" t="s">
        <v>152</v>
      </c>
      <c r="P942" s="2" t="s">
        <v>155</v>
      </c>
      <c r="Q942">
        <v>12</v>
      </c>
      <c r="R942" s="4">
        <v>45261</v>
      </c>
      <c r="S942" s="3">
        <v>2281000</v>
      </c>
      <c r="T942" s="3">
        <v>5.93</v>
      </c>
    </row>
    <row r="943" spans="1:20" hidden="1" x14ac:dyDescent="0.3">
      <c r="A943" s="1">
        <v>45263</v>
      </c>
      <c r="B943" s="2" t="s">
        <v>29</v>
      </c>
      <c r="C943" s="2" t="s">
        <v>30</v>
      </c>
      <c r="D943" s="2" t="s">
        <v>70</v>
      </c>
      <c r="E943" s="2" t="s">
        <v>71</v>
      </c>
      <c r="F943" s="2" t="s">
        <v>24</v>
      </c>
      <c r="G943">
        <v>50</v>
      </c>
      <c r="H943">
        <v>46</v>
      </c>
      <c r="I943">
        <v>179</v>
      </c>
      <c r="J943" s="3">
        <v>2570100</v>
      </c>
      <c r="K943" s="3">
        <v>460047900</v>
      </c>
      <c r="L943" s="2" t="s">
        <v>33</v>
      </c>
      <c r="M943" s="2" t="s">
        <v>26</v>
      </c>
      <c r="N943">
        <v>2023</v>
      </c>
      <c r="O943" s="2" t="s">
        <v>152</v>
      </c>
      <c r="P943" s="2" t="s">
        <v>155</v>
      </c>
      <c r="Q943">
        <v>12</v>
      </c>
      <c r="R943" s="4">
        <v>45261</v>
      </c>
      <c r="S943" s="3">
        <v>2570100</v>
      </c>
      <c r="T943" s="3">
        <v>46</v>
      </c>
    </row>
    <row r="944" spans="1:20" hidden="1" x14ac:dyDescent="0.3">
      <c r="A944" s="1">
        <v>45264</v>
      </c>
      <c r="B944" s="2" t="s">
        <v>48</v>
      </c>
      <c r="C944" s="2" t="s">
        <v>69</v>
      </c>
      <c r="D944" s="2" t="s">
        <v>54</v>
      </c>
      <c r="E944" s="2" t="s">
        <v>55</v>
      </c>
      <c r="F944" s="2" t="s">
        <v>72</v>
      </c>
      <c r="G944">
        <v>30</v>
      </c>
      <c r="H944">
        <v>320</v>
      </c>
      <c r="I944">
        <v>13</v>
      </c>
      <c r="J944" s="3">
        <v>1560900</v>
      </c>
      <c r="K944" s="3">
        <v>20291700</v>
      </c>
      <c r="L944" s="2" t="s">
        <v>33</v>
      </c>
      <c r="M944" s="2" t="s">
        <v>34</v>
      </c>
      <c r="N944">
        <v>2023</v>
      </c>
      <c r="O944" s="2" t="s">
        <v>152</v>
      </c>
      <c r="P944" s="2" t="s">
        <v>155</v>
      </c>
      <c r="Q944">
        <v>12</v>
      </c>
      <c r="R944" s="4">
        <v>45261</v>
      </c>
      <c r="S944" s="3">
        <v>1560900</v>
      </c>
      <c r="T944" s="3">
        <v>2.0299999999999998</v>
      </c>
    </row>
    <row r="945" spans="1:20" hidden="1" x14ac:dyDescent="0.3">
      <c r="A945" s="1">
        <v>45265</v>
      </c>
      <c r="B945" s="2" t="s">
        <v>40</v>
      </c>
      <c r="C945" s="2" t="s">
        <v>78</v>
      </c>
      <c r="D945" s="2" t="s">
        <v>102</v>
      </c>
      <c r="E945" s="2" t="s">
        <v>103</v>
      </c>
      <c r="F945" s="2" t="s">
        <v>24</v>
      </c>
      <c r="G945">
        <v>5</v>
      </c>
      <c r="H945">
        <v>150</v>
      </c>
      <c r="I945">
        <v>178</v>
      </c>
      <c r="J945" s="3">
        <v>183400</v>
      </c>
      <c r="K945" s="3">
        <v>32645200</v>
      </c>
      <c r="L945" s="2" t="s">
        <v>33</v>
      </c>
      <c r="M945" s="2" t="s">
        <v>26</v>
      </c>
      <c r="N945">
        <v>2023</v>
      </c>
      <c r="O945" s="2" t="s">
        <v>152</v>
      </c>
      <c r="P945" s="2" t="s">
        <v>155</v>
      </c>
      <c r="Q945">
        <v>12</v>
      </c>
      <c r="R945" s="4">
        <v>45261</v>
      </c>
      <c r="S945" s="3">
        <v>183400</v>
      </c>
      <c r="T945" s="3">
        <v>3.26</v>
      </c>
    </row>
    <row r="946" spans="1:20" hidden="1" x14ac:dyDescent="0.3">
      <c r="A946" s="1">
        <v>45265</v>
      </c>
      <c r="B946" s="2" t="s">
        <v>40</v>
      </c>
      <c r="C946" s="2" t="s">
        <v>136</v>
      </c>
      <c r="D946" s="2" t="s">
        <v>79</v>
      </c>
      <c r="E946" s="2" t="s">
        <v>80</v>
      </c>
      <c r="F946" s="2" t="s">
        <v>24</v>
      </c>
      <c r="G946">
        <v>69</v>
      </c>
      <c r="H946">
        <v>418</v>
      </c>
      <c r="I946">
        <v>8</v>
      </c>
      <c r="J946" s="3">
        <v>5085100</v>
      </c>
      <c r="K946" s="3">
        <v>40680800</v>
      </c>
      <c r="L946" s="2" t="s">
        <v>33</v>
      </c>
      <c r="M946" s="2" t="s">
        <v>26</v>
      </c>
      <c r="N946">
        <v>2023</v>
      </c>
      <c r="O946" s="2" t="s">
        <v>152</v>
      </c>
      <c r="P946" s="2" t="s">
        <v>155</v>
      </c>
      <c r="Q946">
        <v>12</v>
      </c>
      <c r="R946" s="4">
        <v>45261</v>
      </c>
      <c r="S946" s="3">
        <v>5085100</v>
      </c>
      <c r="T946" s="3">
        <v>4.07</v>
      </c>
    </row>
    <row r="947" spans="1:20" hidden="1" x14ac:dyDescent="0.3">
      <c r="A947" s="1">
        <v>45265</v>
      </c>
      <c r="B947" s="2" t="s">
        <v>29</v>
      </c>
      <c r="C947" s="2" t="s">
        <v>96</v>
      </c>
      <c r="D947" s="2" t="s">
        <v>54</v>
      </c>
      <c r="E947" s="2" t="s">
        <v>55</v>
      </c>
      <c r="F947" s="2" t="s">
        <v>72</v>
      </c>
      <c r="G947">
        <v>30</v>
      </c>
      <c r="H947">
        <v>320</v>
      </c>
      <c r="I947">
        <v>21</v>
      </c>
      <c r="J947" s="3">
        <v>1471800</v>
      </c>
      <c r="K947" s="3">
        <v>30907800</v>
      </c>
      <c r="L947" s="2" t="s">
        <v>33</v>
      </c>
      <c r="M947" s="2" t="s">
        <v>77</v>
      </c>
      <c r="N947">
        <v>2023</v>
      </c>
      <c r="O947" s="2" t="s">
        <v>152</v>
      </c>
      <c r="P947" s="2" t="s">
        <v>155</v>
      </c>
      <c r="Q947">
        <v>12</v>
      </c>
      <c r="R947" s="4">
        <v>45261</v>
      </c>
      <c r="S947" s="3">
        <v>1471800</v>
      </c>
      <c r="T947" s="3">
        <v>3.09</v>
      </c>
    </row>
    <row r="948" spans="1:20" hidden="1" x14ac:dyDescent="0.3">
      <c r="A948" s="1">
        <v>45265</v>
      </c>
      <c r="B948" s="2" t="s">
        <v>40</v>
      </c>
      <c r="C948" s="2" t="s">
        <v>136</v>
      </c>
      <c r="D948" s="2" t="s">
        <v>94</v>
      </c>
      <c r="E948" s="2" t="s">
        <v>115</v>
      </c>
      <c r="F948" s="2" t="s">
        <v>24</v>
      </c>
      <c r="G948">
        <v>24</v>
      </c>
      <c r="H948">
        <v>24</v>
      </c>
      <c r="I948">
        <v>21</v>
      </c>
      <c r="J948" s="3">
        <v>1691600</v>
      </c>
      <c r="K948" s="3">
        <v>35523600</v>
      </c>
      <c r="L948" s="2" t="s">
        <v>33</v>
      </c>
      <c r="M948" s="2" t="s">
        <v>26</v>
      </c>
      <c r="N948">
        <v>2023</v>
      </c>
      <c r="O948" s="2" t="s">
        <v>152</v>
      </c>
      <c r="P948" s="2" t="s">
        <v>155</v>
      </c>
      <c r="Q948">
        <v>12</v>
      </c>
      <c r="R948" s="4">
        <v>45261</v>
      </c>
      <c r="S948" s="3">
        <v>1691600</v>
      </c>
      <c r="T948" s="3">
        <v>3.55</v>
      </c>
    </row>
    <row r="949" spans="1:20" hidden="1" x14ac:dyDescent="0.3">
      <c r="A949" s="1">
        <v>45266</v>
      </c>
      <c r="B949" s="2" t="s">
        <v>84</v>
      </c>
      <c r="C949" s="2" t="s">
        <v>126</v>
      </c>
      <c r="D949" s="2" t="s">
        <v>70</v>
      </c>
      <c r="E949" s="2" t="s">
        <v>74</v>
      </c>
      <c r="F949" s="2" t="s">
        <v>39</v>
      </c>
      <c r="G949">
        <v>25</v>
      </c>
      <c r="H949">
        <v>32</v>
      </c>
      <c r="I949">
        <v>39</v>
      </c>
      <c r="J949" s="3">
        <v>1079400</v>
      </c>
      <c r="K949" s="3">
        <v>42096600</v>
      </c>
      <c r="L949" s="2" t="s">
        <v>33</v>
      </c>
      <c r="M949" s="2" t="s">
        <v>34</v>
      </c>
      <c r="N949">
        <v>2023</v>
      </c>
      <c r="O949" s="2" t="s">
        <v>152</v>
      </c>
      <c r="P949" s="2" t="s">
        <v>155</v>
      </c>
      <c r="Q949">
        <v>12</v>
      </c>
      <c r="R949" s="4">
        <v>45261</v>
      </c>
      <c r="S949" s="3">
        <v>1079400</v>
      </c>
      <c r="T949" s="3">
        <v>4.21</v>
      </c>
    </row>
    <row r="950" spans="1:20" hidden="1" x14ac:dyDescent="0.3">
      <c r="A950" s="1">
        <v>45266</v>
      </c>
      <c r="B950" s="2" t="s">
        <v>59</v>
      </c>
      <c r="C950" s="2" t="s">
        <v>60</v>
      </c>
      <c r="D950" s="2" t="s">
        <v>57</v>
      </c>
      <c r="E950" s="2" t="s">
        <v>58</v>
      </c>
      <c r="F950" s="2" t="s">
        <v>24</v>
      </c>
      <c r="G950">
        <v>72</v>
      </c>
      <c r="H950">
        <v>488</v>
      </c>
      <c r="I950">
        <v>145</v>
      </c>
      <c r="J950" s="3">
        <v>4441000</v>
      </c>
      <c r="K950" s="3">
        <v>643945000</v>
      </c>
      <c r="L950" s="2" t="s">
        <v>33</v>
      </c>
      <c r="M950" s="2" t="s">
        <v>26</v>
      </c>
      <c r="N950">
        <v>2023</v>
      </c>
      <c r="O950" s="2" t="s">
        <v>152</v>
      </c>
      <c r="P950" s="2" t="s">
        <v>155</v>
      </c>
      <c r="Q950">
        <v>12</v>
      </c>
      <c r="R950" s="4">
        <v>45261</v>
      </c>
      <c r="S950" s="3">
        <v>4441000</v>
      </c>
      <c r="T950" s="3">
        <v>64.39</v>
      </c>
    </row>
    <row r="951" spans="1:20" hidden="1" x14ac:dyDescent="0.3">
      <c r="A951" s="1">
        <v>45266</v>
      </c>
      <c r="B951" s="2" t="s">
        <v>84</v>
      </c>
      <c r="C951" s="2" t="s">
        <v>85</v>
      </c>
      <c r="D951" s="2" t="s">
        <v>88</v>
      </c>
      <c r="E951" s="2" t="s">
        <v>111</v>
      </c>
      <c r="F951" s="2" t="s">
        <v>24</v>
      </c>
      <c r="G951">
        <v>60</v>
      </c>
      <c r="H951">
        <v>480</v>
      </c>
      <c r="I951">
        <v>52</v>
      </c>
      <c r="J951" s="3">
        <v>3093700</v>
      </c>
      <c r="K951" s="3">
        <v>160872400</v>
      </c>
      <c r="L951" s="2" t="s">
        <v>25</v>
      </c>
      <c r="M951" s="2" t="s">
        <v>26</v>
      </c>
      <c r="N951">
        <v>2023</v>
      </c>
      <c r="O951" s="2" t="s">
        <v>152</v>
      </c>
      <c r="P951" s="2" t="s">
        <v>155</v>
      </c>
      <c r="Q951">
        <v>12</v>
      </c>
      <c r="R951" s="4">
        <v>45261</v>
      </c>
      <c r="S951" s="3">
        <v>3093700</v>
      </c>
      <c r="T951" s="3">
        <v>16.09</v>
      </c>
    </row>
    <row r="952" spans="1:20" hidden="1" x14ac:dyDescent="0.3">
      <c r="A952" s="1">
        <v>45266</v>
      </c>
      <c r="B952" s="2" t="s">
        <v>90</v>
      </c>
      <c r="C952" s="2" t="s">
        <v>99</v>
      </c>
      <c r="D952" s="2" t="s">
        <v>54</v>
      </c>
      <c r="E952" s="2" t="s">
        <v>55</v>
      </c>
      <c r="F952" s="2" t="s">
        <v>24</v>
      </c>
      <c r="G952">
        <v>30</v>
      </c>
      <c r="H952">
        <v>320</v>
      </c>
      <c r="I952">
        <v>72</v>
      </c>
      <c r="J952" s="3">
        <v>1473500</v>
      </c>
      <c r="K952" s="3">
        <v>106092000</v>
      </c>
      <c r="L952" s="2" t="s">
        <v>25</v>
      </c>
      <c r="M952" s="2" t="s">
        <v>26</v>
      </c>
      <c r="N952">
        <v>2023</v>
      </c>
      <c r="O952" s="2" t="s">
        <v>152</v>
      </c>
      <c r="P952" s="2" t="s">
        <v>155</v>
      </c>
      <c r="Q952">
        <v>12</v>
      </c>
      <c r="R952" s="4">
        <v>45261</v>
      </c>
      <c r="S952" s="3">
        <v>1473500</v>
      </c>
      <c r="T952" s="3">
        <v>10.61</v>
      </c>
    </row>
    <row r="953" spans="1:20" hidden="1" x14ac:dyDescent="0.3">
      <c r="A953" s="1">
        <v>45266</v>
      </c>
      <c r="B953" s="2" t="s">
        <v>46</v>
      </c>
      <c r="C953" s="2" t="s">
        <v>110</v>
      </c>
      <c r="D953" s="2" t="s">
        <v>82</v>
      </c>
      <c r="E953" s="2" t="s">
        <v>141</v>
      </c>
      <c r="F953" s="2" t="s">
        <v>72</v>
      </c>
      <c r="G953">
        <v>59</v>
      </c>
      <c r="H953">
        <v>55</v>
      </c>
      <c r="I953">
        <v>40</v>
      </c>
      <c r="J953" s="3">
        <v>2223300</v>
      </c>
      <c r="K953" s="3">
        <v>88932000</v>
      </c>
      <c r="L953" s="2" t="s">
        <v>33</v>
      </c>
      <c r="M953" s="2" t="s">
        <v>26</v>
      </c>
      <c r="N953">
        <v>2023</v>
      </c>
      <c r="O953" s="2" t="s">
        <v>152</v>
      </c>
      <c r="P953" s="2" t="s">
        <v>155</v>
      </c>
      <c r="Q953">
        <v>12</v>
      </c>
      <c r="R953" s="4">
        <v>45261</v>
      </c>
      <c r="S953" s="3">
        <v>2223300</v>
      </c>
      <c r="T953" s="3">
        <v>8.89</v>
      </c>
    </row>
    <row r="954" spans="1:20" hidden="1" x14ac:dyDescent="0.3">
      <c r="A954" s="1">
        <v>45267</v>
      </c>
      <c r="B954" s="2" t="s">
        <v>40</v>
      </c>
      <c r="C954" s="2" t="s">
        <v>41</v>
      </c>
      <c r="D954" s="2" t="s">
        <v>57</v>
      </c>
      <c r="E954" s="2" t="s">
        <v>86</v>
      </c>
      <c r="F954" s="2" t="s">
        <v>24</v>
      </c>
      <c r="G954">
        <v>48</v>
      </c>
      <c r="H954">
        <v>39</v>
      </c>
      <c r="I954">
        <v>106</v>
      </c>
      <c r="J954" s="3">
        <v>2272800</v>
      </c>
      <c r="K954" s="3">
        <v>240916800</v>
      </c>
      <c r="L954" s="2" t="s">
        <v>25</v>
      </c>
      <c r="M954" s="2" t="s">
        <v>26</v>
      </c>
      <c r="N954">
        <v>2023</v>
      </c>
      <c r="O954" s="2" t="s">
        <v>152</v>
      </c>
      <c r="P954" s="2" t="s">
        <v>155</v>
      </c>
      <c r="Q954">
        <v>12</v>
      </c>
      <c r="R954" s="4">
        <v>45261</v>
      </c>
      <c r="S954" s="3">
        <v>2272800</v>
      </c>
      <c r="T954" s="3">
        <v>24.09</v>
      </c>
    </row>
    <row r="955" spans="1:20" hidden="1" x14ac:dyDescent="0.3">
      <c r="A955" s="1">
        <v>45268</v>
      </c>
      <c r="B955" s="2" t="s">
        <v>35</v>
      </c>
      <c r="C955" s="2" t="s">
        <v>121</v>
      </c>
      <c r="D955" s="2" t="s">
        <v>37</v>
      </c>
      <c r="E955" s="2" t="s">
        <v>38</v>
      </c>
      <c r="F955" s="2" t="s">
        <v>24</v>
      </c>
      <c r="G955">
        <v>66</v>
      </c>
      <c r="H955">
        <v>423</v>
      </c>
      <c r="I955">
        <v>20</v>
      </c>
      <c r="J955" s="3">
        <v>7170900</v>
      </c>
      <c r="K955" s="3">
        <v>143418000</v>
      </c>
      <c r="L955" s="2" t="s">
        <v>33</v>
      </c>
      <c r="M955" s="2" t="s">
        <v>97</v>
      </c>
      <c r="N955">
        <v>2023</v>
      </c>
      <c r="O955" s="2" t="s">
        <v>152</v>
      </c>
      <c r="P955" s="2" t="s">
        <v>155</v>
      </c>
      <c r="Q955">
        <v>12</v>
      </c>
      <c r="R955" s="4">
        <v>45261</v>
      </c>
      <c r="S955" s="3">
        <v>7170900</v>
      </c>
      <c r="T955" s="3">
        <v>14.34</v>
      </c>
    </row>
    <row r="956" spans="1:20" hidden="1" x14ac:dyDescent="0.3">
      <c r="A956" s="1">
        <v>45268</v>
      </c>
      <c r="B956" s="2" t="s">
        <v>35</v>
      </c>
      <c r="C956" s="2" t="s">
        <v>36</v>
      </c>
      <c r="D956" s="2" t="s">
        <v>67</v>
      </c>
      <c r="E956" s="2" t="s">
        <v>68</v>
      </c>
      <c r="F956" s="2" t="s">
        <v>24</v>
      </c>
      <c r="G956">
        <v>66</v>
      </c>
      <c r="H956">
        <v>440</v>
      </c>
      <c r="I956">
        <v>36</v>
      </c>
      <c r="J956" s="3">
        <v>6415300</v>
      </c>
      <c r="K956" s="3">
        <v>230950800</v>
      </c>
      <c r="L956" s="2" t="s">
        <v>33</v>
      </c>
      <c r="M956" s="2" t="s">
        <v>26</v>
      </c>
      <c r="N956">
        <v>2023</v>
      </c>
      <c r="O956" s="2" t="s">
        <v>152</v>
      </c>
      <c r="P956" s="2" t="s">
        <v>155</v>
      </c>
      <c r="Q956">
        <v>12</v>
      </c>
      <c r="R956" s="4">
        <v>45261</v>
      </c>
      <c r="S956" s="3">
        <v>6415300</v>
      </c>
      <c r="T956" s="3">
        <v>23.1</v>
      </c>
    </row>
    <row r="957" spans="1:20" hidden="1" x14ac:dyDescent="0.3">
      <c r="A957" s="1">
        <v>45269</v>
      </c>
      <c r="B957" s="2" t="s">
        <v>59</v>
      </c>
      <c r="C957" s="2" t="s">
        <v>135</v>
      </c>
      <c r="D957" s="2" t="s">
        <v>70</v>
      </c>
      <c r="E957" s="2" t="s">
        <v>74</v>
      </c>
      <c r="F957" s="2" t="s">
        <v>24</v>
      </c>
      <c r="G957">
        <v>25</v>
      </c>
      <c r="H957">
        <v>32</v>
      </c>
      <c r="I957">
        <v>30</v>
      </c>
      <c r="J957" s="3">
        <v>1286700</v>
      </c>
      <c r="K957" s="3">
        <v>38601000</v>
      </c>
      <c r="L957" s="2" t="s">
        <v>33</v>
      </c>
      <c r="M957" s="2" t="s">
        <v>26</v>
      </c>
      <c r="N957">
        <v>2023</v>
      </c>
      <c r="O957" s="2" t="s">
        <v>152</v>
      </c>
      <c r="P957" s="2" t="s">
        <v>155</v>
      </c>
      <c r="Q957">
        <v>12</v>
      </c>
      <c r="R957" s="4">
        <v>45261</v>
      </c>
      <c r="S957" s="3">
        <v>1286700</v>
      </c>
      <c r="T957" s="3">
        <v>3.86</v>
      </c>
    </row>
    <row r="958" spans="1:20" hidden="1" x14ac:dyDescent="0.3">
      <c r="A958" s="1">
        <v>45269</v>
      </c>
      <c r="B958" s="2" t="s">
        <v>40</v>
      </c>
      <c r="C958" s="2" t="s">
        <v>41</v>
      </c>
      <c r="D958" s="2" t="s">
        <v>63</v>
      </c>
      <c r="E958" s="2" t="s">
        <v>64</v>
      </c>
      <c r="F958" s="2" t="s">
        <v>24</v>
      </c>
      <c r="G958">
        <v>3</v>
      </c>
      <c r="H958">
        <v>127</v>
      </c>
      <c r="I958">
        <v>25</v>
      </c>
      <c r="J958" s="3">
        <v>149300</v>
      </c>
      <c r="K958" s="3">
        <v>3732500</v>
      </c>
      <c r="L958" s="2" t="s">
        <v>33</v>
      </c>
      <c r="M958" s="2" t="s">
        <v>77</v>
      </c>
      <c r="N958">
        <v>2023</v>
      </c>
      <c r="O958" s="2" t="s">
        <v>152</v>
      </c>
      <c r="P958" s="2" t="s">
        <v>155</v>
      </c>
      <c r="Q958">
        <v>12</v>
      </c>
      <c r="R958" s="4">
        <v>45261</v>
      </c>
      <c r="S958" s="3">
        <v>149300</v>
      </c>
      <c r="T958" s="3">
        <v>0.37</v>
      </c>
    </row>
    <row r="959" spans="1:20" hidden="1" x14ac:dyDescent="0.3">
      <c r="A959" s="1">
        <v>45269</v>
      </c>
      <c r="B959" s="2" t="s">
        <v>90</v>
      </c>
      <c r="C959" s="2" t="s">
        <v>128</v>
      </c>
      <c r="D959" s="2" t="s">
        <v>102</v>
      </c>
      <c r="E959" s="2" t="s">
        <v>103</v>
      </c>
      <c r="F959" s="2" t="s">
        <v>24</v>
      </c>
      <c r="G959">
        <v>5</v>
      </c>
      <c r="H959">
        <v>150</v>
      </c>
      <c r="I959">
        <v>76</v>
      </c>
      <c r="J959" s="3">
        <v>155700</v>
      </c>
      <c r="K959" s="3">
        <v>11833200</v>
      </c>
      <c r="L959" s="2" t="s">
        <v>92</v>
      </c>
      <c r="M959" s="2" t="s">
        <v>26</v>
      </c>
      <c r="N959">
        <v>2023</v>
      </c>
      <c r="O959" s="2" t="s">
        <v>152</v>
      </c>
      <c r="P959" s="2" t="s">
        <v>155</v>
      </c>
      <c r="Q959">
        <v>12</v>
      </c>
      <c r="R959" s="4">
        <v>45261</v>
      </c>
      <c r="S959" s="3">
        <v>155700</v>
      </c>
      <c r="T959" s="3">
        <v>1.18</v>
      </c>
    </row>
    <row r="960" spans="1:20" hidden="1" x14ac:dyDescent="0.3">
      <c r="A960" s="1">
        <v>45269</v>
      </c>
      <c r="B960" s="2" t="s">
        <v>40</v>
      </c>
      <c r="C960" s="2" t="s">
        <v>105</v>
      </c>
      <c r="D960" s="2" t="s">
        <v>54</v>
      </c>
      <c r="E960" s="2" t="s">
        <v>55</v>
      </c>
      <c r="F960" s="2" t="s">
        <v>39</v>
      </c>
      <c r="G960">
        <v>30</v>
      </c>
      <c r="H960">
        <v>320</v>
      </c>
      <c r="I960">
        <v>46</v>
      </c>
      <c r="J960" s="3">
        <v>1641200</v>
      </c>
      <c r="K960" s="3">
        <v>75495200</v>
      </c>
      <c r="L960" s="2" t="s">
        <v>33</v>
      </c>
      <c r="M960" s="2" t="s">
        <v>77</v>
      </c>
      <c r="N960">
        <v>2023</v>
      </c>
      <c r="O960" s="2" t="s">
        <v>152</v>
      </c>
      <c r="P960" s="2" t="s">
        <v>155</v>
      </c>
      <c r="Q960">
        <v>12</v>
      </c>
      <c r="R960" s="4">
        <v>45261</v>
      </c>
      <c r="S960" s="3">
        <v>1641200</v>
      </c>
      <c r="T960" s="3">
        <v>7.55</v>
      </c>
    </row>
    <row r="961" spans="1:20" hidden="1" x14ac:dyDescent="0.3">
      <c r="A961" s="1">
        <v>45270</v>
      </c>
      <c r="B961" s="2" t="s">
        <v>84</v>
      </c>
      <c r="C961" s="2" t="s">
        <v>85</v>
      </c>
      <c r="D961" s="2" t="s">
        <v>100</v>
      </c>
      <c r="E961" s="2" t="s">
        <v>101</v>
      </c>
      <c r="F961" s="2" t="s">
        <v>24</v>
      </c>
      <c r="G961">
        <v>3</v>
      </c>
      <c r="H961">
        <v>150</v>
      </c>
      <c r="I961">
        <v>163</v>
      </c>
      <c r="J961" s="3">
        <v>136800</v>
      </c>
      <c r="K961" s="3">
        <v>22298400</v>
      </c>
      <c r="L961" s="2" t="s">
        <v>33</v>
      </c>
      <c r="M961" s="2" t="s">
        <v>26</v>
      </c>
      <c r="N961">
        <v>2023</v>
      </c>
      <c r="O961" s="2" t="s">
        <v>152</v>
      </c>
      <c r="P961" s="2" t="s">
        <v>155</v>
      </c>
      <c r="Q961">
        <v>12</v>
      </c>
      <c r="R961" s="4">
        <v>45261</v>
      </c>
      <c r="S961" s="3">
        <v>136800</v>
      </c>
      <c r="T961" s="3">
        <v>2.23</v>
      </c>
    </row>
    <row r="962" spans="1:20" hidden="1" x14ac:dyDescent="0.3">
      <c r="A962" s="1">
        <v>45270</v>
      </c>
      <c r="B962" s="2" t="s">
        <v>46</v>
      </c>
      <c r="C962" s="2" t="s">
        <v>47</v>
      </c>
      <c r="D962" s="2" t="s">
        <v>42</v>
      </c>
      <c r="E962" s="2" t="s">
        <v>43</v>
      </c>
      <c r="F962" s="2" t="s">
        <v>24</v>
      </c>
      <c r="G962">
        <v>3</v>
      </c>
      <c r="H962">
        <v>135</v>
      </c>
      <c r="I962">
        <v>85</v>
      </c>
      <c r="J962" s="3">
        <v>115400</v>
      </c>
      <c r="K962" s="3">
        <v>9809000</v>
      </c>
      <c r="L962" s="2" t="s">
        <v>92</v>
      </c>
      <c r="M962" s="2" t="s">
        <v>26</v>
      </c>
      <c r="N962">
        <v>2023</v>
      </c>
      <c r="O962" s="2" t="s">
        <v>152</v>
      </c>
      <c r="P962" s="2" t="s">
        <v>155</v>
      </c>
      <c r="Q962">
        <v>12</v>
      </c>
      <c r="R962" s="4">
        <v>45261</v>
      </c>
      <c r="S962" s="3">
        <v>115400</v>
      </c>
      <c r="T962" s="3">
        <v>0.98</v>
      </c>
    </row>
    <row r="963" spans="1:20" hidden="1" x14ac:dyDescent="0.3">
      <c r="A963" s="1">
        <v>45271</v>
      </c>
      <c r="B963" s="2" t="s">
        <v>84</v>
      </c>
      <c r="C963" s="2" t="s">
        <v>126</v>
      </c>
      <c r="D963" s="2" t="s">
        <v>63</v>
      </c>
      <c r="E963" s="2" t="s">
        <v>64</v>
      </c>
      <c r="F963" s="2" t="s">
        <v>24</v>
      </c>
      <c r="G963">
        <v>3</v>
      </c>
      <c r="H963">
        <v>127</v>
      </c>
      <c r="I963">
        <v>17</v>
      </c>
      <c r="J963" s="3">
        <v>154500</v>
      </c>
      <c r="K963" s="3">
        <v>2626500</v>
      </c>
      <c r="L963" s="2" t="s">
        <v>33</v>
      </c>
      <c r="M963" s="2" t="s">
        <v>26</v>
      </c>
      <c r="N963">
        <v>2023</v>
      </c>
      <c r="O963" s="2" t="s">
        <v>152</v>
      </c>
      <c r="P963" s="2" t="s">
        <v>155</v>
      </c>
      <c r="Q963">
        <v>12</v>
      </c>
      <c r="R963" s="4">
        <v>45261</v>
      </c>
      <c r="S963" s="3">
        <v>154500</v>
      </c>
      <c r="T963" s="3">
        <v>0.26</v>
      </c>
    </row>
    <row r="964" spans="1:20" hidden="1" x14ac:dyDescent="0.3">
      <c r="A964" s="1">
        <v>45271</v>
      </c>
      <c r="B964" s="2" t="s">
        <v>44</v>
      </c>
      <c r="C964" s="2" t="s">
        <v>45</v>
      </c>
      <c r="D964" s="2" t="s">
        <v>57</v>
      </c>
      <c r="E964" s="2" t="s">
        <v>86</v>
      </c>
      <c r="F964" s="2" t="s">
        <v>24</v>
      </c>
      <c r="G964">
        <v>48</v>
      </c>
      <c r="H964">
        <v>39</v>
      </c>
      <c r="I964">
        <v>16</v>
      </c>
      <c r="J964" s="3">
        <v>2459200</v>
      </c>
      <c r="K964" s="3">
        <v>39347200</v>
      </c>
      <c r="L964" s="2" t="s">
        <v>25</v>
      </c>
      <c r="M964" s="2" t="s">
        <v>97</v>
      </c>
      <c r="N964">
        <v>2023</v>
      </c>
      <c r="O964" s="2" t="s">
        <v>152</v>
      </c>
      <c r="P964" s="2" t="s">
        <v>155</v>
      </c>
      <c r="Q964">
        <v>12</v>
      </c>
      <c r="R964" s="4">
        <v>45261</v>
      </c>
      <c r="S964" s="3">
        <v>2459200</v>
      </c>
      <c r="T964" s="3">
        <v>3.93</v>
      </c>
    </row>
    <row r="965" spans="1:20" hidden="1" x14ac:dyDescent="0.3">
      <c r="A965" s="1">
        <v>45272</v>
      </c>
      <c r="B965" s="2" t="s">
        <v>84</v>
      </c>
      <c r="C965" s="2" t="s">
        <v>85</v>
      </c>
      <c r="D965" s="2" t="s">
        <v>79</v>
      </c>
      <c r="E965" s="2" t="s">
        <v>80</v>
      </c>
      <c r="F965" s="2" t="s">
        <v>39</v>
      </c>
      <c r="G965">
        <v>69</v>
      </c>
      <c r="H965">
        <v>418</v>
      </c>
      <c r="I965">
        <v>71</v>
      </c>
      <c r="J965" s="3">
        <v>5029200</v>
      </c>
      <c r="K965" s="3">
        <v>357073200</v>
      </c>
      <c r="L965" s="2" t="s">
        <v>25</v>
      </c>
      <c r="M965" s="2" t="s">
        <v>26</v>
      </c>
      <c r="N965">
        <v>2023</v>
      </c>
      <c r="O965" s="2" t="s">
        <v>152</v>
      </c>
      <c r="P965" s="2" t="s">
        <v>155</v>
      </c>
      <c r="Q965">
        <v>12</v>
      </c>
      <c r="R965" s="4">
        <v>45261</v>
      </c>
      <c r="S965" s="3">
        <v>5029200</v>
      </c>
      <c r="T965" s="3">
        <v>35.71</v>
      </c>
    </row>
    <row r="966" spans="1:20" hidden="1" x14ac:dyDescent="0.3">
      <c r="A966" s="1">
        <v>45272</v>
      </c>
      <c r="B966" s="2" t="s">
        <v>40</v>
      </c>
      <c r="C966" s="2" t="s">
        <v>41</v>
      </c>
      <c r="D966" s="2" t="s">
        <v>70</v>
      </c>
      <c r="E966" s="2" t="s">
        <v>71</v>
      </c>
      <c r="F966" s="2" t="s">
        <v>24</v>
      </c>
      <c r="G966">
        <v>50</v>
      </c>
      <c r="H966">
        <v>46</v>
      </c>
      <c r="I966">
        <v>54</v>
      </c>
      <c r="J966" s="3">
        <v>2383700</v>
      </c>
      <c r="K966" s="3">
        <v>128719800</v>
      </c>
      <c r="L966" s="2" t="s">
        <v>25</v>
      </c>
      <c r="M966" s="2" t="s">
        <v>77</v>
      </c>
      <c r="N966">
        <v>2023</v>
      </c>
      <c r="O966" s="2" t="s">
        <v>152</v>
      </c>
      <c r="P966" s="2" t="s">
        <v>155</v>
      </c>
      <c r="Q966">
        <v>12</v>
      </c>
      <c r="R966" s="4">
        <v>45261</v>
      </c>
      <c r="S966" s="3">
        <v>2383700</v>
      </c>
      <c r="T966" s="3">
        <v>12.87</v>
      </c>
    </row>
    <row r="967" spans="1:20" hidden="1" x14ac:dyDescent="0.3">
      <c r="A967" s="1">
        <v>45272</v>
      </c>
      <c r="B967" s="2" t="s">
        <v>108</v>
      </c>
      <c r="C967" s="2" t="s">
        <v>133</v>
      </c>
      <c r="D967" s="2" t="s">
        <v>79</v>
      </c>
      <c r="E967" s="2" t="s">
        <v>80</v>
      </c>
      <c r="F967" s="2" t="s">
        <v>138</v>
      </c>
      <c r="G967">
        <v>69</v>
      </c>
      <c r="H967">
        <v>418</v>
      </c>
      <c r="I967">
        <v>3</v>
      </c>
      <c r="J967" s="3">
        <v>6025000</v>
      </c>
      <c r="K967" s="3">
        <v>18075000</v>
      </c>
      <c r="L967" s="2" t="s">
        <v>33</v>
      </c>
      <c r="M967" s="2" t="s">
        <v>26</v>
      </c>
      <c r="N967">
        <v>2023</v>
      </c>
      <c r="O967" s="2" t="s">
        <v>152</v>
      </c>
      <c r="P967" s="2" t="s">
        <v>155</v>
      </c>
      <c r="Q967">
        <v>12</v>
      </c>
      <c r="R967" s="4">
        <v>45261</v>
      </c>
      <c r="S967" s="3">
        <v>6025000</v>
      </c>
      <c r="T967" s="3">
        <v>1.81</v>
      </c>
    </row>
    <row r="968" spans="1:20" hidden="1" x14ac:dyDescent="0.3">
      <c r="A968" s="1">
        <v>45273</v>
      </c>
      <c r="B968" s="2" t="s">
        <v>59</v>
      </c>
      <c r="C968" s="2" t="s">
        <v>60</v>
      </c>
      <c r="D968" s="2" t="s">
        <v>67</v>
      </c>
      <c r="E968" s="2" t="s">
        <v>118</v>
      </c>
      <c r="F968" s="2" t="s">
        <v>39</v>
      </c>
      <c r="G968">
        <v>84</v>
      </c>
      <c r="H968">
        <v>590</v>
      </c>
      <c r="I968">
        <v>78</v>
      </c>
      <c r="J968" s="3">
        <v>7827800</v>
      </c>
      <c r="K968" s="3">
        <v>610568400</v>
      </c>
      <c r="L968" s="2" t="s">
        <v>33</v>
      </c>
      <c r="M968" s="2" t="s">
        <v>34</v>
      </c>
      <c r="N968">
        <v>2023</v>
      </c>
      <c r="O968" s="2" t="s">
        <v>152</v>
      </c>
      <c r="P968" s="2" t="s">
        <v>155</v>
      </c>
      <c r="Q968">
        <v>12</v>
      </c>
      <c r="R968" s="4">
        <v>45261</v>
      </c>
      <c r="S968" s="3">
        <v>7827800</v>
      </c>
      <c r="T968" s="3">
        <v>61.06</v>
      </c>
    </row>
    <row r="969" spans="1:20" hidden="1" x14ac:dyDescent="0.3">
      <c r="A969" s="1">
        <v>45274</v>
      </c>
      <c r="B969" s="2" t="s">
        <v>44</v>
      </c>
      <c r="C969" s="2" t="s">
        <v>117</v>
      </c>
      <c r="D969" s="2" t="s">
        <v>67</v>
      </c>
      <c r="E969" s="2" t="s">
        <v>68</v>
      </c>
      <c r="F969" s="2" t="s">
        <v>39</v>
      </c>
      <c r="G969">
        <v>66</v>
      </c>
      <c r="H969">
        <v>440</v>
      </c>
      <c r="I969">
        <v>30</v>
      </c>
      <c r="J969" s="3">
        <v>5416800</v>
      </c>
      <c r="K969" s="3">
        <v>162504000</v>
      </c>
      <c r="L969" s="2" t="s">
        <v>33</v>
      </c>
      <c r="M969" s="2" t="s">
        <v>26</v>
      </c>
      <c r="N969">
        <v>2023</v>
      </c>
      <c r="O969" s="2" t="s">
        <v>152</v>
      </c>
      <c r="P969" s="2" t="s">
        <v>155</v>
      </c>
      <c r="Q969">
        <v>12</v>
      </c>
      <c r="R969" s="4">
        <v>45261</v>
      </c>
      <c r="S969" s="3">
        <v>5416800</v>
      </c>
      <c r="T969" s="3">
        <v>16.25</v>
      </c>
    </row>
    <row r="970" spans="1:20" hidden="1" x14ac:dyDescent="0.3">
      <c r="A970" s="1">
        <v>45274</v>
      </c>
      <c r="B970" s="2" t="s">
        <v>90</v>
      </c>
      <c r="C970" s="2" t="s">
        <v>114</v>
      </c>
      <c r="D970" s="2" t="s">
        <v>37</v>
      </c>
      <c r="E970" s="2" t="s">
        <v>38</v>
      </c>
      <c r="F970" s="2" t="s">
        <v>72</v>
      </c>
      <c r="G970">
        <v>66</v>
      </c>
      <c r="H970">
        <v>423</v>
      </c>
      <c r="I970">
        <v>65</v>
      </c>
      <c r="J970" s="3">
        <v>7042200</v>
      </c>
      <c r="K970" s="3">
        <v>457743000</v>
      </c>
      <c r="L970" s="2" t="s">
        <v>25</v>
      </c>
      <c r="M970" s="2" t="s">
        <v>77</v>
      </c>
      <c r="N970">
        <v>2023</v>
      </c>
      <c r="O970" s="2" t="s">
        <v>152</v>
      </c>
      <c r="P970" s="2" t="s">
        <v>155</v>
      </c>
      <c r="Q970">
        <v>12</v>
      </c>
      <c r="R970" s="4">
        <v>45261</v>
      </c>
      <c r="S970" s="3">
        <v>7042200</v>
      </c>
      <c r="T970" s="3">
        <v>45.77</v>
      </c>
    </row>
    <row r="971" spans="1:20" hidden="1" x14ac:dyDescent="0.3">
      <c r="A971" s="1">
        <v>45275</v>
      </c>
      <c r="B971" s="2" t="s">
        <v>84</v>
      </c>
      <c r="C971" s="2" t="s">
        <v>113</v>
      </c>
      <c r="D971" s="2" t="s">
        <v>88</v>
      </c>
      <c r="E971" s="2" t="s">
        <v>89</v>
      </c>
      <c r="F971" s="2" t="s">
        <v>24</v>
      </c>
      <c r="G971">
        <v>82</v>
      </c>
      <c r="H971">
        <v>580</v>
      </c>
      <c r="I971">
        <v>50</v>
      </c>
      <c r="J971" s="3">
        <v>5886900</v>
      </c>
      <c r="K971" s="3">
        <v>294345000</v>
      </c>
      <c r="L971" s="2" t="s">
        <v>25</v>
      </c>
      <c r="M971" s="2" t="s">
        <v>77</v>
      </c>
      <c r="N971">
        <v>2023</v>
      </c>
      <c r="O971" s="2" t="s">
        <v>152</v>
      </c>
      <c r="P971" s="2" t="s">
        <v>155</v>
      </c>
      <c r="Q971">
        <v>12</v>
      </c>
      <c r="R971" s="4">
        <v>45261</v>
      </c>
      <c r="S971" s="3">
        <v>5886900</v>
      </c>
      <c r="T971" s="3">
        <v>29.43</v>
      </c>
    </row>
    <row r="972" spans="1:20" hidden="1" x14ac:dyDescent="0.3">
      <c r="A972" s="1">
        <v>45276</v>
      </c>
      <c r="B972" s="2" t="s">
        <v>84</v>
      </c>
      <c r="C972" s="2" t="s">
        <v>93</v>
      </c>
      <c r="D972" s="2" t="s">
        <v>31</v>
      </c>
      <c r="E972" s="2" t="s">
        <v>32</v>
      </c>
      <c r="F972" s="2" t="s">
        <v>24</v>
      </c>
      <c r="G972">
        <v>4</v>
      </c>
      <c r="H972">
        <v>195</v>
      </c>
      <c r="I972">
        <v>13</v>
      </c>
      <c r="J972" s="3">
        <v>137300</v>
      </c>
      <c r="K972" s="3">
        <v>1784900</v>
      </c>
      <c r="L972" s="2" t="s">
        <v>25</v>
      </c>
      <c r="M972" s="2" t="s">
        <v>26</v>
      </c>
      <c r="N972">
        <v>2023</v>
      </c>
      <c r="O972" s="2" t="s">
        <v>152</v>
      </c>
      <c r="P972" s="2" t="s">
        <v>155</v>
      </c>
      <c r="Q972">
        <v>12</v>
      </c>
      <c r="R972" s="4">
        <v>45261</v>
      </c>
      <c r="S972" s="3">
        <v>137300</v>
      </c>
      <c r="T972" s="3">
        <v>0.18</v>
      </c>
    </row>
    <row r="973" spans="1:20" hidden="1" x14ac:dyDescent="0.3">
      <c r="A973" s="1">
        <v>45278</v>
      </c>
      <c r="B973" s="2" t="s">
        <v>40</v>
      </c>
      <c r="C973" s="2" t="s">
        <v>105</v>
      </c>
      <c r="D973" s="2" t="s">
        <v>22</v>
      </c>
      <c r="E973" s="2" t="s">
        <v>23</v>
      </c>
      <c r="F973" s="2" t="s">
        <v>24</v>
      </c>
      <c r="G973">
        <v>82</v>
      </c>
      <c r="H973">
        <v>520</v>
      </c>
      <c r="I973">
        <v>68</v>
      </c>
      <c r="J973" s="3">
        <v>6462400</v>
      </c>
      <c r="K973" s="3">
        <v>439443200</v>
      </c>
      <c r="L973" s="2" t="s">
        <v>33</v>
      </c>
      <c r="M973" s="2" t="s">
        <v>26</v>
      </c>
      <c r="N973">
        <v>2023</v>
      </c>
      <c r="O973" s="2" t="s">
        <v>152</v>
      </c>
      <c r="P973" s="2" t="s">
        <v>155</v>
      </c>
      <c r="Q973">
        <v>12</v>
      </c>
      <c r="R973" s="4">
        <v>45261</v>
      </c>
      <c r="S973" s="3">
        <v>6462400</v>
      </c>
      <c r="T973" s="3">
        <v>43.94</v>
      </c>
    </row>
    <row r="974" spans="1:20" hidden="1" x14ac:dyDescent="0.3">
      <c r="A974" s="1">
        <v>45278</v>
      </c>
      <c r="B974" s="2" t="s">
        <v>35</v>
      </c>
      <c r="C974" s="2" t="s">
        <v>121</v>
      </c>
      <c r="D974" s="2" t="s">
        <v>100</v>
      </c>
      <c r="E974" s="2" t="s">
        <v>101</v>
      </c>
      <c r="F974" s="2" t="s">
        <v>24</v>
      </c>
      <c r="G974">
        <v>3</v>
      </c>
      <c r="H974">
        <v>150</v>
      </c>
      <c r="I974">
        <v>158</v>
      </c>
      <c r="J974" s="3">
        <v>147500</v>
      </c>
      <c r="K974" s="3">
        <v>23305000</v>
      </c>
      <c r="L974" s="2" t="s">
        <v>33</v>
      </c>
      <c r="M974" s="2" t="s">
        <v>77</v>
      </c>
      <c r="N974">
        <v>2023</v>
      </c>
      <c r="O974" s="2" t="s">
        <v>152</v>
      </c>
      <c r="P974" s="2" t="s">
        <v>155</v>
      </c>
      <c r="Q974">
        <v>12</v>
      </c>
      <c r="R974" s="4">
        <v>45261</v>
      </c>
      <c r="S974" s="3">
        <v>147500</v>
      </c>
      <c r="T974" s="3">
        <v>2.33</v>
      </c>
    </row>
    <row r="975" spans="1:20" hidden="1" x14ac:dyDescent="0.3">
      <c r="A975" s="1">
        <v>45278</v>
      </c>
      <c r="B975" s="2" t="s">
        <v>75</v>
      </c>
      <c r="C975" s="2" t="s">
        <v>122</v>
      </c>
      <c r="D975" s="2" t="s">
        <v>31</v>
      </c>
      <c r="E975" s="2" t="s">
        <v>32</v>
      </c>
      <c r="F975" s="2" t="s">
        <v>24</v>
      </c>
      <c r="G975">
        <v>4</v>
      </c>
      <c r="H975">
        <v>195</v>
      </c>
      <c r="I975">
        <v>179</v>
      </c>
      <c r="J975" s="3">
        <v>130200</v>
      </c>
      <c r="K975" s="3">
        <v>23305800</v>
      </c>
      <c r="L975" s="2" t="s">
        <v>33</v>
      </c>
      <c r="M975" s="2" t="s">
        <v>77</v>
      </c>
      <c r="N975">
        <v>2023</v>
      </c>
      <c r="O975" s="2" t="s">
        <v>152</v>
      </c>
      <c r="P975" s="2" t="s">
        <v>155</v>
      </c>
      <c r="Q975">
        <v>12</v>
      </c>
      <c r="R975" s="4">
        <v>45261</v>
      </c>
      <c r="S975" s="3">
        <v>130200</v>
      </c>
      <c r="T975" s="3">
        <v>2.33</v>
      </c>
    </row>
    <row r="976" spans="1:20" hidden="1" x14ac:dyDescent="0.3">
      <c r="A976" s="1">
        <v>45279</v>
      </c>
      <c r="B976" s="2" t="s">
        <v>59</v>
      </c>
      <c r="C976" s="2" t="s">
        <v>60</v>
      </c>
      <c r="D976" s="2" t="s">
        <v>67</v>
      </c>
      <c r="E976" s="2" t="s">
        <v>68</v>
      </c>
      <c r="F976" s="2" t="s">
        <v>39</v>
      </c>
      <c r="G976">
        <v>66</v>
      </c>
      <c r="H976">
        <v>440</v>
      </c>
      <c r="I976">
        <v>47</v>
      </c>
      <c r="J976" s="3">
        <v>5905500</v>
      </c>
      <c r="K976" s="3">
        <v>277558500</v>
      </c>
      <c r="L976" s="2" t="s">
        <v>33</v>
      </c>
      <c r="M976" s="2" t="s">
        <v>34</v>
      </c>
      <c r="N976">
        <v>2023</v>
      </c>
      <c r="O976" s="2" t="s">
        <v>152</v>
      </c>
      <c r="P976" s="2" t="s">
        <v>155</v>
      </c>
      <c r="Q976">
        <v>12</v>
      </c>
      <c r="R976" s="4">
        <v>45261</v>
      </c>
      <c r="S976" s="3">
        <v>5905500</v>
      </c>
      <c r="T976" s="3">
        <v>27.76</v>
      </c>
    </row>
    <row r="977" spans="1:20" hidden="1" x14ac:dyDescent="0.3">
      <c r="A977" s="1">
        <v>45280</v>
      </c>
      <c r="B977" s="2" t="s">
        <v>90</v>
      </c>
      <c r="C977" s="2" t="s">
        <v>114</v>
      </c>
      <c r="D977" s="2" t="s">
        <v>54</v>
      </c>
      <c r="E977" s="2" t="s">
        <v>55</v>
      </c>
      <c r="F977" s="2" t="s">
        <v>24</v>
      </c>
      <c r="G977">
        <v>30</v>
      </c>
      <c r="H977">
        <v>320</v>
      </c>
      <c r="I977">
        <v>11</v>
      </c>
      <c r="J977" s="3">
        <v>1290400</v>
      </c>
      <c r="K977" s="3">
        <v>14194400</v>
      </c>
      <c r="L977" s="2" t="s">
        <v>33</v>
      </c>
      <c r="M977" s="2" t="s">
        <v>26</v>
      </c>
      <c r="N977">
        <v>2023</v>
      </c>
      <c r="O977" s="2" t="s">
        <v>152</v>
      </c>
      <c r="P977" s="2" t="s">
        <v>155</v>
      </c>
      <c r="Q977">
        <v>12</v>
      </c>
      <c r="R977" s="4">
        <v>45261</v>
      </c>
      <c r="S977" s="3">
        <v>1290400</v>
      </c>
      <c r="T977" s="3">
        <v>1.42</v>
      </c>
    </row>
    <row r="978" spans="1:20" hidden="1" x14ac:dyDescent="0.3">
      <c r="A978" s="1">
        <v>45280</v>
      </c>
      <c r="B978" s="2" t="s">
        <v>84</v>
      </c>
      <c r="C978" s="2" t="s">
        <v>93</v>
      </c>
      <c r="D978" s="2" t="s">
        <v>88</v>
      </c>
      <c r="E978" s="2" t="s">
        <v>89</v>
      </c>
      <c r="F978" s="2" t="s">
        <v>24</v>
      </c>
      <c r="G978">
        <v>82</v>
      </c>
      <c r="H978">
        <v>580</v>
      </c>
      <c r="I978">
        <v>21</v>
      </c>
      <c r="J978" s="3">
        <v>6116000</v>
      </c>
      <c r="K978" s="3">
        <v>128436000</v>
      </c>
      <c r="L978" s="2" t="s">
        <v>33</v>
      </c>
      <c r="M978" s="2" t="s">
        <v>77</v>
      </c>
      <c r="N978">
        <v>2023</v>
      </c>
      <c r="O978" s="2" t="s">
        <v>152</v>
      </c>
      <c r="P978" s="2" t="s">
        <v>155</v>
      </c>
      <c r="Q978">
        <v>12</v>
      </c>
      <c r="R978" s="4">
        <v>45261</v>
      </c>
      <c r="S978" s="3">
        <v>6116000</v>
      </c>
      <c r="T978" s="3">
        <v>12.84</v>
      </c>
    </row>
    <row r="979" spans="1:20" hidden="1" x14ac:dyDescent="0.3">
      <c r="A979" s="1">
        <v>45280</v>
      </c>
      <c r="B979" s="2" t="s">
        <v>48</v>
      </c>
      <c r="C979" s="2" t="s">
        <v>73</v>
      </c>
      <c r="D979" s="2" t="s">
        <v>31</v>
      </c>
      <c r="E979" s="2" t="s">
        <v>124</v>
      </c>
      <c r="F979" s="2" t="s">
        <v>24</v>
      </c>
      <c r="G979">
        <v>3</v>
      </c>
      <c r="H979">
        <v>151</v>
      </c>
      <c r="I979">
        <v>86</v>
      </c>
      <c r="J979" s="3">
        <v>95000</v>
      </c>
      <c r="K979" s="3">
        <v>8170000</v>
      </c>
      <c r="L979" s="2" t="s">
        <v>33</v>
      </c>
      <c r="M979" s="2" t="s">
        <v>26</v>
      </c>
      <c r="N979">
        <v>2023</v>
      </c>
      <c r="O979" s="2" t="s">
        <v>152</v>
      </c>
      <c r="P979" s="2" t="s">
        <v>155</v>
      </c>
      <c r="Q979">
        <v>12</v>
      </c>
      <c r="R979" s="4">
        <v>45261</v>
      </c>
      <c r="S979" s="3">
        <v>95000</v>
      </c>
      <c r="T979" s="3">
        <v>0.82</v>
      </c>
    </row>
    <row r="980" spans="1:20" hidden="1" x14ac:dyDescent="0.3">
      <c r="A980" s="1">
        <v>45280</v>
      </c>
      <c r="B980" s="2" t="s">
        <v>40</v>
      </c>
      <c r="C980" s="2" t="s">
        <v>105</v>
      </c>
      <c r="D980" s="2" t="s">
        <v>79</v>
      </c>
      <c r="E980" s="2" t="s">
        <v>80</v>
      </c>
      <c r="F980" s="2" t="s">
        <v>72</v>
      </c>
      <c r="G980">
        <v>69</v>
      </c>
      <c r="H980">
        <v>418</v>
      </c>
      <c r="I980">
        <v>28</v>
      </c>
      <c r="J980" s="3">
        <v>5373700</v>
      </c>
      <c r="K980" s="3">
        <v>150463600</v>
      </c>
      <c r="L980" s="2" t="s">
        <v>92</v>
      </c>
      <c r="M980" s="2" t="s">
        <v>77</v>
      </c>
      <c r="N980">
        <v>2023</v>
      </c>
      <c r="O980" s="2" t="s">
        <v>152</v>
      </c>
      <c r="P980" s="2" t="s">
        <v>155</v>
      </c>
      <c r="Q980">
        <v>12</v>
      </c>
      <c r="R980" s="4">
        <v>45261</v>
      </c>
      <c r="S980" s="3">
        <v>5373700</v>
      </c>
      <c r="T980" s="3">
        <v>15.05</v>
      </c>
    </row>
    <row r="981" spans="1:20" hidden="1" x14ac:dyDescent="0.3">
      <c r="A981" s="1">
        <v>45280</v>
      </c>
      <c r="B981" s="2" t="s">
        <v>44</v>
      </c>
      <c r="C981" s="2" t="s">
        <v>117</v>
      </c>
      <c r="D981" s="2" t="s">
        <v>70</v>
      </c>
      <c r="E981" s="2" t="s">
        <v>71</v>
      </c>
      <c r="F981" s="2" t="s">
        <v>24</v>
      </c>
      <c r="G981">
        <v>50</v>
      </c>
      <c r="H981">
        <v>46</v>
      </c>
      <c r="I981">
        <v>31</v>
      </c>
      <c r="J981" s="3">
        <v>2470300</v>
      </c>
      <c r="K981" s="3">
        <v>76579300</v>
      </c>
      <c r="L981" s="2" t="s">
        <v>33</v>
      </c>
      <c r="M981" s="2" t="s">
        <v>26</v>
      </c>
      <c r="N981">
        <v>2023</v>
      </c>
      <c r="O981" s="2" t="s">
        <v>152</v>
      </c>
      <c r="P981" s="2" t="s">
        <v>155</v>
      </c>
      <c r="Q981">
        <v>12</v>
      </c>
      <c r="R981" s="4">
        <v>45261</v>
      </c>
      <c r="S981" s="3">
        <v>2470300</v>
      </c>
      <c r="T981" s="3">
        <v>7.66</v>
      </c>
    </row>
    <row r="982" spans="1:20" hidden="1" x14ac:dyDescent="0.3">
      <c r="A982" s="1">
        <v>45280</v>
      </c>
      <c r="B982" s="2" t="s">
        <v>59</v>
      </c>
      <c r="C982" s="2" t="s">
        <v>60</v>
      </c>
      <c r="D982" s="2" t="s">
        <v>82</v>
      </c>
      <c r="E982" s="2" t="s">
        <v>83</v>
      </c>
      <c r="F982" s="2" t="s">
        <v>39</v>
      </c>
      <c r="G982">
        <v>40</v>
      </c>
      <c r="H982">
        <v>39</v>
      </c>
      <c r="I982">
        <v>155</v>
      </c>
      <c r="J982" s="3">
        <v>2097300</v>
      </c>
      <c r="K982" s="3">
        <v>325081500</v>
      </c>
      <c r="L982" s="2" t="s">
        <v>33</v>
      </c>
      <c r="M982" s="2" t="s">
        <v>26</v>
      </c>
      <c r="N982">
        <v>2023</v>
      </c>
      <c r="O982" s="2" t="s">
        <v>152</v>
      </c>
      <c r="P982" s="2" t="s">
        <v>155</v>
      </c>
      <c r="Q982">
        <v>12</v>
      </c>
      <c r="R982" s="4">
        <v>45261</v>
      </c>
      <c r="S982" s="3">
        <v>2097300</v>
      </c>
      <c r="T982" s="3">
        <v>32.51</v>
      </c>
    </row>
    <row r="983" spans="1:20" hidden="1" x14ac:dyDescent="0.3">
      <c r="A983" s="1">
        <v>45280</v>
      </c>
      <c r="B983" s="2" t="s">
        <v>90</v>
      </c>
      <c r="C983" s="2" t="s">
        <v>114</v>
      </c>
      <c r="D983" s="2" t="s">
        <v>100</v>
      </c>
      <c r="E983" s="2" t="s">
        <v>101</v>
      </c>
      <c r="F983" s="2" t="s">
        <v>24</v>
      </c>
      <c r="G983">
        <v>3</v>
      </c>
      <c r="H983">
        <v>150</v>
      </c>
      <c r="I983">
        <v>171</v>
      </c>
      <c r="J983" s="3">
        <v>156100</v>
      </c>
      <c r="K983" s="3">
        <v>26693100</v>
      </c>
      <c r="L983" s="2" t="s">
        <v>25</v>
      </c>
      <c r="M983" s="2" t="s">
        <v>26</v>
      </c>
      <c r="N983">
        <v>2023</v>
      </c>
      <c r="O983" s="2" t="s">
        <v>152</v>
      </c>
      <c r="P983" s="2" t="s">
        <v>155</v>
      </c>
      <c r="Q983">
        <v>12</v>
      </c>
      <c r="R983" s="4">
        <v>45261</v>
      </c>
      <c r="S983" s="3">
        <v>156100</v>
      </c>
      <c r="T983" s="3">
        <v>2.67</v>
      </c>
    </row>
    <row r="984" spans="1:20" hidden="1" x14ac:dyDescent="0.3">
      <c r="A984" s="1">
        <v>45280</v>
      </c>
      <c r="B984" s="2" t="s">
        <v>48</v>
      </c>
      <c r="C984" s="2" t="s">
        <v>49</v>
      </c>
      <c r="D984" s="2" t="s">
        <v>100</v>
      </c>
      <c r="E984" s="2" t="s">
        <v>101</v>
      </c>
      <c r="F984" s="2" t="s">
        <v>24</v>
      </c>
      <c r="G984">
        <v>3</v>
      </c>
      <c r="H984">
        <v>150</v>
      </c>
      <c r="I984">
        <v>95</v>
      </c>
      <c r="J984" s="3">
        <v>133400</v>
      </c>
      <c r="K984" s="3">
        <v>12673000</v>
      </c>
      <c r="L984" s="2" t="s">
        <v>33</v>
      </c>
      <c r="M984" s="2" t="s">
        <v>77</v>
      </c>
      <c r="N984">
        <v>2023</v>
      </c>
      <c r="O984" s="2" t="s">
        <v>152</v>
      </c>
      <c r="P984" s="2" t="s">
        <v>155</v>
      </c>
      <c r="Q984">
        <v>12</v>
      </c>
      <c r="R984" s="4">
        <v>45261</v>
      </c>
      <c r="S984" s="3">
        <v>133400</v>
      </c>
      <c r="T984" s="3">
        <v>1.27</v>
      </c>
    </row>
    <row r="985" spans="1:20" hidden="1" x14ac:dyDescent="0.3">
      <c r="A985" s="1">
        <v>45280</v>
      </c>
      <c r="B985" s="2" t="s">
        <v>29</v>
      </c>
      <c r="C985" s="2" t="s">
        <v>104</v>
      </c>
      <c r="D985" s="2" t="s">
        <v>67</v>
      </c>
      <c r="E985" s="2" t="s">
        <v>68</v>
      </c>
      <c r="F985" s="2" t="s">
        <v>24</v>
      </c>
      <c r="G985">
        <v>66</v>
      </c>
      <c r="H985">
        <v>440</v>
      </c>
      <c r="I985">
        <v>59</v>
      </c>
      <c r="J985" s="3">
        <v>5872000</v>
      </c>
      <c r="K985" s="3">
        <v>346448000</v>
      </c>
      <c r="L985" s="2" t="s">
        <v>25</v>
      </c>
      <c r="M985" s="2" t="s">
        <v>26</v>
      </c>
      <c r="N985">
        <v>2023</v>
      </c>
      <c r="O985" s="2" t="s">
        <v>152</v>
      </c>
      <c r="P985" s="2" t="s">
        <v>155</v>
      </c>
      <c r="Q985">
        <v>12</v>
      </c>
      <c r="R985" s="4">
        <v>45261</v>
      </c>
      <c r="S985" s="3">
        <v>5872000</v>
      </c>
      <c r="T985" s="3">
        <v>34.64</v>
      </c>
    </row>
    <row r="986" spans="1:20" hidden="1" x14ac:dyDescent="0.3">
      <c r="A986" s="1">
        <v>45281</v>
      </c>
      <c r="B986" s="2" t="s">
        <v>40</v>
      </c>
      <c r="C986" s="2" t="s">
        <v>41</v>
      </c>
      <c r="D986" s="2" t="s">
        <v>102</v>
      </c>
      <c r="E986" s="2" t="s">
        <v>103</v>
      </c>
      <c r="F986" s="2" t="s">
        <v>24</v>
      </c>
      <c r="G986">
        <v>5</v>
      </c>
      <c r="H986">
        <v>150</v>
      </c>
      <c r="I986">
        <v>154</v>
      </c>
      <c r="J986" s="3">
        <v>164400</v>
      </c>
      <c r="K986" s="3">
        <v>25317600</v>
      </c>
      <c r="L986" s="2" t="s">
        <v>33</v>
      </c>
      <c r="M986" s="2" t="s">
        <v>97</v>
      </c>
      <c r="N986">
        <v>2023</v>
      </c>
      <c r="O986" s="2" t="s">
        <v>152</v>
      </c>
      <c r="P986" s="2" t="s">
        <v>155</v>
      </c>
      <c r="Q986">
        <v>12</v>
      </c>
      <c r="R986" s="4">
        <v>45261</v>
      </c>
      <c r="S986" s="3">
        <v>164400</v>
      </c>
      <c r="T986" s="3">
        <v>2.5299999999999998</v>
      </c>
    </row>
    <row r="987" spans="1:20" hidden="1" x14ac:dyDescent="0.3">
      <c r="A987" s="1">
        <v>45282</v>
      </c>
      <c r="B987" s="2" t="s">
        <v>46</v>
      </c>
      <c r="C987" s="2" t="s">
        <v>56</v>
      </c>
      <c r="D987" s="2" t="s">
        <v>42</v>
      </c>
      <c r="E987" s="2" t="s">
        <v>43</v>
      </c>
      <c r="F987" s="2" t="s">
        <v>24</v>
      </c>
      <c r="G987">
        <v>3</v>
      </c>
      <c r="H987">
        <v>135</v>
      </c>
      <c r="I987">
        <v>114</v>
      </c>
      <c r="J987" s="3">
        <v>103900</v>
      </c>
      <c r="K987" s="3">
        <v>11844600</v>
      </c>
      <c r="L987" s="2" t="s">
        <v>33</v>
      </c>
      <c r="M987" s="2" t="s">
        <v>26</v>
      </c>
      <c r="N987">
        <v>2023</v>
      </c>
      <c r="O987" s="2" t="s">
        <v>152</v>
      </c>
      <c r="P987" s="2" t="s">
        <v>155</v>
      </c>
      <c r="Q987">
        <v>12</v>
      </c>
      <c r="R987" s="4">
        <v>45261</v>
      </c>
      <c r="S987" s="3">
        <v>103900</v>
      </c>
      <c r="T987" s="3">
        <v>1.18</v>
      </c>
    </row>
    <row r="988" spans="1:20" hidden="1" x14ac:dyDescent="0.3">
      <c r="A988" s="1">
        <v>45283</v>
      </c>
      <c r="B988" s="2" t="s">
        <v>90</v>
      </c>
      <c r="C988" s="2" t="s">
        <v>114</v>
      </c>
      <c r="D988" s="2" t="s">
        <v>50</v>
      </c>
      <c r="E988" s="2" t="s">
        <v>51</v>
      </c>
      <c r="F988" s="2" t="s">
        <v>24</v>
      </c>
      <c r="G988">
        <v>77</v>
      </c>
      <c r="H988">
        <v>528</v>
      </c>
      <c r="I988">
        <v>26</v>
      </c>
      <c r="J988" s="3">
        <v>4564300</v>
      </c>
      <c r="K988" s="3">
        <v>118671800</v>
      </c>
      <c r="L988" s="2" t="s">
        <v>33</v>
      </c>
      <c r="M988" s="2" t="s">
        <v>26</v>
      </c>
      <c r="N988">
        <v>2023</v>
      </c>
      <c r="O988" s="2" t="s">
        <v>152</v>
      </c>
      <c r="P988" s="2" t="s">
        <v>155</v>
      </c>
      <c r="Q988">
        <v>12</v>
      </c>
      <c r="R988" s="4">
        <v>45261</v>
      </c>
      <c r="S988" s="3">
        <v>4564300</v>
      </c>
      <c r="T988" s="3">
        <v>11.87</v>
      </c>
    </row>
    <row r="989" spans="1:20" hidden="1" x14ac:dyDescent="0.3">
      <c r="A989" s="1">
        <v>45284</v>
      </c>
      <c r="B989" s="2" t="s">
        <v>40</v>
      </c>
      <c r="C989" s="2" t="s">
        <v>136</v>
      </c>
      <c r="D989" s="2" t="s">
        <v>31</v>
      </c>
      <c r="E989" s="2" t="s">
        <v>124</v>
      </c>
      <c r="F989" s="2" t="s">
        <v>24</v>
      </c>
      <c r="G989">
        <v>3</v>
      </c>
      <c r="H989">
        <v>151</v>
      </c>
      <c r="I989">
        <v>122</v>
      </c>
      <c r="J989" s="3">
        <v>104200</v>
      </c>
      <c r="K989" s="3">
        <v>12712400</v>
      </c>
      <c r="L989" s="2" t="s">
        <v>33</v>
      </c>
      <c r="M989" s="2" t="s">
        <v>97</v>
      </c>
      <c r="N989">
        <v>2023</v>
      </c>
      <c r="O989" s="2" t="s">
        <v>152</v>
      </c>
      <c r="P989" s="2" t="s">
        <v>155</v>
      </c>
      <c r="Q989">
        <v>12</v>
      </c>
      <c r="R989" s="4">
        <v>45261</v>
      </c>
      <c r="S989" s="3">
        <v>104200</v>
      </c>
      <c r="T989" s="3">
        <v>1.27</v>
      </c>
    </row>
    <row r="990" spans="1:20" hidden="1" x14ac:dyDescent="0.3">
      <c r="A990" s="1">
        <v>45284</v>
      </c>
      <c r="B990" s="2" t="s">
        <v>59</v>
      </c>
      <c r="C990" s="2" t="s">
        <v>60</v>
      </c>
      <c r="D990" s="2" t="s">
        <v>100</v>
      </c>
      <c r="E990" s="2" t="s">
        <v>101</v>
      </c>
      <c r="F990" s="2" t="s">
        <v>24</v>
      </c>
      <c r="G990">
        <v>3</v>
      </c>
      <c r="H990">
        <v>150</v>
      </c>
      <c r="I990">
        <v>90</v>
      </c>
      <c r="J990" s="3">
        <v>135900</v>
      </c>
      <c r="K990" s="3">
        <v>12231000</v>
      </c>
      <c r="L990" s="2" t="s">
        <v>33</v>
      </c>
      <c r="M990" s="2" t="s">
        <v>26</v>
      </c>
      <c r="N990">
        <v>2023</v>
      </c>
      <c r="O990" s="2" t="s">
        <v>152</v>
      </c>
      <c r="P990" s="2" t="s">
        <v>155</v>
      </c>
      <c r="Q990">
        <v>12</v>
      </c>
      <c r="R990" s="4">
        <v>45261</v>
      </c>
      <c r="S990" s="3">
        <v>135900</v>
      </c>
      <c r="T990" s="3">
        <v>1.22</v>
      </c>
    </row>
    <row r="991" spans="1:20" hidden="1" x14ac:dyDescent="0.3">
      <c r="A991" s="1">
        <v>45284</v>
      </c>
      <c r="B991" s="2" t="s">
        <v>40</v>
      </c>
      <c r="C991" s="2" t="s">
        <v>105</v>
      </c>
      <c r="D991" s="2" t="s">
        <v>79</v>
      </c>
      <c r="E991" s="2" t="s">
        <v>80</v>
      </c>
      <c r="F991" s="2" t="s">
        <v>24</v>
      </c>
      <c r="G991">
        <v>69</v>
      </c>
      <c r="H991">
        <v>418</v>
      </c>
      <c r="I991">
        <v>64</v>
      </c>
      <c r="J991" s="3">
        <v>4976600</v>
      </c>
      <c r="K991" s="3">
        <v>318502400</v>
      </c>
      <c r="L991" s="2" t="s">
        <v>33</v>
      </c>
      <c r="M991" s="2" t="s">
        <v>26</v>
      </c>
      <c r="N991">
        <v>2023</v>
      </c>
      <c r="O991" s="2" t="s">
        <v>152</v>
      </c>
      <c r="P991" s="2" t="s">
        <v>155</v>
      </c>
      <c r="Q991">
        <v>12</v>
      </c>
      <c r="R991" s="4">
        <v>45261</v>
      </c>
      <c r="S991" s="3">
        <v>4976600</v>
      </c>
      <c r="T991" s="3">
        <v>31.85</v>
      </c>
    </row>
    <row r="992" spans="1:20" hidden="1" x14ac:dyDescent="0.3">
      <c r="A992" s="1">
        <v>45286</v>
      </c>
      <c r="B992" s="2" t="s">
        <v>35</v>
      </c>
      <c r="C992" s="2" t="s">
        <v>132</v>
      </c>
      <c r="D992" s="2" t="s">
        <v>88</v>
      </c>
      <c r="E992" s="2" t="s">
        <v>111</v>
      </c>
      <c r="F992" s="2" t="s">
        <v>39</v>
      </c>
      <c r="G992">
        <v>60</v>
      </c>
      <c r="H992">
        <v>480</v>
      </c>
      <c r="I992">
        <v>31</v>
      </c>
      <c r="J992" s="3">
        <v>3322300</v>
      </c>
      <c r="K992" s="3">
        <v>102991300</v>
      </c>
      <c r="L992" s="2" t="s">
        <v>33</v>
      </c>
      <c r="M992" s="2" t="s">
        <v>34</v>
      </c>
      <c r="N992">
        <v>2023</v>
      </c>
      <c r="O992" s="2" t="s">
        <v>152</v>
      </c>
      <c r="P992" s="2" t="s">
        <v>155</v>
      </c>
      <c r="Q992">
        <v>12</v>
      </c>
      <c r="R992" s="4">
        <v>45261</v>
      </c>
      <c r="S992" s="3">
        <v>3322300</v>
      </c>
      <c r="T992" s="3">
        <v>10.3</v>
      </c>
    </row>
    <row r="993" spans="1:20" hidden="1" x14ac:dyDescent="0.3">
      <c r="A993" s="1">
        <v>45287</v>
      </c>
      <c r="B993" s="2" t="s">
        <v>108</v>
      </c>
      <c r="C993" s="2" t="s">
        <v>109</v>
      </c>
      <c r="D993" s="2" t="s">
        <v>82</v>
      </c>
      <c r="E993" s="2" t="s">
        <v>83</v>
      </c>
      <c r="F993" s="2" t="s">
        <v>24</v>
      </c>
      <c r="G993">
        <v>40</v>
      </c>
      <c r="H993">
        <v>39</v>
      </c>
      <c r="I993">
        <v>122</v>
      </c>
      <c r="J993" s="3">
        <v>1990000</v>
      </c>
      <c r="K993" s="3">
        <v>242780000</v>
      </c>
      <c r="L993" s="2" t="s">
        <v>33</v>
      </c>
      <c r="M993" s="2" t="s">
        <v>77</v>
      </c>
      <c r="N993">
        <v>2023</v>
      </c>
      <c r="O993" s="2" t="s">
        <v>152</v>
      </c>
      <c r="P993" s="2" t="s">
        <v>155</v>
      </c>
      <c r="Q993">
        <v>12</v>
      </c>
      <c r="R993" s="4">
        <v>45261</v>
      </c>
      <c r="S993" s="3">
        <v>1990000</v>
      </c>
      <c r="T993" s="3">
        <v>24.28</v>
      </c>
    </row>
    <row r="994" spans="1:20" hidden="1" x14ac:dyDescent="0.3">
      <c r="A994" s="1">
        <v>45287</v>
      </c>
      <c r="B994" s="2" t="s">
        <v>29</v>
      </c>
      <c r="C994" s="2" t="s">
        <v>30</v>
      </c>
      <c r="D994" s="2" t="s">
        <v>88</v>
      </c>
      <c r="E994" s="2" t="s">
        <v>89</v>
      </c>
      <c r="F994" s="2" t="s">
        <v>72</v>
      </c>
      <c r="G994">
        <v>82</v>
      </c>
      <c r="H994">
        <v>580</v>
      </c>
      <c r="I994">
        <v>10</v>
      </c>
      <c r="J994" s="3">
        <v>5384000</v>
      </c>
      <c r="K994" s="3">
        <v>53840000</v>
      </c>
      <c r="L994" s="2" t="s">
        <v>33</v>
      </c>
      <c r="M994" s="2" t="s">
        <v>26</v>
      </c>
      <c r="N994">
        <v>2023</v>
      </c>
      <c r="O994" s="2" t="s">
        <v>152</v>
      </c>
      <c r="P994" s="2" t="s">
        <v>155</v>
      </c>
      <c r="Q994">
        <v>12</v>
      </c>
      <c r="R994" s="4">
        <v>45261</v>
      </c>
      <c r="S994" s="3">
        <v>5384000</v>
      </c>
      <c r="T994" s="3">
        <v>5.38</v>
      </c>
    </row>
    <row r="995" spans="1:20" hidden="1" x14ac:dyDescent="0.3">
      <c r="A995" s="1">
        <v>45289</v>
      </c>
      <c r="B995" s="2" t="s">
        <v>106</v>
      </c>
      <c r="C995" s="2" t="s">
        <v>107</v>
      </c>
      <c r="D995" s="2" t="s">
        <v>67</v>
      </c>
      <c r="E995" s="2" t="s">
        <v>118</v>
      </c>
      <c r="F995" s="2" t="s">
        <v>24</v>
      </c>
      <c r="G995">
        <v>84</v>
      </c>
      <c r="H995">
        <v>590</v>
      </c>
      <c r="I995">
        <v>60</v>
      </c>
      <c r="J995" s="3">
        <v>8013900</v>
      </c>
      <c r="K995" s="3">
        <v>480834000</v>
      </c>
      <c r="L995" s="2" t="s">
        <v>92</v>
      </c>
      <c r="M995" s="2" t="s">
        <v>77</v>
      </c>
      <c r="N995">
        <v>2023</v>
      </c>
      <c r="O995" s="2" t="s">
        <v>152</v>
      </c>
      <c r="P995" s="2" t="s">
        <v>155</v>
      </c>
      <c r="Q995">
        <v>12</v>
      </c>
      <c r="R995" s="4">
        <v>45261</v>
      </c>
      <c r="S995" s="3">
        <v>8013900</v>
      </c>
      <c r="T995" s="3">
        <v>48.08</v>
      </c>
    </row>
    <row r="996" spans="1:20" hidden="1" x14ac:dyDescent="0.3">
      <c r="A996" s="1">
        <v>45290</v>
      </c>
      <c r="B996" s="2" t="s">
        <v>29</v>
      </c>
      <c r="C996" s="2" t="s">
        <v>96</v>
      </c>
      <c r="D996" s="2" t="s">
        <v>50</v>
      </c>
      <c r="E996" s="2" t="s">
        <v>51</v>
      </c>
      <c r="F996" s="2" t="s">
        <v>24</v>
      </c>
      <c r="G996">
        <v>77</v>
      </c>
      <c r="H996">
        <v>528</v>
      </c>
      <c r="I996">
        <v>22</v>
      </c>
      <c r="J996" s="3">
        <v>5398600</v>
      </c>
      <c r="K996" s="3">
        <v>118769200</v>
      </c>
      <c r="L996" s="2" t="s">
        <v>33</v>
      </c>
      <c r="M996" s="2" t="s">
        <v>77</v>
      </c>
      <c r="N996">
        <v>2023</v>
      </c>
      <c r="O996" s="2" t="s">
        <v>152</v>
      </c>
      <c r="P996" s="2" t="s">
        <v>155</v>
      </c>
      <c r="Q996">
        <v>12</v>
      </c>
      <c r="R996" s="4">
        <v>45261</v>
      </c>
      <c r="S996" s="3">
        <v>5398600</v>
      </c>
      <c r="T996" s="3">
        <v>11.88</v>
      </c>
    </row>
    <row r="997" spans="1:20" hidden="1" x14ac:dyDescent="0.3">
      <c r="A997" s="1">
        <v>45291</v>
      </c>
      <c r="B997" s="2" t="s">
        <v>84</v>
      </c>
      <c r="C997" s="2" t="s">
        <v>126</v>
      </c>
      <c r="D997" s="2" t="s">
        <v>37</v>
      </c>
      <c r="E997" s="2" t="s">
        <v>38</v>
      </c>
      <c r="F997" s="2" t="s">
        <v>24</v>
      </c>
      <c r="G997">
        <v>66</v>
      </c>
      <c r="H997">
        <v>423</v>
      </c>
      <c r="I997">
        <v>23</v>
      </c>
      <c r="J997" s="3">
        <v>8514700</v>
      </c>
      <c r="K997" s="3">
        <v>195838100</v>
      </c>
      <c r="L997" s="2" t="s">
        <v>33</v>
      </c>
      <c r="M997" s="2" t="s">
        <v>77</v>
      </c>
      <c r="N997">
        <v>2023</v>
      </c>
      <c r="O997" s="2" t="s">
        <v>152</v>
      </c>
      <c r="P997" s="2" t="s">
        <v>155</v>
      </c>
      <c r="Q997">
        <v>12</v>
      </c>
      <c r="R997" s="4">
        <v>45261</v>
      </c>
      <c r="S997" s="3">
        <v>8514700</v>
      </c>
      <c r="T997" s="3">
        <v>19.579999999999998</v>
      </c>
    </row>
    <row r="998" spans="1:20" hidden="1" x14ac:dyDescent="0.3">
      <c r="A998" s="1">
        <v>45291</v>
      </c>
      <c r="B998" s="2" t="s">
        <v>40</v>
      </c>
      <c r="C998" s="2" t="s">
        <v>105</v>
      </c>
      <c r="D998" s="2" t="s">
        <v>100</v>
      </c>
      <c r="E998" s="2" t="s">
        <v>101</v>
      </c>
      <c r="F998" s="2" t="s">
        <v>24</v>
      </c>
      <c r="G998">
        <v>3</v>
      </c>
      <c r="H998">
        <v>150</v>
      </c>
      <c r="I998">
        <v>16</v>
      </c>
      <c r="J998" s="3">
        <v>142600</v>
      </c>
      <c r="K998" s="3">
        <v>2281600</v>
      </c>
      <c r="L998" s="2" t="s">
        <v>33</v>
      </c>
      <c r="M998" s="2" t="s">
        <v>34</v>
      </c>
      <c r="N998">
        <v>2023</v>
      </c>
      <c r="O998" s="2" t="s">
        <v>152</v>
      </c>
      <c r="P998" s="2" t="s">
        <v>155</v>
      </c>
      <c r="Q998">
        <v>12</v>
      </c>
      <c r="R998" s="4">
        <v>45261</v>
      </c>
      <c r="S998" s="3">
        <v>142600</v>
      </c>
      <c r="T998" s="3">
        <v>0.23</v>
      </c>
    </row>
    <row r="999" spans="1:20" hidden="1" x14ac:dyDescent="0.3">
      <c r="A999" s="1">
        <v>45291</v>
      </c>
      <c r="B999" s="2" t="s">
        <v>90</v>
      </c>
      <c r="C999" s="2" t="s">
        <v>114</v>
      </c>
      <c r="D999" s="2" t="s">
        <v>82</v>
      </c>
      <c r="E999" s="2" t="s">
        <v>141</v>
      </c>
      <c r="F999" s="2" t="s">
        <v>39</v>
      </c>
      <c r="G999">
        <v>59</v>
      </c>
      <c r="H999">
        <v>55</v>
      </c>
      <c r="I999">
        <v>10</v>
      </c>
      <c r="J999" s="3">
        <v>2566600</v>
      </c>
      <c r="K999" s="3">
        <v>25666000</v>
      </c>
      <c r="L999" s="2" t="s">
        <v>33</v>
      </c>
      <c r="M999" s="2" t="s">
        <v>77</v>
      </c>
      <c r="N999">
        <v>2023</v>
      </c>
      <c r="O999" s="2" t="s">
        <v>152</v>
      </c>
      <c r="P999" s="2" t="s">
        <v>155</v>
      </c>
      <c r="Q999">
        <v>12</v>
      </c>
      <c r="R999" s="4">
        <v>45261</v>
      </c>
      <c r="S999" s="3">
        <v>2566600</v>
      </c>
      <c r="T999" s="3">
        <v>2.57</v>
      </c>
    </row>
    <row r="1000" spans="1:20" hidden="1" x14ac:dyDescent="0.3">
      <c r="A1000" s="1">
        <v>45291</v>
      </c>
      <c r="B1000" s="2" t="s">
        <v>59</v>
      </c>
      <c r="C1000" s="2" t="s">
        <v>81</v>
      </c>
      <c r="D1000" s="2" t="s">
        <v>37</v>
      </c>
      <c r="E1000" s="2" t="s">
        <v>38</v>
      </c>
      <c r="F1000" s="2" t="s">
        <v>24</v>
      </c>
      <c r="G1000">
        <v>66</v>
      </c>
      <c r="H1000">
        <v>423</v>
      </c>
      <c r="I1000">
        <v>73</v>
      </c>
      <c r="J1000" s="3">
        <v>7712500</v>
      </c>
      <c r="K1000" s="3">
        <v>563012500</v>
      </c>
      <c r="L1000" s="2" t="s">
        <v>33</v>
      </c>
      <c r="M1000" s="2" t="s">
        <v>26</v>
      </c>
      <c r="N1000">
        <v>2023</v>
      </c>
      <c r="O1000" s="2" t="s">
        <v>152</v>
      </c>
      <c r="P1000" s="2" t="s">
        <v>155</v>
      </c>
      <c r="Q1000">
        <v>12</v>
      </c>
      <c r="R1000" s="4">
        <v>45261</v>
      </c>
      <c r="S1000" s="3">
        <v>7712500</v>
      </c>
      <c r="T1000" s="3">
        <v>56.3</v>
      </c>
    </row>
    <row r="1001" spans="1:20" x14ac:dyDescent="0.3">
      <c r="A1001" s="1">
        <v>45292</v>
      </c>
      <c r="B1001" s="2" t="s">
        <v>40</v>
      </c>
      <c r="C1001" s="2" t="s">
        <v>41</v>
      </c>
      <c r="D1001" s="2" t="s">
        <v>22</v>
      </c>
      <c r="E1001" s="2" t="s">
        <v>23</v>
      </c>
      <c r="F1001" s="2" t="s">
        <v>24</v>
      </c>
      <c r="G1001">
        <v>82</v>
      </c>
      <c r="H1001">
        <v>520</v>
      </c>
      <c r="I1001">
        <v>13</v>
      </c>
      <c r="J1001" s="3">
        <v>6035300</v>
      </c>
      <c r="K1001" s="3">
        <v>78458900</v>
      </c>
      <c r="L1001" s="2" t="s">
        <v>33</v>
      </c>
      <c r="M1001" s="2" t="s">
        <v>97</v>
      </c>
      <c r="N1001">
        <v>2024</v>
      </c>
      <c r="O1001" s="2" t="s">
        <v>27</v>
      </c>
      <c r="P1001" s="2" t="s">
        <v>28</v>
      </c>
      <c r="Q1001">
        <v>1</v>
      </c>
      <c r="R1001" s="4">
        <v>45292</v>
      </c>
      <c r="S1001" s="3">
        <v>6035300</v>
      </c>
      <c r="T1001" s="3">
        <v>7.85</v>
      </c>
    </row>
    <row r="1002" spans="1:20" x14ac:dyDescent="0.3">
      <c r="A1002" s="1">
        <v>45293</v>
      </c>
      <c r="B1002" s="2" t="s">
        <v>46</v>
      </c>
      <c r="C1002" s="2" t="s">
        <v>56</v>
      </c>
      <c r="D1002" s="2" t="s">
        <v>82</v>
      </c>
      <c r="E1002" s="2" t="s">
        <v>141</v>
      </c>
      <c r="F1002" s="2" t="s">
        <v>72</v>
      </c>
      <c r="G1002">
        <v>59</v>
      </c>
      <c r="H1002">
        <v>55</v>
      </c>
      <c r="I1002">
        <v>113</v>
      </c>
      <c r="J1002" s="3">
        <v>2941400</v>
      </c>
      <c r="K1002" s="3">
        <v>332378200</v>
      </c>
      <c r="L1002" s="2" t="s">
        <v>25</v>
      </c>
      <c r="M1002" s="2" t="s">
        <v>26</v>
      </c>
      <c r="N1002">
        <v>2024</v>
      </c>
      <c r="O1002" s="2" t="s">
        <v>27</v>
      </c>
      <c r="P1002" s="2" t="s">
        <v>28</v>
      </c>
      <c r="Q1002">
        <v>1</v>
      </c>
      <c r="R1002" s="4">
        <v>45292</v>
      </c>
      <c r="S1002" s="3">
        <v>2941400</v>
      </c>
      <c r="T1002" s="3">
        <v>33.24</v>
      </c>
    </row>
    <row r="1003" spans="1:20" x14ac:dyDescent="0.3">
      <c r="A1003" s="1">
        <v>45293</v>
      </c>
      <c r="B1003" s="2" t="s">
        <v>48</v>
      </c>
      <c r="C1003" s="2" t="s">
        <v>69</v>
      </c>
      <c r="D1003" s="2" t="s">
        <v>67</v>
      </c>
      <c r="E1003" s="2" t="s">
        <v>68</v>
      </c>
      <c r="F1003" s="2" t="s">
        <v>24</v>
      </c>
      <c r="G1003">
        <v>66</v>
      </c>
      <c r="H1003">
        <v>440</v>
      </c>
      <c r="I1003">
        <v>42</v>
      </c>
      <c r="J1003" s="3">
        <v>5390000</v>
      </c>
      <c r="K1003" s="3">
        <v>226380000</v>
      </c>
      <c r="L1003" s="2" t="s">
        <v>33</v>
      </c>
      <c r="M1003" s="2" t="s">
        <v>26</v>
      </c>
      <c r="N1003">
        <v>2024</v>
      </c>
      <c r="O1003" s="2" t="s">
        <v>27</v>
      </c>
      <c r="P1003" s="2" t="s">
        <v>28</v>
      </c>
      <c r="Q1003">
        <v>1</v>
      </c>
      <c r="R1003" s="4">
        <v>45292</v>
      </c>
      <c r="S1003" s="3">
        <v>5390000</v>
      </c>
      <c r="T1003" s="3">
        <v>22.64</v>
      </c>
    </row>
    <row r="1004" spans="1:20" x14ac:dyDescent="0.3">
      <c r="A1004" s="1">
        <v>45294</v>
      </c>
      <c r="B1004" s="2" t="s">
        <v>20</v>
      </c>
      <c r="C1004" s="2" t="s">
        <v>21</v>
      </c>
      <c r="D1004" s="2" t="s">
        <v>37</v>
      </c>
      <c r="E1004" s="2" t="s">
        <v>38</v>
      </c>
      <c r="F1004" s="2" t="s">
        <v>24</v>
      </c>
      <c r="G1004">
        <v>66</v>
      </c>
      <c r="H1004">
        <v>423</v>
      </c>
      <c r="I1004">
        <v>19</v>
      </c>
      <c r="J1004" s="3">
        <v>9253900</v>
      </c>
      <c r="K1004" s="3">
        <v>175824100</v>
      </c>
      <c r="L1004" s="2" t="s">
        <v>33</v>
      </c>
      <c r="M1004" s="2" t="s">
        <v>77</v>
      </c>
      <c r="N1004">
        <v>2024</v>
      </c>
      <c r="O1004" s="2" t="s">
        <v>27</v>
      </c>
      <c r="P1004" s="2" t="s">
        <v>28</v>
      </c>
      <c r="Q1004">
        <v>1</v>
      </c>
      <c r="R1004" s="4">
        <v>45292</v>
      </c>
      <c r="S1004" s="3">
        <v>9253900</v>
      </c>
      <c r="T1004" s="3">
        <v>17.579999999999998</v>
      </c>
    </row>
    <row r="1005" spans="1:20" x14ac:dyDescent="0.3">
      <c r="A1005" s="1">
        <v>45294</v>
      </c>
      <c r="B1005" s="2" t="s">
        <v>84</v>
      </c>
      <c r="C1005" s="2" t="s">
        <v>85</v>
      </c>
      <c r="D1005" s="2" t="s">
        <v>54</v>
      </c>
      <c r="E1005" s="2" t="s">
        <v>55</v>
      </c>
      <c r="F1005" s="2" t="s">
        <v>72</v>
      </c>
      <c r="G1005">
        <v>30</v>
      </c>
      <c r="H1005">
        <v>320</v>
      </c>
      <c r="I1005">
        <v>41</v>
      </c>
      <c r="J1005" s="3">
        <v>1564300</v>
      </c>
      <c r="K1005" s="3">
        <v>64136300</v>
      </c>
      <c r="L1005" s="2" t="s">
        <v>33</v>
      </c>
      <c r="M1005" s="2" t="s">
        <v>77</v>
      </c>
      <c r="N1005">
        <v>2024</v>
      </c>
      <c r="O1005" s="2" t="s">
        <v>27</v>
      </c>
      <c r="P1005" s="2" t="s">
        <v>28</v>
      </c>
      <c r="Q1005">
        <v>1</v>
      </c>
      <c r="R1005" s="4">
        <v>45292</v>
      </c>
      <c r="S1005" s="3">
        <v>1564300</v>
      </c>
      <c r="T1005" s="3">
        <v>6.41</v>
      </c>
    </row>
    <row r="1006" spans="1:20" x14ac:dyDescent="0.3">
      <c r="A1006" s="1">
        <v>45294</v>
      </c>
      <c r="B1006" s="2" t="s">
        <v>20</v>
      </c>
      <c r="C1006" s="2" t="s">
        <v>21</v>
      </c>
      <c r="D1006" s="2" t="s">
        <v>31</v>
      </c>
      <c r="E1006" s="2" t="s">
        <v>32</v>
      </c>
      <c r="F1006" s="2" t="s">
        <v>24</v>
      </c>
      <c r="G1006">
        <v>4</v>
      </c>
      <c r="H1006">
        <v>195</v>
      </c>
      <c r="I1006">
        <v>155</v>
      </c>
      <c r="J1006" s="3">
        <v>129600</v>
      </c>
      <c r="K1006" s="3">
        <v>20088000</v>
      </c>
      <c r="L1006" s="2" t="s">
        <v>25</v>
      </c>
      <c r="M1006" s="2" t="s">
        <v>77</v>
      </c>
      <c r="N1006">
        <v>2024</v>
      </c>
      <c r="O1006" s="2" t="s">
        <v>27</v>
      </c>
      <c r="P1006" s="2" t="s">
        <v>28</v>
      </c>
      <c r="Q1006">
        <v>1</v>
      </c>
      <c r="R1006" s="4">
        <v>45292</v>
      </c>
      <c r="S1006" s="3">
        <v>129600</v>
      </c>
      <c r="T1006" s="3">
        <v>2.0099999999999998</v>
      </c>
    </row>
    <row r="1007" spans="1:20" x14ac:dyDescent="0.3">
      <c r="A1007" s="1">
        <v>45294</v>
      </c>
      <c r="B1007" s="2" t="s">
        <v>29</v>
      </c>
      <c r="C1007" s="2" t="s">
        <v>96</v>
      </c>
      <c r="D1007" s="2" t="s">
        <v>88</v>
      </c>
      <c r="E1007" s="2" t="s">
        <v>111</v>
      </c>
      <c r="F1007" s="2" t="s">
        <v>24</v>
      </c>
      <c r="G1007">
        <v>60</v>
      </c>
      <c r="H1007">
        <v>480</v>
      </c>
      <c r="I1007">
        <v>7</v>
      </c>
      <c r="J1007" s="3">
        <v>3668300</v>
      </c>
      <c r="K1007" s="3">
        <v>25678100</v>
      </c>
      <c r="L1007" s="2" t="s">
        <v>33</v>
      </c>
      <c r="M1007" s="2" t="s">
        <v>34</v>
      </c>
      <c r="N1007">
        <v>2024</v>
      </c>
      <c r="O1007" s="2" t="s">
        <v>27</v>
      </c>
      <c r="P1007" s="2" t="s">
        <v>28</v>
      </c>
      <c r="Q1007">
        <v>1</v>
      </c>
      <c r="R1007" s="4">
        <v>45292</v>
      </c>
      <c r="S1007" s="3">
        <v>3668300</v>
      </c>
      <c r="T1007" s="3">
        <v>2.57</v>
      </c>
    </row>
    <row r="1008" spans="1:20" x14ac:dyDescent="0.3">
      <c r="A1008" s="1">
        <v>45294</v>
      </c>
      <c r="B1008" s="2" t="s">
        <v>108</v>
      </c>
      <c r="C1008" s="2" t="s">
        <v>133</v>
      </c>
      <c r="D1008" s="2" t="s">
        <v>50</v>
      </c>
      <c r="E1008" s="2" t="s">
        <v>51</v>
      </c>
      <c r="F1008" s="2" t="s">
        <v>24</v>
      </c>
      <c r="G1008">
        <v>77</v>
      </c>
      <c r="H1008">
        <v>528</v>
      </c>
      <c r="I1008">
        <v>32</v>
      </c>
      <c r="J1008" s="3">
        <v>4720700</v>
      </c>
      <c r="K1008" s="3">
        <v>151062400</v>
      </c>
      <c r="L1008" s="2" t="s">
        <v>33</v>
      </c>
      <c r="M1008" s="2" t="s">
        <v>26</v>
      </c>
      <c r="N1008">
        <v>2024</v>
      </c>
      <c r="O1008" s="2" t="s">
        <v>27</v>
      </c>
      <c r="P1008" s="2" t="s">
        <v>28</v>
      </c>
      <c r="Q1008">
        <v>1</v>
      </c>
      <c r="R1008" s="4">
        <v>45292</v>
      </c>
      <c r="S1008" s="3">
        <v>4720700</v>
      </c>
      <c r="T1008" s="3">
        <v>15.11</v>
      </c>
    </row>
    <row r="1009" spans="1:20" x14ac:dyDescent="0.3">
      <c r="A1009" s="1">
        <v>45295</v>
      </c>
      <c r="B1009" s="2" t="s">
        <v>75</v>
      </c>
      <c r="C1009" s="2" t="s">
        <v>134</v>
      </c>
      <c r="D1009" s="2" t="s">
        <v>70</v>
      </c>
      <c r="E1009" s="2" t="s">
        <v>74</v>
      </c>
      <c r="F1009" s="2" t="s">
        <v>24</v>
      </c>
      <c r="G1009">
        <v>25</v>
      </c>
      <c r="H1009">
        <v>32</v>
      </c>
      <c r="I1009">
        <v>155</v>
      </c>
      <c r="J1009" s="3">
        <v>1000200</v>
      </c>
      <c r="K1009" s="3">
        <v>155031000</v>
      </c>
      <c r="L1009" s="2" t="s">
        <v>33</v>
      </c>
      <c r="M1009" s="2" t="s">
        <v>26</v>
      </c>
      <c r="N1009">
        <v>2024</v>
      </c>
      <c r="O1009" s="2" t="s">
        <v>27</v>
      </c>
      <c r="P1009" s="2" t="s">
        <v>28</v>
      </c>
      <c r="Q1009">
        <v>1</v>
      </c>
      <c r="R1009" s="4">
        <v>45292</v>
      </c>
      <c r="S1009" s="3">
        <v>1000200</v>
      </c>
      <c r="T1009" s="3">
        <v>15.5</v>
      </c>
    </row>
    <row r="1010" spans="1:20" x14ac:dyDescent="0.3">
      <c r="A1010" s="1">
        <v>45295</v>
      </c>
      <c r="B1010" s="2" t="s">
        <v>35</v>
      </c>
      <c r="C1010" s="2" t="s">
        <v>87</v>
      </c>
      <c r="D1010" s="2" t="s">
        <v>100</v>
      </c>
      <c r="E1010" s="2" t="s">
        <v>101</v>
      </c>
      <c r="F1010" s="2" t="s">
        <v>24</v>
      </c>
      <c r="G1010">
        <v>3</v>
      </c>
      <c r="H1010">
        <v>150</v>
      </c>
      <c r="I1010">
        <v>162</v>
      </c>
      <c r="J1010" s="3">
        <v>153300</v>
      </c>
      <c r="K1010" s="3">
        <v>24834600</v>
      </c>
      <c r="L1010" s="2" t="s">
        <v>33</v>
      </c>
      <c r="M1010" s="2" t="s">
        <v>97</v>
      </c>
      <c r="N1010">
        <v>2024</v>
      </c>
      <c r="O1010" s="2" t="s">
        <v>27</v>
      </c>
      <c r="P1010" s="2" t="s">
        <v>28</v>
      </c>
      <c r="Q1010">
        <v>1</v>
      </c>
      <c r="R1010" s="4">
        <v>45292</v>
      </c>
      <c r="S1010" s="3">
        <v>153300</v>
      </c>
      <c r="T1010" s="3">
        <v>2.48</v>
      </c>
    </row>
    <row r="1011" spans="1:20" x14ac:dyDescent="0.3">
      <c r="A1011" s="1">
        <v>45295</v>
      </c>
      <c r="B1011" s="2" t="s">
        <v>20</v>
      </c>
      <c r="C1011" s="2" t="s">
        <v>112</v>
      </c>
      <c r="D1011" s="2" t="s">
        <v>94</v>
      </c>
      <c r="E1011" s="2" t="s">
        <v>115</v>
      </c>
      <c r="F1011" s="2" t="s">
        <v>24</v>
      </c>
      <c r="G1011">
        <v>24</v>
      </c>
      <c r="H1011">
        <v>24</v>
      </c>
      <c r="I1011">
        <v>61</v>
      </c>
      <c r="J1011" s="3">
        <v>1605000</v>
      </c>
      <c r="K1011" s="3">
        <v>97905000</v>
      </c>
      <c r="L1011" s="2" t="s">
        <v>25</v>
      </c>
      <c r="M1011" s="2" t="s">
        <v>26</v>
      </c>
      <c r="N1011">
        <v>2024</v>
      </c>
      <c r="O1011" s="2" t="s">
        <v>27</v>
      </c>
      <c r="P1011" s="2" t="s">
        <v>28</v>
      </c>
      <c r="Q1011">
        <v>1</v>
      </c>
      <c r="R1011" s="4">
        <v>45292</v>
      </c>
      <c r="S1011" s="3">
        <v>1605000</v>
      </c>
      <c r="T1011" s="3">
        <v>9.7899999999999991</v>
      </c>
    </row>
    <row r="1012" spans="1:20" x14ac:dyDescent="0.3">
      <c r="A1012" s="1">
        <v>45295</v>
      </c>
      <c r="B1012" s="2" t="s">
        <v>46</v>
      </c>
      <c r="C1012" s="2" t="s">
        <v>47</v>
      </c>
      <c r="D1012" s="2" t="s">
        <v>42</v>
      </c>
      <c r="E1012" s="2" t="s">
        <v>43</v>
      </c>
      <c r="F1012" s="2" t="s">
        <v>24</v>
      </c>
      <c r="G1012">
        <v>3</v>
      </c>
      <c r="H1012">
        <v>135</v>
      </c>
      <c r="I1012">
        <v>33</v>
      </c>
      <c r="J1012" s="3">
        <v>113800</v>
      </c>
      <c r="K1012" s="3">
        <v>3755400</v>
      </c>
      <c r="L1012" s="2" t="s">
        <v>33</v>
      </c>
      <c r="M1012" s="2" t="s">
        <v>77</v>
      </c>
      <c r="N1012">
        <v>2024</v>
      </c>
      <c r="O1012" s="2" t="s">
        <v>27</v>
      </c>
      <c r="P1012" s="2" t="s">
        <v>28</v>
      </c>
      <c r="Q1012">
        <v>1</v>
      </c>
      <c r="R1012" s="4">
        <v>45292</v>
      </c>
      <c r="S1012" s="3">
        <v>113800</v>
      </c>
      <c r="T1012" s="3">
        <v>0.38</v>
      </c>
    </row>
    <row r="1013" spans="1:20" x14ac:dyDescent="0.3">
      <c r="A1013" s="1">
        <v>45296</v>
      </c>
      <c r="B1013" s="2" t="s">
        <v>44</v>
      </c>
      <c r="C1013" s="2" t="s">
        <v>45</v>
      </c>
      <c r="D1013" s="2" t="s">
        <v>37</v>
      </c>
      <c r="E1013" s="2" t="s">
        <v>38</v>
      </c>
      <c r="F1013" s="2" t="s">
        <v>24</v>
      </c>
      <c r="G1013">
        <v>66</v>
      </c>
      <c r="H1013">
        <v>423</v>
      </c>
      <c r="I1013">
        <v>64</v>
      </c>
      <c r="J1013" s="3">
        <v>8713800</v>
      </c>
      <c r="K1013" s="3">
        <v>557683200</v>
      </c>
      <c r="L1013" s="2" t="s">
        <v>25</v>
      </c>
      <c r="M1013" s="2" t="s">
        <v>77</v>
      </c>
      <c r="N1013">
        <v>2024</v>
      </c>
      <c r="O1013" s="2" t="s">
        <v>27</v>
      </c>
      <c r="P1013" s="2" t="s">
        <v>28</v>
      </c>
      <c r="Q1013">
        <v>1</v>
      </c>
      <c r="R1013" s="4">
        <v>45292</v>
      </c>
      <c r="S1013" s="3">
        <v>8713800</v>
      </c>
      <c r="T1013" s="3">
        <v>55.77</v>
      </c>
    </row>
    <row r="1014" spans="1:20" x14ac:dyDescent="0.3">
      <c r="A1014" s="1">
        <v>45296</v>
      </c>
      <c r="B1014" s="2" t="s">
        <v>84</v>
      </c>
      <c r="C1014" s="2" t="s">
        <v>126</v>
      </c>
      <c r="D1014" s="2" t="s">
        <v>63</v>
      </c>
      <c r="E1014" s="2" t="s">
        <v>64</v>
      </c>
      <c r="F1014" s="2" t="s">
        <v>24</v>
      </c>
      <c r="G1014">
        <v>3</v>
      </c>
      <c r="H1014">
        <v>127</v>
      </c>
      <c r="I1014">
        <v>129</v>
      </c>
      <c r="J1014" s="3">
        <v>142100</v>
      </c>
      <c r="K1014" s="3">
        <v>18330900</v>
      </c>
      <c r="L1014" s="2" t="s">
        <v>33</v>
      </c>
      <c r="M1014" s="2" t="s">
        <v>26</v>
      </c>
      <c r="N1014">
        <v>2024</v>
      </c>
      <c r="O1014" s="2" t="s">
        <v>27</v>
      </c>
      <c r="P1014" s="2" t="s">
        <v>28</v>
      </c>
      <c r="Q1014">
        <v>1</v>
      </c>
      <c r="R1014" s="4">
        <v>45292</v>
      </c>
      <c r="S1014" s="3">
        <v>142100</v>
      </c>
      <c r="T1014" s="3">
        <v>1.83</v>
      </c>
    </row>
    <row r="1015" spans="1:20" x14ac:dyDescent="0.3">
      <c r="A1015" s="1">
        <v>45296</v>
      </c>
      <c r="B1015" s="2" t="s">
        <v>108</v>
      </c>
      <c r="C1015" s="2" t="s">
        <v>133</v>
      </c>
      <c r="D1015" s="2" t="s">
        <v>70</v>
      </c>
      <c r="E1015" s="2" t="s">
        <v>71</v>
      </c>
      <c r="F1015" s="2" t="s">
        <v>24</v>
      </c>
      <c r="G1015">
        <v>50</v>
      </c>
      <c r="H1015">
        <v>46</v>
      </c>
      <c r="I1015">
        <v>94</v>
      </c>
      <c r="J1015" s="3">
        <v>2712000</v>
      </c>
      <c r="K1015" s="3">
        <v>254928000</v>
      </c>
      <c r="L1015" s="2" t="s">
        <v>25</v>
      </c>
      <c r="M1015" s="2" t="s">
        <v>26</v>
      </c>
      <c r="N1015">
        <v>2024</v>
      </c>
      <c r="O1015" s="2" t="s">
        <v>27</v>
      </c>
      <c r="P1015" s="2" t="s">
        <v>28</v>
      </c>
      <c r="Q1015">
        <v>1</v>
      </c>
      <c r="R1015" s="4">
        <v>45292</v>
      </c>
      <c r="S1015" s="3">
        <v>2712000</v>
      </c>
      <c r="T1015" s="3">
        <v>25.49</v>
      </c>
    </row>
    <row r="1016" spans="1:20" x14ac:dyDescent="0.3">
      <c r="A1016" s="1">
        <v>45297</v>
      </c>
      <c r="B1016" s="2" t="s">
        <v>46</v>
      </c>
      <c r="C1016" s="2" t="s">
        <v>137</v>
      </c>
      <c r="D1016" s="2" t="s">
        <v>42</v>
      </c>
      <c r="E1016" s="2" t="s">
        <v>43</v>
      </c>
      <c r="F1016" s="2" t="s">
        <v>24</v>
      </c>
      <c r="G1016">
        <v>3</v>
      </c>
      <c r="H1016">
        <v>135</v>
      </c>
      <c r="I1016">
        <v>27</v>
      </c>
      <c r="J1016" s="3">
        <v>108400</v>
      </c>
      <c r="K1016" s="3">
        <v>2926800</v>
      </c>
      <c r="L1016" s="2" t="s">
        <v>33</v>
      </c>
      <c r="M1016" s="2" t="s">
        <v>77</v>
      </c>
      <c r="N1016">
        <v>2024</v>
      </c>
      <c r="O1016" s="2" t="s">
        <v>27</v>
      </c>
      <c r="P1016" s="2" t="s">
        <v>28</v>
      </c>
      <c r="Q1016">
        <v>1</v>
      </c>
      <c r="R1016" s="4">
        <v>45292</v>
      </c>
      <c r="S1016" s="3">
        <v>108400</v>
      </c>
      <c r="T1016" s="3">
        <v>0.28999999999999998</v>
      </c>
    </row>
    <row r="1017" spans="1:20" x14ac:dyDescent="0.3">
      <c r="A1017" s="1">
        <v>45298</v>
      </c>
      <c r="B1017" s="2" t="s">
        <v>75</v>
      </c>
      <c r="C1017" s="2" t="s">
        <v>134</v>
      </c>
      <c r="D1017" s="2" t="s">
        <v>57</v>
      </c>
      <c r="E1017" s="2" t="s">
        <v>58</v>
      </c>
      <c r="F1017" s="2" t="s">
        <v>24</v>
      </c>
      <c r="G1017">
        <v>72</v>
      </c>
      <c r="H1017">
        <v>488</v>
      </c>
      <c r="I1017">
        <v>178</v>
      </c>
      <c r="J1017" s="3">
        <v>4338900</v>
      </c>
      <c r="K1017" s="3">
        <v>772324200</v>
      </c>
      <c r="L1017" s="2" t="s">
        <v>33</v>
      </c>
      <c r="M1017" s="2" t="s">
        <v>26</v>
      </c>
      <c r="N1017">
        <v>2024</v>
      </c>
      <c r="O1017" s="2" t="s">
        <v>27</v>
      </c>
      <c r="P1017" s="2" t="s">
        <v>28</v>
      </c>
      <c r="Q1017">
        <v>1</v>
      </c>
      <c r="R1017" s="4">
        <v>45292</v>
      </c>
      <c r="S1017" s="3">
        <v>4338900</v>
      </c>
      <c r="T1017" s="3">
        <v>77.23</v>
      </c>
    </row>
    <row r="1018" spans="1:20" x14ac:dyDescent="0.3">
      <c r="A1018" s="1">
        <v>45298</v>
      </c>
      <c r="B1018" s="2" t="s">
        <v>106</v>
      </c>
      <c r="C1018" s="2" t="s">
        <v>120</v>
      </c>
      <c r="D1018" s="2" t="s">
        <v>100</v>
      </c>
      <c r="E1018" s="2" t="s">
        <v>101</v>
      </c>
      <c r="F1018" s="2" t="s">
        <v>24</v>
      </c>
      <c r="G1018">
        <v>3</v>
      </c>
      <c r="H1018">
        <v>150</v>
      </c>
      <c r="I1018">
        <v>164</v>
      </c>
      <c r="J1018" s="3">
        <v>165100</v>
      </c>
      <c r="K1018" s="3">
        <v>27076400</v>
      </c>
      <c r="L1018" s="2" t="s">
        <v>92</v>
      </c>
      <c r="M1018" s="2" t="s">
        <v>77</v>
      </c>
      <c r="N1018">
        <v>2024</v>
      </c>
      <c r="O1018" s="2" t="s">
        <v>27</v>
      </c>
      <c r="P1018" s="2" t="s">
        <v>28</v>
      </c>
      <c r="Q1018">
        <v>1</v>
      </c>
      <c r="R1018" s="4">
        <v>45292</v>
      </c>
      <c r="S1018" s="3">
        <v>165100</v>
      </c>
      <c r="T1018" s="3">
        <v>2.71</v>
      </c>
    </row>
    <row r="1019" spans="1:20" x14ac:dyDescent="0.3">
      <c r="A1019" s="1">
        <v>45299</v>
      </c>
      <c r="B1019" s="2" t="s">
        <v>40</v>
      </c>
      <c r="C1019" s="2" t="s">
        <v>41</v>
      </c>
      <c r="D1019" s="2" t="s">
        <v>37</v>
      </c>
      <c r="E1019" s="2" t="s">
        <v>38</v>
      </c>
      <c r="F1019" s="2" t="s">
        <v>24</v>
      </c>
      <c r="G1019">
        <v>66</v>
      </c>
      <c r="H1019">
        <v>423</v>
      </c>
      <c r="I1019">
        <v>64</v>
      </c>
      <c r="J1019" s="3">
        <v>7791600</v>
      </c>
      <c r="K1019" s="3">
        <v>498662400</v>
      </c>
      <c r="L1019" s="2" t="s">
        <v>25</v>
      </c>
      <c r="M1019" s="2" t="s">
        <v>77</v>
      </c>
      <c r="N1019">
        <v>2024</v>
      </c>
      <c r="O1019" s="2" t="s">
        <v>27</v>
      </c>
      <c r="P1019" s="2" t="s">
        <v>28</v>
      </c>
      <c r="Q1019">
        <v>1</v>
      </c>
      <c r="R1019" s="4">
        <v>45292</v>
      </c>
      <c r="S1019" s="3">
        <v>7791600</v>
      </c>
      <c r="T1019" s="3">
        <v>49.87</v>
      </c>
    </row>
    <row r="1020" spans="1:20" x14ac:dyDescent="0.3">
      <c r="A1020" s="1">
        <v>45299</v>
      </c>
      <c r="B1020" s="2" t="s">
        <v>46</v>
      </c>
      <c r="C1020" s="2" t="s">
        <v>47</v>
      </c>
      <c r="D1020" s="2" t="s">
        <v>100</v>
      </c>
      <c r="E1020" s="2" t="s">
        <v>101</v>
      </c>
      <c r="F1020" s="2" t="s">
        <v>24</v>
      </c>
      <c r="G1020">
        <v>3</v>
      </c>
      <c r="H1020">
        <v>150</v>
      </c>
      <c r="I1020">
        <v>165</v>
      </c>
      <c r="J1020" s="3">
        <v>176500</v>
      </c>
      <c r="K1020" s="3">
        <v>29122500</v>
      </c>
      <c r="L1020" s="2" t="s">
        <v>33</v>
      </c>
      <c r="M1020" s="2" t="s">
        <v>26</v>
      </c>
      <c r="N1020">
        <v>2024</v>
      </c>
      <c r="O1020" s="2" t="s">
        <v>27</v>
      </c>
      <c r="P1020" s="2" t="s">
        <v>28</v>
      </c>
      <c r="Q1020">
        <v>1</v>
      </c>
      <c r="R1020" s="4">
        <v>45292</v>
      </c>
      <c r="S1020" s="3">
        <v>176500</v>
      </c>
      <c r="T1020" s="3">
        <v>2.91</v>
      </c>
    </row>
    <row r="1021" spans="1:20" x14ac:dyDescent="0.3">
      <c r="A1021" s="1">
        <v>45299</v>
      </c>
      <c r="B1021" s="2" t="s">
        <v>20</v>
      </c>
      <c r="C1021" s="2" t="s">
        <v>112</v>
      </c>
      <c r="D1021" s="2" t="s">
        <v>94</v>
      </c>
      <c r="E1021" s="2" t="s">
        <v>95</v>
      </c>
      <c r="F1021" s="2" t="s">
        <v>24</v>
      </c>
      <c r="G1021">
        <v>40</v>
      </c>
      <c r="H1021">
        <v>30</v>
      </c>
      <c r="I1021">
        <v>141</v>
      </c>
      <c r="J1021" s="3">
        <v>2163000</v>
      </c>
      <c r="K1021" s="3">
        <v>304983000</v>
      </c>
      <c r="L1021" s="2" t="s">
        <v>33</v>
      </c>
      <c r="M1021" s="2" t="s">
        <v>26</v>
      </c>
      <c r="N1021">
        <v>2024</v>
      </c>
      <c r="O1021" s="2" t="s">
        <v>27</v>
      </c>
      <c r="P1021" s="2" t="s">
        <v>28</v>
      </c>
      <c r="Q1021">
        <v>1</v>
      </c>
      <c r="R1021" s="4">
        <v>45292</v>
      </c>
      <c r="S1021" s="3">
        <v>2163000</v>
      </c>
      <c r="T1021" s="3">
        <v>30.5</v>
      </c>
    </row>
    <row r="1022" spans="1:20" x14ac:dyDescent="0.3">
      <c r="A1022" s="1">
        <v>45300</v>
      </c>
      <c r="B1022" s="2" t="s">
        <v>46</v>
      </c>
      <c r="C1022" s="2" t="s">
        <v>47</v>
      </c>
      <c r="D1022" s="2" t="s">
        <v>37</v>
      </c>
      <c r="E1022" s="2" t="s">
        <v>38</v>
      </c>
      <c r="F1022" s="2" t="s">
        <v>24</v>
      </c>
      <c r="G1022">
        <v>66</v>
      </c>
      <c r="H1022">
        <v>423</v>
      </c>
      <c r="I1022">
        <v>64</v>
      </c>
      <c r="J1022" s="3">
        <v>8687200</v>
      </c>
      <c r="K1022" s="3">
        <v>555980800</v>
      </c>
      <c r="L1022" s="2" t="s">
        <v>92</v>
      </c>
      <c r="M1022" s="2" t="s">
        <v>97</v>
      </c>
      <c r="N1022">
        <v>2024</v>
      </c>
      <c r="O1022" s="2" t="s">
        <v>27</v>
      </c>
      <c r="P1022" s="2" t="s">
        <v>28</v>
      </c>
      <c r="Q1022">
        <v>1</v>
      </c>
      <c r="R1022" s="4">
        <v>45292</v>
      </c>
      <c r="S1022" s="3">
        <v>8687200</v>
      </c>
      <c r="T1022" s="3">
        <v>55.6</v>
      </c>
    </row>
    <row r="1023" spans="1:20" x14ac:dyDescent="0.3">
      <c r="A1023" s="1">
        <v>45300</v>
      </c>
      <c r="B1023" s="2" t="s">
        <v>59</v>
      </c>
      <c r="C1023" s="2" t="s">
        <v>81</v>
      </c>
      <c r="D1023" s="2" t="s">
        <v>22</v>
      </c>
      <c r="E1023" s="2" t="s">
        <v>23</v>
      </c>
      <c r="F1023" s="2" t="s">
        <v>138</v>
      </c>
      <c r="G1023">
        <v>82</v>
      </c>
      <c r="H1023">
        <v>520</v>
      </c>
      <c r="I1023">
        <v>13</v>
      </c>
      <c r="J1023" s="3">
        <v>7770600</v>
      </c>
      <c r="K1023" s="3">
        <v>101017800</v>
      </c>
      <c r="L1023" s="2" t="s">
        <v>33</v>
      </c>
      <c r="M1023" s="2" t="s">
        <v>26</v>
      </c>
      <c r="N1023">
        <v>2024</v>
      </c>
      <c r="O1023" s="2" t="s">
        <v>27</v>
      </c>
      <c r="P1023" s="2" t="s">
        <v>28</v>
      </c>
      <c r="Q1023">
        <v>1</v>
      </c>
      <c r="R1023" s="4">
        <v>45292</v>
      </c>
      <c r="S1023" s="3">
        <v>7770600</v>
      </c>
      <c r="T1023" s="3">
        <v>10.1</v>
      </c>
    </row>
    <row r="1024" spans="1:20" x14ac:dyDescent="0.3">
      <c r="A1024" s="1">
        <v>45301</v>
      </c>
      <c r="B1024" s="2" t="s">
        <v>29</v>
      </c>
      <c r="C1024" s="2" t="s">
        <v>65</v>
      </c>
      <c r="D1024" s="2" t="s">
        <v>54</v>
      </c>
      <c r="E1024" s="2" t="s">
        <v>55</v>
      </c>
      <c r="F1024" s="2" t="s">
        <v>24</v>
      </c>
      <c r="G1024">
        <v>30</v>
      </c>
      <c r="H1024">
        <v>320</v>
      </c>
      <c r="I1024">
        <v>22</v>
      </c>
      <c r="J1024" s="3">
        <v>1619100</v>
      </c>
      <c r="K1024" s="3">
        <v>35620200</v>
      </c>
      <c r="L1024" s="2" t="s">
        <v>92</v>
      </c>
      <c r="M1024" s="2" t="s">
        <v>77</v>
      </c>
      <c r="N1024">
        <v>2024</v>
      </c>
      <c r="O1024" s="2" t="s">
        <v>27</v>
      </c>
      <c r="P1024" s="2" t="s">
        <v>28</v>
      </c>
      <c r="Q1024">
        <v>1</v>
      </c>
      <c r="R1024" s="4">
        <v>45292</v>
      </c>
      <c r="S1024" s="3">
        <v>1619100</v>
      </c>
      <c r="T1024" s="3">
        <v>3.56</v>
      </c>
    </row>
    <row r="1025" spans="1:20" x14ac:dyDescent="0.3">
      <c r="A1025" s="1">
        <v>45301</v>
      </c>
      <c r="B1025" s="2" t="s">
        <v>75</v>
      </c>
      <c r="C1025" s="2" t="s">
        <v>122</v>
      </c>
      <c r="D1025" s="2" t="s">
        <v>102</v>
      </c>
      <c r="E1025" s="2" t="s">
        <v>103</v>
      </c>
      <c r="F1025" s="2" t="s">
        <v>24</v>
      </c>
      <c r="G1025">
        <v>5</v>
      </c>
      <c r="H1025">
        <v>150</v>
      </c>
      <c r="I1025">
        <v>75</v>
      </c>
      <c r="J1025" s="3">
        <v>175400</v>
      </c>
      <c r="K1025" s="3">
        <v>13155000</v>
      </c>
      <c r="L1025" s="2" t="s">
        <v>33</v>
      </c>
      <c r="M1025" s="2" t="s">
        <v>26</v>
      </c>
      <c r="N1025">
        <v>2024</v>
      </c>
      <c r="O1025" s="2" t="s">
        <v>27</v>
      </c>
      <c r="P1025" s="2" t="s">
        <v>28</v>
      </c>
      <c r="Q1025">
        <v>1</v>
      </c>
      <c r="R1025" s="4">
        <v>45292</v>
      </c>
      <c r="S1025" s="3">
        <v>175400</v>
      </c>
      <c r="T1025" s="3">
        <v>1.32</v>
      </c>
    </row>
    <row r="1026" spans="1:20" x14ac:dyDescent="0.3">
      <c r="A1026" s="1">
        <v>45301</v>
      </c>
      <c r="B1026" s="2" t="s">
        <v>59</v>
      </c>
      <c r="C1026" s="2" t="s">
        <v>60</v>
      </c>
      <c r="D1026" s="2" t="s">
        <v>79</v>
      </c>
      <c r="E1026" s="2" t="s">
        <v>80</v>
      </c>
      <c r="F1026" s="2" t="s">
        <v>24</v>
      </c>
      <c r="G1026">
        <v>69</v>
      </c>
      <c r="H1026">
        <v>418</v>
      </c>
      <c r="I1026">
        <v>50</v>
      </c>
      <c r="J1026" s="3">
        <v>5991100</v>
      </c>
      <c r="K1026" s="3">
        <v>299555000</v>
      </c>
      <c r="L1026" s="2" t="s">
        <v>33</v>
      </c>
      <c r="M1026" s="2" t="s">
        <v>26</v>
      </c>
      <c r="N1026">
        <v>2024</v>
      </c>
      <c r="O1026" s="2" t="s">
        <v>27</v>
      </c>
      <c r="P1026" s="2" t="s">
        <v>28</v>
      </c>
      <c r="Q1026">
        <v>1</v>
      </c>
      <c r="R1026" s="4">
        <v>45292</v>
      </c>
      <c r="S1026" s="3">
        <v>5991100</v>
      </c>
      <c r="T1026" s="3">
        <v>29.96</v>
      </c>
    </row>
    <row r="1027" spans="1:20" x14ac:dyDescent="0.3">
      <c r="A1027" s="1">
        <v>45302</v>
      </c>
      <c r="B1027" s="2" t="s">
        <v>90</v>
      </c>
      <c r="C1027" s="2" t="s">
        <v>91</v>
      </c>
      <c r="D1027" s="2" t="s">
        <v>100</v>
      </c>
      <c r="E1027" s="2" t="s">
        <v>101</v>
      </c>
      <c r="F1027" s="2" t="s">
        <v>24</v>
      </c>
      <c r="G1027">
        <v>3</v>
      </c>
      <c r="H1027">
        <v>150</v>
      </c>
      <c r="I1027">
        <v>21</v>
      </c>
      <c r="J1027" s="3">
        <v>160600</v>
      </c>
      <c r="K1027" s="3">
        <v>3372600</v>
      </c>
      <c r="L1027" s="2" t="s">
        <v>33</v>
      </c>
      <c r="M1027" s="2" t="s">
        <v>26</v>
      </c>
      <c r="N1027">
        <v>2024</v>
      </c>
      <c r="O1027" s="2" t="s">
        <v>27</v>
      </c>
      <c r="P1027" s="2" t="s">
        <v>28</v>
      </c>
      <c r="Q1027">
        <v>1</v>
      </c>
      <c r="R1027" s="4">
        <v>45292</v>
      </c>
      <c r="S1027" s="3">
        <v>160600</v>
      </c>
      <c r="T1027" s="3">
        <v>0.34</v>
      </c>
    </row>
    <row r="1028" spans="1:20" x14ac:dyDescent="0.3">
      <c r="A1028" s="1">
        <v>45302</v>
      </c>
      <c r="B1028" s="2" t="s">
        <v>48</v>
      </c>
      <c r="C1028" s="2" t="s">
        <v>49</v>
      </c>
      <c r="D1028" s="2" t="s">
        <v>70</v>
      </c>
      <c r="E1028" s="2" t="s">
        <v>71</v>
      </c>
      <c r="F1028" s="2" t="s">
        <v>72</v>
      </c>
      <c r="G1028">
        <v>50</v>
      </c>
      <c r="H1028">
        <v>46</v>
      </c>
      <c r="I1028">
        <v>158</v>
      </c>
      <c r="J1028" s="3">
        <v>2597200</v>
      </c>
      <c r="K1028" s="3">
        <v>410357600</v>
      </c>
      <c r="L1028" s="2" t="s">
        <v>25</v>
      </c>
      <c r="M1028" s="2" t="s">
        <v>26</v>
      </c>
      <c r="N1028">
        <v>2024</v>
      </c>
      <c r="O1028" s="2" t="s">
        <v>27</v>
      </c>
      <c r="P1028" s="2" t="s">
        <v>28</v>
      </c>
      <c r="Q1028">
        <v>1</v>
      </c>
      <c r="R1028" s="4">
        <v>45292</v>
      </c>
      <c r="S1028" s="3">
        <v>2597200</v>
      </c>
      <c r="T1028" s="3">
        <v>41.04</v>
      </c>
    </row>
    <row r="1029" spans="1:20" x14ac:dyDescent="0.3">
      <c r="A1029" s="1">
        <v>45302</v>
      </c>
      <c r="B1029" s="2" t="s">
        <v>46</v>
      </c>
      <c r="C1029" s="2" t="s">
        <v>47</v>
      </c>
      <c r="D1029" s="2" t="s">
        <v>37</v>
      </c>
      <c r="E1029" s="2" t="s">
        <v>38</v>
      </c>
      <c r="F1029" s="2" t="s">
        <v>39</v>
      </c>
      <c r="G1029">
        <v>66</v>
      </c>
      <c r="H1029">
        <v>423</v>
      </c>
      <c r="I1029">
        <v>38</v>
      </c>
      <c r="J1029" s="3">
        <v>9233000</v>
      </c>
      <c r="K1029" s="3">
        <v>350854000</v>
      </c>
      <c r="L1029" s="2" t="s">
        <v>33</v>
      </c>
      <c r="M1029" s="2" t="s">
        <v>26</v>
      </c>
      <c r="N1029">
        <v>2024</v>
      </c>
      <c r="O1029" s="2" t="s">
        <v>27</v>
      </c>
      <c r="P1029" s="2" t="s">
        <v>28</v>
      </c>
      <c r="Q1029">
        <v>1</v>
      </c>
      <c r="R1029" s="4">
        <v>45292</v>
      </c>
      <c r="S1029" s="3">
        <v>9233000</v>
      </c>
      <c r="T1029" s="3">
        <v>35.090000000000003</v>
      </c>
    </row>
    <row r="1030" spans="1:20" x14ac:dyDescent="0.3">
      <c r="A1030" s="1">
        <v>45302</v>
      </c>
      <c r="B1030" s="2" t="s">
        <v>84</v>
      </c>
      <c r="C1030" s="2" t="s">
        <v>126</v>
      </c>
      <c r="D1030" s="2" t="s">
        <v>54</v>
      </c>
      <c r="E1030" s="2" t="s">
        <v>55</v>
      </c>
      <c r="F1030" s="2" t="s">
        <v>24</v>
      </c>
      <c r="G1030">
        <v>30</v>
      </c>
      <c r="H1030">
        <v>320</v>
      </c>
      <c r="I1030">
        <v>24</v>
      </c>
      <c r="J1030" s="3">
        <v>1675700</v>
      </c>
      <c r="K1030" s="3">
        <v>40216800</v>
      </c>
      <c r="L1030" s="2" t="s">
        <v>25</v>
      </c>
      <c r="M1030" s="2" t="s">
        <v>34</v>
      </c>
      <c r="N1030">
        <v>2024</v>
      </c>
      <c r="O1030" s="2" t="s">
        <v>27</v>
      </c>
      <c r="P1030" s="2" t="s">
        <v>28</v>
      </c>
      <c r="Q1030">
        <v>1</v>
      </c>
      <c r="R1030" s="4">
        <v>45292</v>
      </c>
      <c r="S1030" s="3">
        <v>1675700</v>
      </c>
      <c r="T1030" s="3">
        <v>4.0199999999999996</v>
      </c>
    </row>
    <row r="1031" spans="1:20" x14ac:dyDescent="0.3">
      <c r="A1031" s="1">
        <v>45302</v>
      </c>
      <c r="B1031" s="2" t="s">
        <v>46</v>
      </c>
      <c r="C1031" s="2" t="s">
        <v>137</v>
      </c>
      <c r="D1031" s="2" t="s">
        <v>63</v>
      </c>
      <c r="E1031" s="2" t="s">
        <v>64</v>
      </c>
      <c r="F1031" s="2" t="s">
        <v>24</v>
      </c>
      <c r="G1031">
        <v>3</v>
      </c>
      <c r="H1031">
        <v>127</v>
      </c>
      <c r="I1031">
        <v>87</v>
      </c>
      <c r="J1031" s="3">
        <v>169900</v>
      </c>
      <c r="K1031" s="3">
        <v>14781300</v>
      </c>
      <c r="L1031" s="2" t="s">
        <v>25</v>
      </c>
      <c r="M1031" s="2" t="s">
        <v>26</v>
      </c>
      <c r="N1031">
        <v>2024</v>
      </c>
      <c r="O1031" s="2" t="s">
        <v>27</v>
      </c>
      <c r="P1031" s="2" t="s">
        <v>28</v>
      </c>
      <c r="Q1031">
        <v>1</v>
      </c>
      <c r="R1031" s="4">
        <v>45292</v>
      </c>
      <c r="S1031" s="3">
        <v>169900</v>
      </c>
      <c r="T1031" s="3">
        <v>1.48</v>
      </c>
    </row>
    <row r="1032" spans="1:20" x14ac:dyDescent="0.3">
      <c r="A1032" s="1">
        <v>45303</v>
      </c>
      <c r="B1032" s="2" t="s">
        <v>40</v>
      </c>
      <c r="C1032" s="2" t="s">
        <v>105</v>
      </c>
      <c r="D1032" s="2" t="s">
        <v>70</v>
      </c>
      <c r="E1032" s="2" t="s">
        <v>71</v>
      </c>
      <c r="F1032" s="2" t="s">
        <v>24</v>
      </c>
      <c r="G1032">
        <v>50</v>
      </c>
      <c r="H1032">
        <v>46</v>
      </c>
      <c r="I1032">
        <v>35</v>
      </c>
      <c r="J1032" s="3">
        <v>2202200</v>
      </c>
      <c r="K1032" s="3">
        <v>77077000</v>
      </c>
      <c r="L1032" s="2" t="s">
        <v>25</v>
      </c>
      <c r="M1032" s="2" t="s">
        <v>77</v>
      </c>
      <c r="N1032">
        <v>2024</v>
      </c>
      <c r="O1032" s="2" t="s">
        <v>27</v>
      </c>
      <c r="P1032" s="2" t="s">
        <v>28</v>
      </c>
      <c r="Q1032">
        <v>1</v>
      </c>
      <c r="R1032" s="4">
        <v>45292</v>
      </c>
      <c r="S1032" s="3">
        <v>2202200</v>
      </c>
      <c r="T1032" s="3">
        <v>7.71</v>
      </c>
    </row>
    <row r="1033" spans="1:20" x14ac:dyDescent="0.3">
      <c r="A1033" s="1">
        <v>45304</v>
      </c>
      <c r="B1033" s="2" t="s">
        <v>46</v>
      </c>
      <c r="C1033" s="2" t="s">
        <v>137</v>
      </c>
      <c r="D1033" s="2" t="s">
        <v>100</v>
      </c>
      <c r="E1033" s="2" t="s">
        <v>101</v>
      </c>
      <c r="F1033" s="2" t="s">
        <v>24</v>
      </c>
      <c r="G1033">
        <v>3</v>
      </c>
      <c r="H1033">
        <v>150</v>
      </c>
      <c r="I1033">
        <v>31</v>
      </c>
      <c r="J1033" s="3">
        <v>159800</v>
      </c>
      <c r="K1033" s="3">
        <v>4953800</v>
      </c>
      <c r="L1033" s="2" t="s">
        <v>33</v>
      </c>
      <c r="M1033" s="2" t="s">
        <v>77</v>
      </c>
      <c r="N1033">
        <v>2024</v>
      </c>
      <c r="O1033" s="2" t="s">
        <v>27</v>
      </c>
      <c r="P1033" s="2" t="s">
        <v>28</v>
      </c>
      <c r="Q1033">
        <v>1</v>
      </c>
      <c r="R1033" s="4">
        <v>45292</v>
      </c>
      <c r="S1033" s="3">
        <v>159800</v>
      </c>
      <c r="T1033" s="3">
        <v>0.5</v>
      </c>
    </row>
    <row r="1034" spans="1:20" x14ac:dyDescent="0.3">
      <c r="A1034" s="1">
        <v>45304</v>
      </c>
      <c r="B1034" s="2" t="s">
        <v>84</v>
      </c>
      <c r="C1034" s="2" t="s">
        <v>113</v>
      </c>
      <c r="D1034" s="2" t="s">
        <v>50</v>
      </c>
      <c r="E1034" s="2" t="s">
        <v>51</v>
      </c>
      <c r="F1034" s="2" t="s">
        <v>24</v>
      </c>
      <c r="G1034">
        <v>77</v>
      </c>
      <c r="H1034">
        <v>528</v>
      </c>
      <c r="I1034">
        <v>30</v>
      </c>
      <c r="J1034" s="3">
        <v>5519700</v>
      </c>
      <c r="K1034" s="3">
        <v>165591000</v>
      </c>
      <c r="L1034" s="2" t="s">
        <v>33</v>
      </c>
      <c r="M1034" s="2" t="s">
        <v>26</v>
      </c>
      <c r="N1034">
        <v>2024</v>
      </c>
      <c r="O1034" s="2" t="s">
        <v>27</v>
      </c>
      <c r="P1034" s="2" t="s">
        <v>28</v>
      </c>
      <c r="Q1034">
        <v>1</v>
      </c>
      <c r="R1034" s="4">
        <v>45292</v>
      </c>
      <c r="S1034" s="3">
        <v>5519700</v>
      </c>
      <c r="T1034" s="3">
        <v>16.559999999999999</v>
      </c>
    </row>
    <row r="1035" spans="1:20" x14ac:dyDescent="0.3">
      <c r="A1035" s="1">
        <v>45304</v>
      </c>
      <c r="B1035" s="2" t="s">
        <v>46</v>
      </c>
      <c r="C1035" s="2" t="s">
        <v>137</v>
      </c>
      <c r="D1035" s="2" t="s">
        <v>54</v>
      </c>
      <c r="E1035" s="2" t="s">
        <v>55</v>
      </c>
      <c r="F1035" s="2" t="s">
        <v>39</v>
      </c>
      <c r="G1035">
        <v>30</v>
      </c>
      <c r="H1035">
        <v>320</v>
      </c>
      <c r="I1035">
        <v>3</v>
      </c>
      <c r="J1035" s="3">
        <v>1643700</v>
      </c>
      <c r="K1035" s="3">
        <v>4931100</v>
      </c>
      <c r="L1035" s="2" t="s">
        <v>25</v>
      </c>
      <c r="M1035" s="2" t="s">
        <v>26</v>
      </c>
      <c r="N1035">
        <v>2024</v>
      </c>
      <c r="O1035" s="2" t="s">
        <v>27</v>
      </c>
      <c r="P1035" s="2" t="s">
        <v>28</v>
      </c>
      <c r="Q1035">
        <v>1</v>
      </c>
      <c r="R1035" s="4">
        <v>45292</v>
      </c>
      <c r="S1035" s="3">
        <v>1643700</v>
      </c>
      <c r="T1035" s="3">
        <v>0.49</v>
      </c>
    </row>
    <row r="1036" spans="1:20" x14ac:dyDescent="0.3">
      <c r="A1036" s="1">
        <v>45305</v>
      </c>
      <c r="B1036" s="2" t="s">
        <v>108</v>
      </c>
      <c r="C1036" s="2" t="s">
        <v>133</v>
      </c>
      <c r="D1036" s="2" t="s">
        <v>31</v>
      </c>
      <c r="E1036" s="2" t="s">
        <v>32</v>
      </c>
      <c r="F1036" s="2" t="s">
        <v>24</v>
      </c>
      <c r="G1036">
        <v>4</v>
      </c>
      <c r="H1036">
        <v>195</v>
      </c>
      <c r="I1036">
        <v>26</v>
      </c>
      <c r="J1036" s="3">
        <v>143600</v>
      </c>
      <c r="K1036" s="3">
        <v>3733600</v>
      </c>
      <c r="L1036" s="2" t="s">
        <v>33</v>
      </c>
      <c r="M1036" s="2" t="s">
        <v>77</v>
      </c>
      <c r="N1036">
        <v>2024</v>
      </c>
      <c r="O1036" s="2" t="s">
        <v>27</v>
      </c>
      <c r="P1036" s="2" t="s">
        <v>28</v>
      </c>
      <c r="Q1036">
        <v>1</v>
      </c>
      <c r="R1036" s="4">
        <v>45292</v>
      </c>
      <c r="S1036" s="3">
        <v>143600</v>
      </c>
      <c r="T1036" s="3">
        <v>0.37</v>
      </c>
    </row>
    <row r="1037" spans="1:20" x14ac:dyDescent="0.3">
      <c r="A1037" s="1">
        <v>45305</v>
      </c>
      <c r="B1037" s="2" t="s">
        <v>75</v>
      </c>
      <c r="C1037" s="2" t="s">
        <v>76</v>
      </c>
      <c r="D1037" s="2" t="s">
        <v>82</v>
      </c>
      <c r="E1037" s="2" t="s">
        <v>141</v>
      </c>
      <c r="F1037" s="2" t="s">
        <v>24</v>
      </c>
      <c r="G1037">
        <v>59</v>
      </c>
      <c r="H1037">
        <v>55</v>
      </c>
      <c r="I1037">
        <v>118</v>
      </c>
      <c r="J1037" s="3">
        <v>2944100</v>
      </c>
      <c r="K1037" s="3">
        <v>347403800</v>
      </c>
      <c r="L1037" s="2" t="s">
        <v>33</v>
      </c>
      <c r="M1037" s="2" t="s">
        <v>26</v>
      </c>
      <c r="N1037">
        <v>2024</v>
      </c>
      <c r="O1037" s="2" t="s">
        <v>27</v>
      </c>
      <c r="P1037" s="2" t="s">
        <v>28</v>
      </c>
      <c r="Q1037">
        <v>1</v>
      </c>
      <c r="R1037" s="4">
        <v>45292</v>
      </c>
      <c r="S1037" s="3">
        <v>2944100</v>
      </c>
      <c r="T1037" s="3">
        <v>34.74</v>
      </c>
    </row>
    <row r="1038" spans="1:20" x14ac:dyDescent="0.3">
      <c r="A1038" s="1">
        <v>45305</v>
      </c>
      <c r="B1038" s="2" t="s">
        <v>90</v>
      </c>
      <c r="C1038" s="2" t="s">
        <v>91</v>
      </c>
      <c r="D1038" s="2" t="s">
        <v>63</v>
      </c>
      <c r="E1038" s="2" t="s">
        <v>64</v>
      </c>
      <c r="F1038" s="2" t="s">
        <v>24</v>
      </c>
      <c r="G1038">
        <v>3</v>
      </c>
      <c r="H1038">
        <v>127</v>
      </c>
      <c r="I1038">
        <v>51</v>
      </c>
      <c r="J1038" s="3">
        <v>157900</v>
      </c>
      <c r="K1038" s="3">
        <v>8052900</v>
      </c>
      <c r="L1038" s="2" t="s">
        <v>33</v>
      </c>
      <c r="M1038" s="2" t="s">
        <v>34</v>
      </c>
      <c r="N1038">
        <v>2024</v>
      </c>
      <c r="O1038" s="2" t="s">
        <v>27</v>
      </c>
      <c r="P1038" s="2" t="s">
        <v>28</v>
      </c>
      <c r="Q1038">
        <v>1</v>
      </c>
      <c r="R1038" s="4">
        <v>45292</v>
      </c>
      <c r="S1038" s="3">
        <v>157900</v>
      </c>
      <c r="T1038" s="3">
        <v>0.81</v>
      </c>
    </row>
    <row r="1039" spans="1:20" x14ac:dyDescent="0.3">
      <c r="A1039" s="1">
        <v>45306</v>
      </c>
      <c r="B1039" s="2" t="s">
        <v>40</v>
      </c>
      <c r="C1039" s="2" t="s">
        <v>78</v>
      </c>
      <c r="D1039" s="2" t="s">
        <v>88</v>
      </c>
      <c r="E1039" s="2" t="s">
        <v>89</v>
      </c>
      <c r="F1039" s="2" t="s">
        <v>24</v>
      </c>
      <c r="G1039">
        <v>82</v>
      </c>
      <c r="H1039">
        <v>580</v>
      </c>
      <c r="I1039">
        <v>37</v>
      </c>
      <c r="J1039" s="3">
        <v>5386900</v>
      </c>
      <c r="K1039" s="3">
        <v>199315300</v>
      </c>
      <c r="L1039" s="2" t="s">
        <v>25</v>
      </c>
      <c r="M1039" s="2" t="s">
        <v>34</v>
      </c>
      <c r="N1039">
        <v>2024</v>
      </c>
      <c r="O1039" s="2" t="s">
        <v>27</v>
      </c>
      <c r="P1039" s="2" t="s">
        <v>28</v>
      </c>
      <c r="Q1039">
        <v>1</v>
      </c>
      <c r="R1039" s="4">
        <v>45292</v>
      </c>
      <c r="S1039" s="3">
        <v>5386900</v>
      </c>
      <c r="T1039" s="3">
        <v>19.93</v>
      </c>
    </row>
    <row r="1040" spans="1:20" x14ac:dyDescent="0.3">
      <c r="A1040" s="1">
        <v>45306</v>
      </c>
      <c r="B1040" s="2" t="s">
        <v>108</v>
      </c>
      <c r="C1040" s="2" t="s">
        <v>123</v>
      </c>
      <c r="D1040" s="2" t="s">
        <v>50</v>
      </c>
      <c r="E1040" s="2" t="s">
        <v>51</v>
      </c>
      <c r="F1040" s="2" t="s">
        <v>24</v>
      </c>
      <c r="G1040">
        <v>77</v>
      </c>
      <c r="H1040">
        <v>528</v>
      </c>
      <c r="I1040">
        <v>11</v>
      </c>
      <c r="J1040" s="3">
        <v>5474500</v>
      </c>
      <c r="K1040" s="3">
        <v>60219500</v>
      </c>
      <c r="L1040" s="2" t="s">
        <v>25</v>
      </c>
      <c r="M1040" s="2" t="s">
        <v>77</v>
      </c>
      <c r="N1040">
        <v>2024</v>
      </c>
      <c r="O1040" s="2" t="s">
        <v>27</v>
      </c>
      <c r="P1040" s="2" t="s">
        <v>28</v>
      </c>
      <c r="Q1040">
        <v>1</v>
      </c>
      <c r="R1040" s="4">
        <v>45292</v>
      </c>
      <c r="S1040" s="3">
        <v>5474500</v>
      </c>
      <c r="T1040" s="3">
        <v>6.02</v>
      </c>
    </row>
    <row r="1041" spans="1:20" x14ac:dyDescent="0.3">
      <c r="A1041" s="1">
        <v>45307</v>
      </c>
      <c r="B1041" s="2" t="s">
        <v>106</v>
      </c>
      <c r="C1041" s="2" t="s">
        <v>119</v>
      </c>
      <c r="D1041" s="2" t="s">
        <v>42</v>
      </c>
      <c r="E1041" s="2" t="s">
        <v>43</v>
      </c>
      <c r="F1041" s="2" t="s">
        <v>24</v>
      </c>
      <c r="G1041">
        <v>3</v>
      </c>
      <c r="H1041">
        <v>135</v>
      </c>
      <c r="I1041">
        <v>11</v>
      </c>
      <c r="J1041" s="3">
        <v>116900</v>
      </c>
      <c r="K1041" s="3">
        <v>1285900</v>
      </c>
      <c r="L1041" s="2" t="s">
        <v>25</v>
      </c>
      <c r="M1041" s="2" t="s">
        <v>77</v>
      </c>
      <c r="N1041">
        <v>2024</v>
      </c>
      <c r="O1041" s="2" t="s">
        <v>27</v>
      </c>
      <c r="P1041" s="2" t="s">
        <v>28</v>
      </c>
      <c r="Q1041">
        <v>1</v>
      </c>
      <c r="R1041" s="4">
        <v>45292</v>
      </c>
      <c r="S1041" s="3">
        <v>116900</v>
      </c>
      <c r="T1041" s="3">
        <v>0.13</v>
      </c>
    </row>
    <row r="1042" spans="1:20" x14ac:dyDescent="0.3">
      <c r="A1042" s="1">
        <v>45308</v>
      </c>
      <c r="B1042" s="2" t="s">
        <v>40</v>
      </c>
      <c r="C1042" s="2" t="s">
        <v>105</v>
      </c>
      <c r="D1042" s="2" t="s">
        <v>54</v>
      </c>
      <c r="E1042" s="2" t="s">
        <v>55</v>
      </c>
      <c r="F1042" s="2" t="s">
        <v>39</v>
      </c>
      <c r="G1042">
        <v>30</v>
      </c>
      <c r="H1042">
        <v>320</v>
      </c>
      <c r="I1042">
        <v>50</v>
      </c>
      <c r="J1042" s="3">
        <v>1575200</v>
      </c>
      <c r="K1042" s="3">
        <v>78760000</v>
      </c>
      <c r="L1042" s="2" t="s">
        <v>33</v>
      </c>
      <c r="M1042" s="2" t="s">
        <v>26</v>
      </c>
      <c r="N1042">
        <v>2024</v>
      </c>
      <c r="O1042" s="2" t="s">
        <v>27</v>
      </c>
      <c r="P1042" s="2" t="s">
        <v>28</v>
      </c>
      <c r="Q1042">
        <v>1</v>
      </c>
      <c r="R1042" s="4">
        <v>45292</v>
      </c>
      <c r="S1042" s="3">
        <v>1575200</v>
      </c>
      <c r="T1042" s="3">
        <v>7.88</v>
      </c>
    </row>
    <row r="1043" spans="1:20" x14ac:dyDescent="0.3">
      <c r="A1043" s="1">
        <v>45308</v>
      </c>
      <c r="B1043" s="2" t="s">
        <v>46</v>
      </c>
      <c r="C1043" s="2" t="s">
        <v>47</v>
      </c>
      <c r="D1043" s="2" t="s">
        <v>79</v>
      </c>
      <c r="E1043" s="2" t="s">
        <v>80</v>
      </c>
      <c r="F1043" s="2" t="s">
        <v>24</v>
      </c>
      <c r="G1043">
        <v>69</v>
      </c>
      <c r="H1043">
        <v>418</v>
      </c>
      <c r="I1043">
        <v>62</v>
      </c>
      <c r="J1043" s="3">
        <v>6007300</v>
      </c>
      <c r="K1043" s="3">
        <v>372452600</v>
      </c>
      <c r="L1043" s="2" t="s">
        <v>25</v>
      </c>
      <c r="M1043" s="2" t="s">
        <v>26</v>
      </c>
      <c r="N1043">
        <v>2024</v>
      </c>
      <c r="O1043" s="2" t="s">
        <v>27</v>
      </c>
      <c r="P1043" s="2" t="s">
        <v>28</v>
      </c>
      <c r="Q1043">
        <v>1</v>
      </c>
      <c r="R1043" s="4">
        <v>45292</v>
      </c>
      <c r="S1043" s="3">
        <v>6007300</v>
      </c>
      <c r="T1043" s="3">
        <v>37.25</v>
      </c>
    </row>
    <row r="1044" spans="1:20" x14ac:dyDescent="0.3">
      <c r="A1044" s="1">
        <v>45308</v>
      </c>
      <c r="B1044" s="2" t="s">
        <v>20</v>
      </c>
      <c r="C1044" s="2" t="s">
        <v>112</v>
      </c>
      <c r="D1044" s="2" t="s">
        <v>67</v>
      </c>
      <c r="E1044" s="2" t="s">
        <v>118</v>
      </c>
      <c r="F1044" s="2" t="s">
        <v>24</v>
      </c>
      <c r="G1044">
        <v>84</v>
      </c>
      <c r="H1044">
        <v>590</v>
      </c>
      <c r="I1044">
        <v>26</v>
      </c>
      <c r="J1044" s="3">
        <v>7134100</v>
      </c>
      <c r="K1044" s="3">
        <v>185486600</v>
      </c>
      <c r="L1044" s="2" t="s">
        <v>33</v>
      </c>
      <c r="M1044" s="2" t="s">
        <v>26</v>
      </c>
      <c r="N1044">
        <v>2024</v>
      </c>
      <c r="O1044" s="2" t="s">
        <v>27</v>
      </c>
      <c r="P1044" s="2" t="s">
        <v>28</v>
      </c>
      <c r="Q1044">
        <v>1</v>
      </c>
      <c r="R1044" s="4">
        <v>45292</v>
      </c>
      <c r="S1044" s="3">
        <v>7134100</v>
      </c>
      <c r="T1044" s="3">
        <v>18.55</v>
      </c>
    </row>
    <row r="1045" spans="1:20" x14ac:dyDescent="0.3">
      <c r="A1045" s="1">
        <v>45308</v>
      </c>
      <c r="B1045" s="2" t="s">
        <v>90</v>
      </c>
      <c r="C1045" s="2" t="s">
        <v>114</v>
      </c>
      <c r="D1045" s="2" t="s">
        <v>42</v>
      </c>
      <c r="E1045" s="2" t="s">
        <v>43</v>
      </c>
      <c r="F1045" s="2" t="s">
        <v>24</v>
      </c>
      <c r="G1045">
        <v>3</v>
      </c>
      <c r="H1045">
        <v>135</v>
      </c>
      <c r="I1045">
        <v>103</v>
      </c>
      <c r="J1045" s="3">
        <v>125700</v>
      </c>
      <c r="K1045" s="3">
        <v>12947100</v>
      </c>
      <c r="L1045" s="2" t="s">
        <v>33</v>
      </c>
      <c r="M1045" s="2" t="s">
        <v>77</v>
      </c>
      <c r="N1045">
        <v>2024</v>
      </c>
      <c r="O1045" s="2" t="s">
        <v>27</v>
      </c>
      <c r="P1045" s="2" t="s">
        <v>28</v>
      </c>
      <c r="Q1045">
        <v>1</v>
      </c>
      <c r="R1045" s="4">
        <v>45292</v>
      </c>
      <c r="S1045" s="3">
        <v>125700</v>
      </c>
      <c r="T1045" s="3">
        <v>1.29</v>
      </c>
    </row>
    <row r="1046" spans="1:20" x14ac:dyDescent="0.3">
      <c r="A1046" s="1">
        <v>45309</v>
      </c>
      <c r="B1046" s="2" t="s">
        <v>106</v>
      </c>
      <c r="C1046" s="2" t="s">
        <v>107</v>
      </c>
      <c r="D1046" s="2" t="s">
        <v>67</v>
      </c>
      <c r="E1046" s="2" t="s">
        <v>118</v>
      </c>
      <c r="F1046" s="2" t="s">
        <v>24</v>
      </c>
      <c r="G1046">
        <v>84</v>
      </c>
      <c r="H1046">
        <v>590</v>
      </c>
      <c r="I1046">
        <v>72</v>
      </c>
      <c r="J1046" s="3">
        <v>7154300</v>
      </c>
      <c r="K1046" s="3">
        <v>515109600</v>
      </c>
      <c r="L1046" s="2" t="s">
        <v>33</v>
      </c>
      <c r="M1046" s="2" t="s">
        <v>34</v>
      </c>
      <c r="N1046">
        <v>2024</v>
      </c>
      <c r="O1046" s="2" t="s">
        <v>27</v>
      </c>
      <c r="P1046" s="2" t="s">
        <v>28</v>
      </c>
      <c r="Q1046">
        <v>1</v>
      </c>
      <c r="R1046" s="4">
        <v>45292</v>
      </c>
      <c r="S1046" s="3">
        <v>7154300</v>
      </c>
      <c r="T1046" s="3">
        <v>51.51</v>
      </c>
    </row>
    <row r="1047" spans="1:20" x14ac:dyDescent="0.3">
      <c r="A1047" s="1">
        <v>45311</v>
      </c>
      <c r="B1047" s="2" t="s">
        <v>46</v>
      </c>
      <c r="C1047" s="2" t="s">
        <v>137</v>
      </c>
      <c r="D1047" s="2" t="s">
        <v>70</v>
      </c>
      <c r="E1047" s="2" t="s">
        <v>71</v>
      </c>
      <c r="F1047" s="2" t="s">
        <v>24</v>
      </c>
      <c r="G1047">
        <v>50</v>
      </c>
      <c r="H1047">
        <v>46</v>
      </c>
      <c r="I1047">
        <v>169</v>
      </c>
      <c r="J1047" s="3">
        <v>2391600</v>
      </c>
      <c r="K1047" s="3">
        <v>404180400</v>
      </c>
      <c r="L1047" s="2" t="s">
        <v>33</v>
      </c>
      <c r="M1047" s="2" t="s">
        <v>77</v>
      </c>
      <c r="N1047">
        <v>2024</v>
      </c>
      <c r="O1047" s="2" t="s">
        <v>27</v>
      </c>
      <c r="P1047" s="2" t="s">
        <v>28</v>
      </c>
      <c r="Q1047">
        <v>1</v>
      </c>
      <c r="R1047" s="4">
        <v>45292</v>
      </c>
      <c r="S1047" s="3">
        <v>2391600</v>
      </c>
      <c r="T1047" s="3">
        <v>40.42</v>
      </c>
    </row>
    <row r="1048" spans="1:20" x14ac:dyDescent="0.3">
      <c r="A1048" s="1">
        <v>45311</v>
      </c>
      <c r="B1048" s="2" t="s">
        <v>75</v>
      </c>
      <c r="C1048" s="2" t="s">
        <v>76</v>
      </c>
      <c r="D1048" s="2" t="s">
        <v>102</v>
      </c>
      <c r="E1048" s="2" t="s">
        <v>103</v>
      </c>
      <c r="F1048" s="2" t="s">
        <v>24</v>
      </c>
      <c r="G1048">
        <v>5</v>
      </c>
      <c r="H1048">
        <v>150</v>
      </c>
      <c r="I1048">
        <v>124</v>
      </c>
      <c r="J1048" s="3">
        <v>165100</v>
      </c>
      <c r="K1048" s="3">
        <v>20472400</v>
      </c>
      <c r="L1048" s="2" t="s">
        <v>33</v>
      </c>
      <c r="M1048" s="2" t="s">
        <v>34</v>
      </c>
      <c r="N1048">
        <v>2024</v>
      </c>
      <c r="O1048" s="2" t="s">
        <v>27</v>
      </c>
      <c r="P1048" s="2" t="s">
        <v>28</v>
      </c>
      <c r="Q1048">
        <v>1</v>
      </c>
      <c r="R1048" s="4">
        <v>45292</v>
      </c>
      <c r="S1048" s="3">
        <v>165100</v>
      </c>
      <c r="T1048" s="3">
        <v>2.0499999999999998</v>
      </c>
    </row>
    <row r="1049" spans="1:20" x14ac:dyDescent="0.3">
      <c r="A1049" s="1">
        <v>45312</v>
      </c>
      <c r="B1049" s="2" t="s">
        <v>35</v>
      </c>
      <c r="C1049" s="2" t="s">
        <v>87</v>
      </c>
      <c r="D1049" s="2" t="s">
        <v>67</v>
      </c>
      <c r="E1049" s="2" t="s">
        <v>118</v>
      </c>
      <c r="F1049" s="2" t="s">
        <v>24</v>
      </c>
      <c r="G1049">
        <v>84</v>
      </c>
      <c r="H1049">
        <v>590</v>
      </c>
      <c r="I1049">
        <v>39</v>
      </c>
      <c r="J1049" s="3">
        <v>8461300</v>
      </c>
      <c r="K1049" s="3">
        <v>329990700</v>
      </c>
      <c r="L1049" s="2" t="s">
        <v>33</v>
      </c>
      <c r="M1049" s="2" t="s">
        <v>77</v>
      </c>
      <c r="N1049">
        <v>2024</v>
      </c>
      <c r="O1049" s="2" t="s">
        <v>27</v>
      </c>
      <c r="P1049" s="2" t="s">
        <v>28</v>
      </c>
      <c r="Q1049">
        <v>1</v>
      </c>
      <c r="R1049" s="4">
        <v>45292</v>
      </c>
      <c r="S1049" s="3">
        <v>8461300</v>
      </c>
      <c r="T1049" s="3">
        <v>33</v>
      </c>
    </row>
    <row r="1050" spans="1:20" x14ac:dyDescent="0.3">
      <c r="A1050" s="1">
        <v>45312</v>
      </c>
      <c r="B1050" s="2" t="s">
        <v>52</v>
      </c>
      <c r="C1050" s="2" t="s">
        <v>66</v>
      </c>
      <c r="D1050" s="2" t="s">
        <v>63</v>
      </c>
      <c r="E1050" s="2" t="s">
        <v>64</v>
      </c>
      <c r="F1050" s="2" t="s">
        <v>24</v>
      </c>
      <c r="G1050">
        <v>3</v>
      </c>
      <c r="H1050">
        <v>127</v>
      </c>
      <c r="I1050">
        <v>150</v>
      </c>
      <c r="J1050" s="3">
        <v>165700</v>
      </c>
      <c r="K1050" s="3">
        <v>24855000</v>
      </c>
      <c r="L1050" s="2" t="s">
        <v>25</v>
      </c>
      <c r="M1050" s="2" t="s">
        <v>26</v>
      </c>
      <c r="N1050">
        <v>2024</v>
      </c>
      <c r="O1050" s="2" t="s">
        <v>27</v>
      </c>
      <c r="P1050" s="2" t="s">
        <v>28</v>
      </c>
      <c r="Q1050">
        <v>1</v>
      </c>
      <c r="R1050" s="4">
        <v>45292</v>
      </c>
      <c r="S1050" s="3">
        <v>165700</v>
      </c>
      <c r="T1050" s="3">
        <v>2.4900000000000002</v>
      </c>
    </row>
    <row r="1051" spans="1:20" x14ac:dyDescent="0.3">
      <c r="A1051" s="1">
        <v>45312</v>
      </c>
      <c r="B1051" s="2" t="s">
        <v>40</v>
      </c>
      <c r="C1051" s="2" t="s">
        <v>136</v>
      </c>
      <c r="D1051" s="2" t="s">
        <v>54</v>
      </c>
      <c r="E1051" s="2" t="s">
        <v>55</v>
      </c>
      <c r="F1051" s="2" t="s">
        <v>24</v>
      </c>
      <c r="G1051">
        <v>30</v>
      </c>
      <c r="H1051">
        <v>320</v>
      </c>
      <c r="I1051">
        <v>33</v>
      </c>
      <c r="J1051" s="3">
        <v>1369800</v>
      </c>
      <c r="K1051" s="3">
        <v>45203400</v>
      </c>
      <c r="L1051" s="2" t="s">
        <v>25</v>
      </c>
      <c r="M1051" s="2" t="s">
        <v>26</v>
      </c>
      <c r="N1051">
        <v>2024</v>
      </c>
      <c r="O1051" s="2" t="s">
        <v>27</v>
      </c>
      <c r="P1051" s="2" t="s">
        <v>28</v>
      </c>
      <c r="Q1051">
        <v>1</v>
      </c>
      <c r="R1051" s="4">
        <v>45292</v>
      </c>
      <c r="S1051" s="3">
        <v>1369800</v>
      </c>
      <c r="T1051" s="3">
        <v>4.5199999999999996</v>
      </c>
    </row>
    <row r="1052" spans="1:20" x14ac:dyDescent="0.3">
      <c r="A1052" s="1">
        <v>45313</v>
      </c>
      <c r="B1052" s="2" t="s">
        <v>108</v>
      </c>
      <c r="C1052" s="2" t="s">
        <v>109</v>
      </c>
      <c r="D1052" s="2" t="s">
        <v>67</v>
      </c>
      <c r="E1052" s="2" t="s">
        <v>118</v>
      </c>
      <c r="F1052" s="2" t="s">
        <v>24</v>
      </c>
      <c r="G1052">
        <v>84</v>
      </c>
      <c r="H1052">
        <v>590</v>
      </c>
      <c r="I1052">
        <v>45</v>
      </c>
      <c r="J1052" s="3">
        <v>7840600</v>
      </c>
      <c r="K1052" s="3">
        <v>352827000</v>
      </c>
      <c r="L1052" s="2" t="s">
        <v>25</v>
      </c>
      <c r="M1052" s="2" t="s">
        <v>77</v>
      </c>
      <c r="N1052">
        <v>2024</v>
      </c>
      <c r="O1052" s="2" t="s">
        <v>27</v>
      </c>
      <c r="P1052" s="2" t="s">
        <v>28</v>
      </c>
      <c r="Q1052">
        <v>1</v>
      </c>
      <c r="R1052" s="4">
        <v>45292</v>
      </c>
      <c r="S1052" s="3">
        <v>7840600</v>
      </c>
      <c r="T1052" s="3">
        <v>35.28</v>
      </c>
    </row>
    <row r="1053" spans="1:20" x14ac:dyDescent="0.3">
      <c r="A1053" s="1">
        <v>45313</v>
      </c>
      <c r="B1053" s="2" t="s">
        <v>46</v>
      </c>
      <c r="C1053" s="2" t="s">
        <v>110</v>
      </c>
      <c r="D1053" s="2" t="s">
        <v>94</v>
      </c>
      <c r="E1053" s="2" t="s">
        <v>95</v>
      </c>
      <c r="F1053" s="2" t="s">
        <v>24</v>
      </c>
      <c r="G1053">
        <v>40</v>
      </c>
      <c r="H1053">
        <v>30</v>
      </c>
      <c r="I1053">
        <v>11</v>
      </c>
      <c r="J1053" s="3">
        <v>2213400</v>
      </c>
      <c r="K1053" s="3">
        <v>24347400</v>
      </c>
      <c r="L1053" s="2" t="s">
        <v>33</v>
      </c>
      <c r="M1053" s="2" t="s">
        <v>26</v>
      </c>
      <c r="N1053">
        <v>2024</v>
      </c>
      <c r="O1053" s="2" t="s">
        <v>27</v>
      </c>
      <c r="P1053" s="2" t="s">
        <v>28</v>
      </c>
      <c r="Q1053">
        <v>1</v>
      </c>
      <c r="R1053" s="4">
        <v>45292</v>
      </c>
      <c r="S1053" s="3">
        <v>2213400</v>
      </c>
      <c r="T1053" s="3">
        <v>2.4300000000000002</v>
      </c>
    </row>
    <row r="1054" spans="1:20" x14ac:dyDescent="0.3">
      <c r="A1054" s="1">
        <v>45315</v>
      </c>
      <c r="B1054" s="2" t="s">
        <v>84</v>
      </c>
      <c r="C1054" s="2" t="s">
        <v>85</v>
      </c>
      <c r="D1054" s="2" t="s">
        <v>54</v>
      </c>
      <c r="E1054" s="2" t="s">
        <v>55</v>
      </c>
      <c r="F1054" s="2" t="s">
        <v>24</v>
      </c>
      <c r="G1054">
        <v>30</v>
      </c>
      <c r="H1054">
        <v>320</v>
      </c>
      <c r="I1054">
        <v>34</v>
      </c>
      <c r="J1054" s="3">
        <v>1663100</v>
      </c>
      <c r="K1054" s="3">
        <v>56545400</v>
      </c>
      <c r="L1054" s="2" t="s">
        <v>33</v>
      </c>
      <c r="M1054" s="2" t="s">
        <v>77</v>
      </c>
      <c r="N1054">
        <v>2024</v>
      </c>
      <c r="O1054" s="2" t="s">
        <v>27</v>
      </c>
      <c r="P1054" s="2" t="s">
        <v>28</v>
      </c>
      <c r="Q1054">
        <v>1</v>
      </c>
      <c r="R1054" s="4">
        <v>45292</v>
      </c>
      <c r="S1054" s="3">
        <v>1663100</v>
      </c>
      <c r="T1054" s="3">
        <v>5.65</v>
      </c>
    </row>
    <row r="1055" spans="1:20" x14ac:dyDescent="0.3">
      <c r="A1055" s="1">
        <v>45315</v>
      </c>
      <c r="B1055" s="2" t="s">
        <v>75</v>
      </c>
      <c r="C1055" s="2" t="s">
        <v>122</v>
      </c>
      <c r="D1055" s="2" t="s">
        <v>67</v>
      </c>
      <c r="E1055" s="2" t="s">
        <v>68</v>
      </c>
      <c r="F1055" s="2" t="s">
        <v>24</v>
      </c>
      <c r="G1055">
        <v>66</v>
      </c>
      <c r="H1055">
        <v>440</v>
      </c>
      <c r="I1055">
        <v>77</v>
      </c>
      <c r="J1055" s="3">
        <v>6462100</v>
      </c>
      <c r="K1055" s="3">
        <v>497581700</v>
      </c>
      <c r="L1055" s="2" t="s">
        <v>92</v>
      </c>
      <c r="M1055" s="2" t="s">
        <v>26</v>
      </c>
      <c r="N1055">
        <v>2024</v>
      </c>
      <c r="O1055" s="2" t="s">
        <v>27</v>
      </c>
      <c r="P1055" s="2" t="s">
        <v>28</v>
      </c>
      <c r="Q1055">
        <v>1</v>
      </c>
      <c r="R1055" s="4">
        <v>45292</v>
      </c>
      <c r="S1055" s="3">
        <v>6462100</v>
      </c>
      <c r="T1055" s="3">
        <v>49.76</v>
      </c>
    </row>
    <row r="1056" spans="1:20" x14ac:dyDescent="0.3">
      <c r="A1056" s="1">
        <v>45315</v>
      </c>
      <c r="B1056" s="2" t="s">
        <v>59</v>
      </c>
      <c r="C1056" s="2" t="s">
        <v>135</v>
      </c>
      <c r="D1056" s="2" t="s">
        <v>31</v>
      </c>
      <c r="E1056" s="2" t="s">
        <v>124</v>
      </c>
      <c r="F1056" s="2" t="s">
        <v>24</v>
      </c>
      <c r="G1056">
        <v>3</v>
      </c>
      <c r="H1056">
        <v>151</v>
      </c>
      <c r="I1056">
        <v>90</v>
      </c>
      <c r="J1056" s="3">
        <v>127600</v>
      </c>
      <c r="K1056" s="3">
        <v>11484000</v>
      </c>
      <c r="L1056" s="2" t="s">
        <v>92</v>
      </c>
      <c r="M1056" s="2" t="s">
        <v>26</v>
      </c>
      <c r="N1056">
        <v>2024</v>
      </c>
      <c r="O1056" s="2" t="s">
        <v>27</v>
      </c>
      <c r="P1056" s="2" t="s">
        <v>28</v>
      </c>
      <c r="Q1056">
        <v>1</v>
      </c>
      <c r="R1056" s="4">
        <v>45292</v>
      </c>
      <c r="S1056" s="3">
        <v>127600</v>
      </c>
      <c r="T1056" s="3">
        <v>1.1499999999999999</v>
      </c>
    </row>
    <row r="1057" spans="1:20" x14ac:dyDescent="0.3">
      <c r="A1057" s="1">
        <v>45315</v>
      </c>
      <c r="B1057" s="2" t="s">
        <v>46</v>
      </c>
      <c r="C1057" s="2" t="s">
        <v>47</v>
      </c>
      <c r="D1057" s="2" t="s">
        <v>102</v>
      </c>
      <c r="E1057" s="2" t="s">
        <v>103</v>
      </c>
      <c r="F1057" s="2" t="s">
        <v>24</v>
      </c>
      <c r="G1057">
        <v>5</v>
      </c>
      <c r="H1057">
        <v>150</v>
      </c>
      <c r="I1057">
        <v>59</v>
      </c>
      <c r="J1057" s="3">
        <v>146100</v>
      </c>
      <c r="K1057" s="3">
        <v>8619900</v>
      </c>
      <c r="L1057" s="2" t="s">
        <v>33</v>
      </c>
      <c r="M1057" s="2" t="s">
        <v>26</v>
      </c>
      <c r="N1057">
        <v>2024</v>
      </c>
      <c r="O1057" s="2" t="s">
        <v>27</v>
      </c>
      <c r="P1057" s="2" t="s">
        <v>28</v>
      </c>
      <c r="Q1057">
        <v>1</v>
      </c>
      <c r="R1057" s="4">
        <v>45292</v>
      </c>
      <c r="S1057" s="3">
        <v>146100</v>
      </c>
      <c r="T1057" s="3">
        <v>0.86</v>
      </c>
    </row>
    <row r="1058" spans="1:20" x14ac:dyDescent="0.3">
      <c r="A1058" s="1">
        <v>45315</v>
      </c>
      <c r="B1058" s="2" t="s">
        <v>46</v>
      </c>
      <c r="C1058" s="2" t="s">
        <v>56</v>
      </c>
      <c r="D1058" s="2" t="s">
        <v>82</v>
      </c>
      <c r="E1058" s="2" t="s">
        <v>83</v>
      </c>
      <c r="F1058" s="2" t="s">
        <v>72</v>
      </c>
      <c r="G1058">
        <v>40</v>
      </c>
      <c r="H1058">
        <v>39</v>
      </c>
      <c r="I1058">
        <v>161</v>
      </c>
      <c r="J1058" s="3">
        <v>2187400</v>
      </c>
      <c r="K1058" s="3">
        <v>352171400</v>
      </c>
      <c r="L1058" s="2" t="s">
        <v>33</v>
      </c>
      <c r="M1058" s="2" t="s">
        <v>26</v>
      </c>
      <c r="N1058">
        <v>2024</v>
      </c>
      <c r="O1058" s="2" t="s">
        <v>27</v>
      </c>
      <c r="P1058" s="2" t="s">
        <v>28</v>
      </c>
      <c r="Q1058">
        <v>1</v>
      </c>
      <c r="R1058" s="4">
        <v>45292</v>
      </c>
      <c r="S1058" s="3">
        <v>2187400</v>
      </c>
      <c r="T1058" s="3">
        <v>35.22</v>
      </c>
    </row>
    <row r="1059" spans="1:20" x14ac:dyDescent="0.3">
      <c r="A1059" s="1">
        <v>45315</v>
      </c>
      <c r="B1059" s="2" t="s">
        <v>106</v>
      </c>
      <c r="C1059" s="2" t="s">
        <v>107</v>
      </c>
      <c r="D1059" s="2" t="s">
        <v>31</v>
      </c>
      <c r="E1059" s="2" t="s">
        <v>32</v>
      </c>
      <c r="F1059" s="2" t="s">
        <v>24</v>
      </c>
      <c r="G1059">
        <v>4</v>
      </c>
      <c r="H1059">
        <v>195</v>
      </c>
      <c r="I1059">
        <v>56</v>
      </c>
      <c r="J1059" s="3">
        <v>126200</v>
      </c>
      <c r="K1059" s="3">
        <v>7067200</v>
      </c>
      <c r="L1059" s="2" t="s">
        <v>33</v>
      </c>
      <c r="M1059" s="2" t="s">
        <v>26</v>
      </c>
      <c r="N1059">
        <v>2024</v>
      </c>
      <c r="O1059" s="2" t="s">
        <v>27</v>
      </c>
      <c r="P1059" s="2" t="s">
        <v>28</v>
      </c>
      <c r="Q1059">
        <v>1</v>
      </c>
      <c r="R1059" s="4">
        <v>45292</v>
      </c>
      <c r="S1059" s="3">
        <v>126200</v>
      </c>
      <c r="T1059" s="3">
        <v>0.71</v>
      </c>
    </row>
    <row r="1060" spans="1:20" x14ac:dyDescent="0.3">
      <c r="A1060" s="1">
        <v>45316</v>
      </c>
      <c r="B1060" s="2" t="s">
        <v>84</v>
      </c>
      <c r="C1060" s="2" t="s">
        <v>85</v>
      </c>
      <c r="D1060" s="2" t="s">
        <v>100</v>
      </c>
      <c r="E1060" s="2" t="s">
        <v>101</v>
      </c>
      <c r="F1060" s="2" t="s">
        <v>24</v>
      </c>
      <c r="G1060">
        <v>3</v>
      </c>
      <c r="H1060">
        <v>150</v>
      </c>
      <c r="I1060">
        <v>47</v>
      </c>
      <c r="J1060" s="3">
        <v>155500</v>
      </c>
      <c r="K1060" s="3">
        <v>7308500</v>
      </c>
      <c r="L1060" s="2" t="s">
        <v>33</v>
      </c>
      <c r="M1060" s="2" t="s">
        <v>77</v>
      </c>
      <c r="N1060">
        <v>2024</v>
      </c>
      <c r="O1060" s="2" t="s">
        <v>27</v>
      </c>
      <c r="P1060" s="2" t="s">
        <v>28</v>
      </c>
      <c r="Q1060">
        <v>1</v>
      </c>
      <c r="R1060" s="4">
        <v>45292</v>
      </c>
      <c r="S1060" s="3">
        <v>155500</v>
      </c>
      <c r="T1060" s="3">
        <v>0.73</v>
      </c>
    </row>
    <row r="1061" spans="1:20" x14ac:dyDescent="0.3">
      <c r="A1061" s="1">
        <v>45316</v>
      </c>
      <c r="B1061" s="2" t="s">
        <v>108</v>
      </c>
      <c r="C1061" s="2" t="s">
        <v>131</v>
      </c>
      <c r="D1061" s="2" t="s">
        <v>88</v>
      </c>
      <c r="E1061" s="2" t="s">
        <v>111</v>
      </c>
      <c r="F1061" s="2" t="s">
        <v>72</v>
      </c>
      <c r="G1061">
        <v>60</v>
      </c>
      <c r="H1061">
        <v>480</v>
      </c>
      <c r="I1061">
        <v>78</v>
      </c>
      <c r="J1061" s="3">
        <v>3635800</v>
      </c>
      <c r="K1061" s="3">
        <v>283592400</v>
      </c>
      <c r="L1061" s="2" t="s">
        <v>33</v>
      </c>
      <c r="M1061" s="2" t="s">
        <v>26</v>
      </c>
      <c r="N1061">
        <v>2024</v>
      </c>
      <c r="O1061" s="2" t="s">
        <v>27</v>
      </c>
      <c r="P1061" s="2" t="s">
        <v>28</v>
      </c>
      <c r="Q1061">
        <v>1</v>
      </c>
      <c r="R1061" s="4">
        <v>45292</v>
      </c>
      <c r="S1061" s="3">
        <v>3635800</v>
      </c>
      <c r="T1061" s="3">
        <v>28.36</v>
      </c>
    </row>
    <row r="1062" spans="1:20" x14ac:dyDescent="0.3">
      <c r="A1062" s="1">
        <v>45316</v>
      </c>
      <c r="B1062" s="2" t="s">
        <v>29</v>
      </c>
      <c r="C1062" s="2" t="s">
        <v>96</v>
      </c>
      <c r="D1062" s="2" t="s">
        <v>22</v>
      </c>
      <c r="E1062" s="2" t="s">
        <v>23</v>
      </c>
      <c r="F1062" s="2" t="s">
        <v>24</v>
      </c>
      <c r="G1062">
        <v>82</v>
      </c>
      <c r="H1062">
        <v>520</v>
      </c>
      <c r="I1062">
        <v>6</v>
      </c>
      <c r="J1062" s="3">
        <v>7038500</v>
      </c>
      <c r="K1062" s="3">
        <v>42231000</v>
      </c>
      <c r="L1062" s="2" t="s">
        <v>33</v>
      </c>
      <c r="M1062" s="2" t="s">
        <v>77</v>
      </c>
      <c r="N1062">
        <v>2024</v>
      </c>
      <c r="O1062" s="2" t="s">
        <v>27</v>
      </c>
      <c r="P1062" s="2" t="s">
        <v>28</v>
      </c>
      <c r="Q1062">
        <v>1</v>
      </c>
      <c r="R1062" s="4">
        <v>45292</v>
      </c>
      <c r="S1062" s="3">
        <v>7038500</v>
      </c>
      <c r="T1062" s="3">
        <v>4.22</v>
      </c>
    </row>
    <row r="1063" spans="1:20" x14ac:dyDescent="0.3">
      <c r="A1063" s="1">
        <v>45316</v>
      </c>
      <c r="B1063" s="2" t="s">
        <v>84</v>
      </c>
      <c r="C1063" s="2" t="s">
        <v>85</v>
      </c>
      <c r="D1063" s="2" t="s">
        <v>79</v>
      </c>
      <c r="E1063" s="2" t="s">
        <v>80</v>
      </c>
      <c r="F1063" s="2" t="s">
        <v>24</v>
      </c>
      <c r="G1063">
        <v>69</v>
      </c>
      <c r="H1063">
        <v>418</v>
      </c>
      <c r="I1063">
        <v>74</v>
      </c>
      <c r="J1063" s="3">
        <v>5159400</v>
      </c>
      <c r="K1063" s="3">
        <v>381795600</v>
      </c>
      <c r="L1063" s="2" t="s">
        <v>25</v>
      </c>
      <c r="M1063" s="2" t="s">
        <v>26</v>
      </c>
      <c r="N1063">
        <v>2024</v>
      </c>
      <c r="O1063" s="2" t="s">
        <v>27</v>
      </c>
      <c r="P1063" s="2" t="s">
        <v>28</v>
      </c>
      <c r="Q1063">
        <v>1</v>
      </c>
      <c r="R1063" s="4">
        <v>45292</v>
      </c>
      <c r="S1063" s="3">
        <v>5159400</v>
      </c>
      <c r="T1063" s="3">
        <v>38.18</v>
      </c>
    </row>
    <row r="1064" spans="1:20" x14ac:dyDescent="0.3">
      <c r="A1064" s="1">
        <v>45317</v>
      </c>
      <c r="B1064" s="2" t="s">
        <v>84</v>
      </c>
      <c r="C1064" s="2" t="s">
        <v>113</v>
      </c>
      <c r="D1064" s="2" t="s">
        <v>42</v>
      </c>
      <c r="E1064" s="2" t="s">
        <v>43</v>
      </c>
      <c r="F1064" s="2" t="s">
        <v>24</v>
      </c>
      <c r="G1064">
        <v>3</v>
      </c>
      <c r="H1064">
        <v>135</v>
      </c>
      <c r="I1064">
        <v>116</v>
      </c>
      <c r="J1064" s="3">
        <v>120200</v>
      </c>
      <c r="K1064" s="3">
        <v>13943200</v>
      </c>
      <c r="L1064" s="2" t="s">
        <v>33</v>
      </c>
      <c r="M1064" s="2" t="s">
        <v>26</v>
      </c>
      <c r="N1064">
        <v>2024</v>
      </c>
      <c r="O1064" s="2" t="s">
        <v>27</v>
      </c>
      <c r="P1064" s="2" t="s">
        <v>28</v>
      </c>
      <c r="Q1064">
        <v>1</v>
      </c>
      <c r="R1064" s="4">
        <v>45292</v>
      </c>
      <c r="S1064" s="3">
        <v>120200</v>
      </c>
      <c r="T1064" s="3">
        <v>1.39</v>
      </c>
    </row>
    <row r="1065" spans="1:20" x14ac:dyDescent="0.3">
      <c r="A1065" s="1">
        <v>45317</v>
      </c>
      <c r="B1065" s="2" t="s">
        <v>84</v>
      </c>
      <c r="C1065" s="2" t="s">
        <v>126</v>
      </c>
      <c r="D1065" s="2" t="s">
        <v>70</v>
      </c>
      <c r="E1065" s="2" t="s">
        <v>74</v>
      </c>
      <c r="F1065" s="2" t="s">
        <v>24</v>
      </c>
      <c r="G1065">
        <v>25</v>
      </c>
      <c r="H1065">
        <v>32</v>
      </c>
      <c r="I1065">
        <v>170</v>
      </c>
      <c r="J1065" s="3">
        <v>1260500</v>
      </c>
      <c r="K1065" s="3">
        <v>214285000</v>
      </c>
      <c r="L1065" s="2" t="s">
        <v>33</v>
      </c>
      <c r="M1065" s="2" t="s">
        <v>26</v>
      </c>
      <c r="N1065">
        <v>2024</v>
      </c>
      <c r="O1065" s="2" t="s">
        <v>27</v>
      </c>
      <c r="P1065" s="2" t="s">
        <v>28</v>
      </c>
      <c r="Q1065">
        <v>1</v>
      </c>
      <c r="R1065" s="4">
        <v>45292</v>
      </c>
      <c r="S1065" s="3">
        <v>1260500</v>
      </c>
      <c r="T1065" s="3">
        <v>21.43</v>
      </c>
    </row>
    <row r="1066" spans="1:20" x14ac:dyDescent="0.3">
      <c r="A1066" s="1">
        <v>45318</v>
      </c>
      <c r="B1066" s="2" t="s">
        <v>48</v>
      </c>
      <c r="C1066" s="2" t="s">
        <v>49</v>
      </c>
      <c r="D1066" s="2" t="s">
        <v>57</v>
      </c>
      <c r="E1066" s="2" t="s">
        <v>86</v>
      </c>
      <c r="F1066" s="2" t="s">
        <v>24</v>
      </c>
      <c r="G1066">
        <v>48</v>
      </c>
      <c r="H1066">
        <v>39</v>
      </c>
      <c r="I1066">
        <v>21</v>
      </c>
      <c r="J1066" s="3">
        <v>2086000</v>
      </c>
      <c r="K1066" s="3">
        <v>43806000</v>
      </c>
      <c r="L1066" s="2" t="s">
        <v>92</v>
      </c>
      <c r="M1066" s="2" t="s">
        <v>26</v>
      </c>
      <c r="N1066">
        <v>2024</v>
      </c>
      <c r="O1066" s="2" t="s">
        <v>27</v>
      </c>
      <c r="P1066" s="2" t="s">
        <v>28</v>
      </c>
      <c r="Q1066">
        <v>1</v>
      </c>
      <c r="R1066" s="4">
        <v>45292</v>
      </c>
      <c r="S1066" s="3">
        <v>2086000</v>
      </c>
      <c r="T1066" s="3">
        <v>4.38</v>
      </c>
    </row>
    <row r="1067" spans="1:20" x14ac:dyDescent="0.3">
      <c r="A1067" s="1">
        <v>45318</v>
      </c>
      <c r="B1067" s="2" t="s">
        <v>35</v>
      </c>
      <c r="C1067" s="2" t="s">
        <v>87</v>
      </c>
      <c r="D1067" s="2" t="s">
        <v>100</v>
      </c>
      <c r="E1067" s="2" t="s">
        <v>101</v>
      </c>
      <c r="F1067" s="2" t="s">
        <v>24</v>
      </c>
      <c r="G1067">
        <v>3</v>
      </c>
      <c r="H1067">
        <v>150</v>
      </c>
      <c r="I1067">
        <v>136</v>
      </c>
      <c r="J1067" s="3">
        <v>161200</v>
      </c>
      <c r="K1067" s="3">
        <v>21923200</v>
      </c>
      <c r="L1067" s="2" t="s">
        <v>33</v>
      </c>
      <c r="M1067" s="2" t="s">
        <v>26</v>
      </c>
      <c r="N1067">
        <v>2024</v>
      </c>
      <c r="O1067" s="2" t="s">
        <v>27</v>
      </c>
      <c r="P1067" s="2" t="s">
        <v>28</v>
      </c>
      <c r="Q1067">
        <v>1</v>
      </c>
      <c r="R1067" s="4">
        <v>45292</v>
      </c>
      <c r="S1067" s="3">
        <v>161200</v>
      </c>
      <c r="T1067" s="3">
        <v>2.19</v>
      </c>
    </row>
    <row r="1068" spans="1:20" x14ac:dyDescent="0.3">
      <c r="A1068" s="1">
        <v>45318</v>
      </c>
      <c r="B1068" s="2" t="s">
        <v>40</v>
      </c>
      <c r="C1068" s="2" t="s">
        <v>136</v>
      </c>
      <c r="D1068" s="2" t="s">
        <v>42</v>
      </c>
      <c r="E1068" s="2" t="s">
        <v>43</v>
      </c>
      <c r="F1068" s="2" t="s">
        <v>24</v>
      </c>
      <c r="G1068">
        <v>3</v>
      </c>
      <c r="H1068">
        <v>135</v>
      </c>
      <c r="I1068">
        <v>75</v>
      </c>
      <c r="J1068" s="3">
        <v>139100</v>
      </c>
      <c r="K1068" s="3">
        <v>10432500</v>
      </c>
      <c r="L1068" s="2" t="s">
        <v>92</v>
      </c>
      <c r="M1068" s="2" t="s">
        <v>26</v>
      </c>
      <c r="N1068">
        <v>2024</v>
      </c>
      <c r="O1068" s="2" t="s">
        <v>27</v>
      </c>
      <c r="P1068" s="2" t="s">
        <v>28</v>
      </c>
      <c r="Q1068">
        <v>1</v>
      </c>
      <c r="R1068" s="4">
        <v>45292</v>
      </c>
      <c r="S1068" s="3">
        <v>139100</v>
      </c>
      <c r="T1068" s="3">
        <v>1.04</v>
      </c>
    </row>
    <row r="1069" spans="1:20" x14ac:dyDescent="0.3">
      <c r="A1069" s="1">
        <v>45318</v>
      </c>
      <c r="B1069" s="2" t="s">
        <v>75</v>
      </c>
      <c r="C1069" s="2" t="s">
        <v>122</v>
      </c>
      <c r="D1069" s="2" t="s">
        <v>94</v>
      </c>
      <c r="E1069" s="2" t="s">
        <v>95</v>
      </c>
      <c r="F1069" s="2" t="s">
        <v>24</v>
      </c>
      <c r="G1069">
        <v>40</v>
      </c>
      <c r="H1069">
        <v>30</v>
      </c>
      <c r="I1069">
        <v>124</v>
      </c>
      <c r="J1069" s="3">
        <v>2434000</v>
      </c>
      <c r="K1069" s="3">
        <v>301816000</v>
      </c>
      <c r="L1069" s="2" t="s">
        <v>33</v>
      </c>
      <c r="M1069" s="2" t="s">
        <v>26</v>
      </c>
      <c r="N1069">
        <v>2024</v>
      </c>
      <c r="O1069" s="2" t="s">
        <v>27</v>
      </c>
      <c r="P1069" s="2" t="s">
        <v>28</v>
      </c>
      <c r="Q1069">
        <v>1</v>
      </c>
      <c r="R1069" s="4">
        <v>45292</v>
      </c>
      <c r="S1069" s="3">
        <v>2434000</v>
      </c>
      <c r="T1069" s="3">
        <v>30.18</v>
      </c>
    </row>
    <row r="1070" spans="1:20" x14ac:dyDescent="0.3">
      <c r="A1070" s="1">
        <v>45319</v>
      </c>
      <c r="B1070" s="2" t="s">
        <v>44</v>
      </c>
      <c r="C1070" s="2" t="s">
        <v>117</v>
      </c>
      <c r="D1070" s="2" t="s">
        <v>70</v>
      </c>
      <c r="E1070" s="2" t="s">
        <v>74</v>
      </c>
      <c r="F1070" s="2" t="s">
        <v>39</v>
      </c>
      <c r="G1070">
        <v>25</v>
      </c>
      <c r="H1070">
        <v>32</v>
      </c>
      <c r="I1070">
        <v>106</v>
      </c>
      <c r="J1070" s="3">
        <v>1022900</v>
      </c>
      <c r="K1070" s="3">
        <v>108427400</v>
      </c>
      <c r="L1070" s="2" t="s">
        <v>25</v>
      </c>
      <c r="M1070" s="2" t="s">
        <v>26</v>
      </c>
      <c r="N1070">
        <v>2024</v>
      </c>
      <c r="O1070" s="2" t="s">
        <v>27</v>
      </c>
      <c r="P1070" s="2" t="s">
        <v>28</v>
      </c>
      <c r="Q1070">
        <v>1</v>
      </c>
      <c r="R1070" s="4">
        <v>45292</v>
      </c>
      <c r="S1070" s="3">
        <v>1022900</v>
      </c>
      <c r="T1070" s="3">
        <v>10.84</v>
      </c>
    </row>
    <row r="1071" spans="1:20" x14ac:dyDescent="0.3">
      <c r="A1071" s="1">
        <v>45320</v>
      </c>
      <c r="B1071" s="2" t="s">
        <v>35</v>
      </c>
      <c r="C1071" s="2" t="s">
        <v>87</v>
      </c>
      <c r="D1071" s="2" t="s">
        <v>54</v>
      </c>
      <c r="E1071" s="2" t="s">
        <v>55</v>
      </c>
      <c r="F1071" s="2" t="s">
        <v>24</v>
      </c>
      <c r="G1071">
        <v>30</v>
      </c>
      <c r="H1071">
        <v>320</v>
      </c>
      <c r="I1071">
        <v>76</v>
      </c>
      <c r="J1071" s="3">
        <v>1335700</v>
      </c>
      <c r="K1071" s="3">
        <v>101513200</v>
      </c>
      <c r="L1071" s="2" t="s">
        <v>25</v>
      </c>
      <c r="M1071" s="2" t="s">
        <v>34</v>
      </c>
      <c r="N1071">
        <v>2024</v>
      </c>
      <c r="O1071" s="2" t="s">
        <v>27</v>
      </c>
      <c r="P1071" s="2" t="s">
        <v>28</v>
      </c>
      <c r="Q1071">
        <v>1</v>
      </c>
      <c r="R1071" s="4">
        <v>45292</v>
      </c>
      <c r="S1071" s="3">
        <v>1335700</v>
      </c>
      <c r="T1071" s="3">
        <v>10.15</v>
      </c>
    </row>
    <row r="1072" spans="1:20" x14ac:dyDescent="0.3">
      <c r="A1072" s="1">
        <v>45321</v>
      </c>
      <c r="B1072" s="2" t="s">
        <v>59</v>
      </c>
      <c r="C1072" s="2" t="s">
        <v>129</v>
      </c>
      <c r="D1072" s="2" t="s">
        <v>31</v>
      </c>
      <c r="E1072" s="2" t="s">
        <v>124</v>
      </c>
      <c r="F1072" s="2" t="s">
        <v>24</v>
      </c>
      <c r="G1072">
        <v>3</v>
      </c>
      <c r="H1072">
        <v>151</v>
      </c>
      <c r="I1072">
        <v>171</v>
      </c>
      <c r="J1072" s="3">
        <v>110000</v>
      </c>
      <c r="K1072" s="3">
        <v>18810000</v>
      </c>
      <c r="L1072" s="2" t="s">
        <v>33</v>
      </c>
      <c r="M1072" s="2" t="s">
        <v>26</v>
      </c>
      <c r="N1072">
        <v>2024</v>
      </c>
      <c r="O1072" s="2" t="s">
        <v>27</v>
      </c>
      <c r="P1072" s="2" t="s">
        <v>28</v>
      </c>
      <c r="Q1072">
        <v>1</v>
      </c>
      <c r="R1072" s="4">
        <v>45292</v>
      </c>
      <c r="S1072" s="3">
        <v>110000</v>
      </c>
      <c r="T1072" s="3">
        <v>1.88</v>
      </c>
    </row>
    <row r="1073" spans="1:20" x14ac:dyDescent="0.3">
      <c r="A1073" s="1">
        <v>45321</v>
      </c>
      <c r="B1073" s="2" t="s">
        <v>48</v>
      </c>
      <c r="C1073" s="2" t="s">
        <v>69</v>
      </c>
      <c r="D1073" s="2" t="s">
        <v>70</v>
      </c>
      <c r="E1073" s="2" t="s">
        <v>74</v>
      </c>
      <c r="F1073" s="2" t="s">
        <v>24</v>
      </c>
      <c r="G1073">
        <v>25</v>
      </c>
      <c r="H1073">
        <v>32</v>
      </c>
      <c r="I1073">
        <v>93</v>
      </c>
      <c r="J1073" s="3">
        <v>1008500</v>
      </c>
      <c r="K1073" s="3">
        <v>93790500</v>
      </c>
      <c r="L1073" s="2" t="s">
        <v>33</v>
      </c>
      <c r="M1073" s="2" t="s">
        <v>26</v>
      </c>
      <c r="N1073">
        <v>2024</v>
      </c>
      <c r="O1073" s="2" t="s">
        <v>27</v>
      </c>
      <c r="P1073" s="2" t="s">
        <v>28</v>
      </c>
      <c r="Q1073">
        <v>1</v>
      </c>
      <c r="R1073" s="4">
        <v>45292</v>
      </c>
      <c r="S1073" s="3">
        <v>1008500</v>
      </c>
      <c r="T1073" s="3">
        <v>9.3800000000000008</v>
      </c>
    </row>
    <row r="1074" spans="1:20" x14ac:dyDescent="0.3">
      <c r="A1074" s="1">
        <v>45322</v>
      </c>
      <c r="B1074" s="2" t="s">
        <v>40</v>
      </c>
      <c r="C1074" s="2" t="s">
        <v>41</v>
      </c>
      <c r="D1074" s="2" t="s">
        <v>22</v>
      </c>
      <c r="E1074" s="2" t="s">
        <v>23</v>
      </c>
      <c r="F1074" s="2" t="s">
        <v>24</v>
      </c>
      <c r="G1074">
        <v>82</v>
      </c>
      <c r="H1074">
        <v>520</v>
      </c>
      <c r="I1074">
        <v>51</v>
      </c>
      <c r="J1074" s="3">
        <v>7629200</v>
      </c>
      <c r="K1074" s="3">
        <v>389089200</v>
      </c>
      <c r="L1074" s="2" t="s">
        <v>33</v>
      </c>
      <c r="M1074" s="2" t="s">
        <v>26</v>
      </c>
      <c r="N1074">
        <v>2024</v>
      </c>
      <c r="O1074" s="2" t="s">
        <v>27</v>
      </c>
      <c r="P1074" s="2" t="s">
        <v>28</v>
      </c>
      <c r="Q1074">
        <v>1</v>
      </c>
      <c r="R1074" s="4">
        <v>45292</v>
      </c>
      <c r="S1074" s="3">
        <v>7629200</v>
      </c>
      <c r="T1074" s="3">
        <v>38.909999999999997</v>
      </c>
    </row>
    <row r="1075" spans="1:20" x14ac:dyDescent="0.3">
      <c r="A1075" s="1">
        <v>45322</v>
      </c>
      <c r="B1075" s="2" t="s">
        <v>108</v>
      </c>
      <c r="C1075" s="2" t="s">
        <v>133</v>
      </c>
      <c r="D1075" s="2" t="s">
        <v>42</v>
      </c>
      <c r="E1075" s="2" t="s">
        <v>43</v>
      </c>
      <c r="F1075" s="2" t="s">
        <v>24</v>
      </c>
      <c r="G1075">
        <v>3</v>
      </c>
      <c r="H1075">
        <v>135</v>
      </c>
      <c r="I1075">
        <v>61</v>
      </c>
      <c r="J1075" s="3">
        <v>120200</v>
      </c>
      <c r="K1075" s="3">
        <v>7332200</v>
      </c>
      <c r="L1075" s="2" t="s">
        <v>33</v>
      </c>
      <c r="M1075" s="2" t="s">
        <v>77</v>
      </c>
      <c r="N1075">
        <v>2024</v>
      </c>
      <c r="O1075" s="2" t="s">
        <v>27</v>
      </c>
      <c r="P1075" s="2" t="s">
        <v>28</v>
      </c>
      <c r="Q1075">
        <v>1</v>
      </c>
      <c r="R1075" s="4">
        <v>45292</v>
      </c>
      <c r="S1075" s="3">
        <v>120200</v>
      </c>
      <c r="T1075" s="3">
        <v>0.73</v>
      </c>
    </row>
    <row r="1076" spans="1:20" x14ac:dyDescent="0.3">
      <c r="A1076" s="1">
        <v>45322</v>
      </c>
      <c r="B1076" s="2" t="s">
        <v>35</v>
      </c>
      <c r="C1076" s="2" t="s">
        <v>36</v>
      </c>
      <c r="D1076" s="2" t="s">
        <v>22</v>
      </c>
      <c r="E1076" s="2" t="s">
        <v>23</v>
      </c>
      <c r="F1076" s="2" t="s">
        <v>39</v>
      </c>
      <c r="G1076">
        <v>82</v>
      </c>
      <c r="H1076">
        <v>520</v>
      </c>
      <c r="I1076">
        <v>77</v>
      </c>
      <c r="J1076" s="3">
        <v>6765700</v>
      </c>
      <c r="K1076" s="3">
        <v>520958900</v>
      </c>
      <c r="L1076" s="2" t="s">
        <v>33</v>
      </c>
      <c r="M1076" s="2" t="s">
        <v>34</v>
      </c>
      <c r="N1076">
        <v>2024</v>
      </c>
      <c r="O1076" s="2" t="s">
        <v>27</v>
      </c>
      <c r="P1076" s="2" t="s">
        <v>28</v>
      </c>
      <c r="Q1076">
        <v>1</v>
      </c>
      <c r="R1076" s="4">
        <v>45292</v>
      </c>
      <c r="S1076" s="3">
        <v>6765700</v>
      </c>
      <c r="T1076" s="3">
        <v>52.1</v>
      </c>
    </row>
    <row r="1077" spans="1:20" x14ac:dyDescent="0.3">
      <c r="A1077" s="1">
        <v>45322</v>
      </c>
      <c r="B1077" s="2" t="s">
        <v>40</v>
      </c>
      <c r="C1077" s="2" t="s">
        <v>78</v>
      </c>
      <c r="D1077" s="2" t="s">
        <v>37</v>
      </c>
      <c r="E1077" s="2" t="s">
        <v>38</v>
      </c>
      <c r="F1077" s="2" t="s">
        <v>24</v>
      </c>
      <c r="G1077">
        <v>66</v>
      </c>
      <c r="H1077">
        <v>423</v>
      </c>
      <c r="I1077">
        <v>6</v>
      </c>
      <c r="J1077" s="3">
        <v>7826000</v>
      </c>
      <c r="K1077" s="3">
        <v>46956000</v>
      </c>
      <c r="L1077" s="2" t="s">
        <v>33</v>
      </c>
      <c r="M1077" s="2" t="s">
        <v>97</v>
      </c>
      <c r="N1077">
        <v>2024</v>
      </c>
      <c r="O1077" s="2" t="s">
        <v>27</v>
      </c>
      <c r="P1077" s="2" t="s">
        <v>28</v>
      </c>
      <c r="Q1077">
        <v>1</v>
      </c>
      <c r="R1077" s="4">
        <v>45292</v>
      </c>
      <c r="S1077" s="3">
        <v>7826000</v>
      </c>
      <c r="T1077" s="3">
        <v>4.7</v>
      </c>
    </row>
    <row r="1078" spans="1:20" x14ac:dyDescent="0.3">
      <c r="A1078" s="1">
        <v>45322</v>
      </c>
      <c r="B1078" s="2" t="s">
        <v>35</v>
      </c>
      <c r="C1078" s="2" t="s">
        <v>87</v>
      </c>
      <c r="D1078" s="2" t="s">
        <v>57</v>
      </c>
      <c r="E1078" s="2" t="s">
        <v>58</v>
      </c>
      <c r="F1078" s="2" t="s">
        <v>24</v>
      </c>
      <c r="G1078">
        <v>72</v>
      </c>
      <c r="H1078">
        <v>488</v>
      </c>
      <c r="I1078">
        <v>51</v>
      </c>
      <c r="J1078" s="3">
        <v>5165100</v>
      </c>
      <c r="K1078" s="3">
        <v>263420100</v>
      </c>
      <c r="L1078" s="2" t="s">
        <v>25</v>
      </c>
      <c r="M1078" s="2" t="s">
        <v>26</v>
      </c>
      <c r="N1078">
        <v>2024</v>
      </c>
      <c r="O1078" s="2" t="s">
        <v>27</v>
      </c>
      <c r="P1078" s="2" t="s">
        <v>28</v>
      </c>
      <c r="Q1078">
        <v>1</v>
      </c>
      <c r="R1078" s="4">
        <v>45292</v>
      </c>
      <c r="S1078" s="3">
        <v>5165100</v>
      </c>
      <c r="T1078" s="3">
        <v>26.34</v>
      </c>
    </row>
    <row r="1079" spans="1:20" x14ac:dyDescent="0.3">
      <c r="A1079" s="1">
        <v>45322</v>
      </c>
      <c r="B1079" s="2" t="s">
        <v>29</v>
      </c>
      <c r="C1079" s="2" t="s">
        <v>96</v>
      </c>
      <c r="D1079" s="2" t="s">
        <v>94</v>
      </c>
      <c r="E1079" s="2" t="s">
        <v>95</v>
      </c>
      <c r="F1079" s="2" t="s">
        <v>24</v>
      </c>
      <c r="G1079">
        <v>40</v>
      </c>
      <c r="H1079">
        <v>30</v>
      </c>
      <c r="I1079">
        <v>134</v>
      </c>
      <c r="J1079" s="3">
        <v>2694200</v>
      </c>
      <c r="K1079" s="3">
        <v>361022800</v>
      </c>
      <c r="L1079" s="2" t="s">
        <v>33</v>
      </c>
      <c r="M1079" s="2" t="s">
        <v>77</v>
      </c>
      <c r="N1079">
        <v>2024</v>
      </c>
      <c r="O1079" s="2" t="s">
        <v>27</v>
      </c>
      <c r="P1079" s="2" t="s">
        <v>28</v>
      </c>
      <c r="Q1079">
        <v>1</v>
      </c>
      <c r="R1079" s="4">
        <v>45292</v>
      </c>
      <c r="S1079" s="3">
        <v>2694200</v>
      </c>
      <c r="T1079" s="3">
        <v>36.1</v>
      </c>
    </row>
    <row r="1080" spans="1:20" x14ac:dyDescent="0.3">
      <c r="A1080" s="1">
        <v>45323</v>
      </c>
      <c r="B1080" s="2" t="s">
        <v>40</v>
      </c>
      <c r="C1080" s="2" t="s">
        <v>41</v>
      </c>
      <c r="D1080" s="2" t="s">
        <v>94</v>
      </c>
      <c r="E1080" s="2" t="s">
        <v>115</v>
      </c>
      <c r="F1080" s="2" t="s">
        <v>72</v>
      </c>
      <c r="G1080">
        <v>24</v>
      </c>
      <c r="H1080">
        <v>24</v>
      </c>
      <c r="I1080">
        <v>42</v>
      </c>
      <c r="J1080" s="3">
        <v>1474500</v>
      </c>
      <c r="K1080" s="3">
        <v>61929000</v>
      </c>
      <c r="L1080" s="2" t="s">
        <v>33</v>
      </c>
      <c r="M1080" s="2" t="s">
        <v>77</v>
      </c>
      <c r="N1080">
        <v>2024</v>
      </c>
      <c r="O1080" s="2" t="s">
        <v>27</v>
      </c>
      <c r="P1080" s="2" t="s">
        <v>130</v>
      </c>
      <c r="Q1080">
        <v>2</v>
      </c>
      <c r="R1080" s="4">
        <v>45323</v>
      </c>
      <c r="S1080" s="3">
        <v>1474500</v>
      </c>
      <c r="T1080" s="3">
        <v>6.19</v>
      </c>
    </row>
    <row r="1081" spans="1:20" x14ac:dyDescent="0.3">
      <c r="A1081" s="1">
        <v>45323</v>
      </c>
      <c r="B1081" s="2" t="s">
        <v>46</v>
      </c>
      <c r="C1081" s="2" t="s">
        <v>47</v>
      </c>
      <c r="D1081" s="2" t="s">
        <v>100</v>
      </c>
      <c r="E1081" s="2" t="s">
        <v>101</v>
      </c>
      <c r="F1081" s="2" t="s">
        <v>24</v>
      </c>
      <c r="G1081">
        <v>3</v>
      </c>
      <c r="H1081">
        <v>150</v>
      </c>
      <c r="I1081">
        <v>34</v>
      </c>
      <c r="J1081" s="3">
        <v>165900</v>
      </c>
      <c r="K1081" s="3">
        <v>5640600</v>
      </c>
      <c r="L1081" s="2" t="s">
        <v>25</v>
      </c>
      <c r="M1081" s="2" t="s">
        <v>26</v>
      </c>
      <c r="N1081">
        <v>2024</v>
      </c>
      <c r="O1081" s="2" t="s">
        <v>27</v>
      </c>
      <c r="P1081" s="2" t="s">
        <v>130</v>
      </c>
      <c r="Q1081">
        <v>2</v>
      </c>
      <c r="R1081" s="4">
        <v>45323</v>
      </c>
      <c r="S1081" s="3">
        <v>165900</v>
      </c>
      <c r="T1081" s="3">
        <v>0.56000000000000005</v>
      </c>
    </row>
    <row r="1082" spans="1:20" x14ac:dyDescent="0.3">
      <c r="A1082" s="1">
        <v>45323</v>
      </c>
      <c r="B1082" s="2" t="s">
        <v>90</v>
      </c>
      <c r="C1082" s="2" t="s">
        <v>114</v>
      </c>
      <c r="D1082" s="2" t="s">
        <v>31</v>
      </c>
      <c r="E1082" s="2" t="s">
        <v>124</v>
      </c>
      <c r="F1082" s="2" t="s">
        <v>24</v>
      </c>
      <c r="G1082">
        <v>3</v>
      </c>
      <c r="H1082">
        <v>151</v>
      </c>
      <c r="I1082">
        <v>119</v>
      </c>
      <c r="J1082" s="3">
        <v>114900</v>
      </c>
      <c r="K1082" s="3">
        <v>13673100</v>
      </c>
      <c r="L1082" s="2" t="s">
        <v>33</v>
      </c>
      <c r="M1082" s="2" t="s">
        <v>26</v>
      </c>
      <c r="N1082">
        <v>2024</v>
      </c>
      <c r="O1082" s="2" t="s">
        <v>27</v>
      </c>
      <c r="P1082" s="2" t="s">
        <v>130</v>
      </c>
      <c r="Q1082">
        <v>2</v>
      </c>
      <c r="R1082" s="4">
        <v>45323</v>
      </c>
      <c r="S1082" s="3">
        <v>114900</v>
      </c>
      <c r="T1082" s="3">
        <v>1.37</v>
      </c>
    </row>
    <row r="1083" spans="1:20" x14ac:dyDescent="0.3">
      <c r="A1083" s="1">
        <v>45323</v>
      </c>
      <c r="B1083" s="2" t="s">
        <v>35</v>
      </c>
      <c r="C1083" s="2" t="s">
        <v>132</v>
      </c>
      <c r="D1083" s="2" t="s">
        <v>63</v>
      </c>
      <c r="E1083" s="2" t="s">
        <v>64</v>
      </c>
      <c r="F1083" s="2" t="s">
        <v>24</v>
      </c>
      <c r="G1083">
        <v>3</v>
      </c>
      <c r="H1083">
        <v>127</v>
      </c>
      <c r="I1083">
        <v>12</v>
      </c>
      <c r="J1083" s="3">
        <v>161300</v>
      </c>
      <c r="K1083" s="3">
        <v>1935600</v>
      </c>
      <c r="L1083" s="2" t="s">
        <v>25</v>
      </c>
      <c r="M1083" s="2" t="s">
        <v>77</v>
      </c>
      <c r="N1083">
        <v>2024</v>
      </c>
      <c r="O1083" s="2" t="s">
        <v>27</v>
      </c>
      <c r="P1083" s="2" t="s">
        <v>130</v>
      </c>
      <c r="Q1083">
        <v>2</v>
      </c>
      <c r="R1083" s="4">
        <v>45323</v>
      </c>
      <c r="S1083" s="3">
        <v>161300</v>
      </c>
      <c r="T1083" s="3">
        <v>0.19</v>
      </c>
    </row>
    <row r="1084" spans="1:20" x14ac:dyDescent="0.3">
      <c r="A1084" s="1">
        <v>45323</v>
      </c>
      <c r="B1084" s="2" t="s">
        <v>40</v>
      </c>
      <c r="C1084" s="2" t="s">
        <v>105</v>
      </c>
      <c r="D1084" s="2" t="s">
        <v>79</v>
      </c>
      <c r="E1084" s="2" t="s">
        <v>80</v>
      </c>
      <c r="F1084" s="2" t="s">
        <v>39</v>
      </c>
      <c r="G1084">
        <v>69</v>
      </c>
      <c r="H1084">
        <v>418</v>
      </c>
      <c r="I1084">
        <v>55</v>
      </c>
      <c r="J1084" s="3">
        <v>6268900</v>
      </c>
      <c r="K1084" s="3">
        <v>344789500</v>
      </c>
      <c r="L1084" s="2" t="s">
        <v>33</v>
      </c>
      <c r="M1084" s="2" t="s">
        <v>26</v>
      </c>
      <c r="N1084">
        <v>2024</v>
      </c>
      <c r="O1084" s="2" t="s">
        <v>27</v>
      </c>
      <c r="P1084" s="2" t="s">
        <v>130</v>
      </c>
      <c r="Q1084">
        <v>2</v>
      </c>
      <c r="R1084" s="4">
        <v>45323</v>
      </c>
      <c r="S1084" s="3">
        <v>6268900</v>
      </c>
      <c r="T1084" s="3">
        <v>34.479999999999997</v>
      </c>
    </row>
    <row r="1085" spans="1:20" x14ac:dyDescent="0.3">
      <c r="A1085" s="1">
        <v>45324</v>
      </c>
      <c r="B1085" s="2" t="s">
        <v>29</v>
      </c>
      <c r="C1085" s="2" t="s">
        <v>30</v>
      </c>
      <c r="D1085" s="2" t="s">
        <v>22</v>
      </c>
      <c r="E1085" s="2" t="s">
        <v>23</v>
      </c>
      <c r="F1085" s="2" t="s">
        <v>24</v>
      </c>
      <c r="G1085">
        <v>82</v>
      </c>
      <c r="H1085">
        <v>520</v>
      </c>
      <c r="I1085">
        <v>60</v>
      </c>
      <c r="J1085" s="3">
        <v>7285300</v>
      </c>
      <c r="K1085" s="3">
        <v>437118000</v>
      </c>
      <c r="L1085" s="2" t="s">
        <v>33</v>
      </c>
      <c r="M1085" s="2" t="s">
        <v>34</v>
      </c>
      <c r="N1085">
        <v>2024</v>
      </c>
      <c r="O1085" s="2" t="s">
        <v>27</v>
      </c>
      <c r="P1085" s="2" t="s">
        <v>130</v>
      </c>
      <c r="Q1085">
        <v>2</v>
      </c>
      <c r="R1085" s="4">
        <v>45323</v>
      </c>
      <c r="S1085" s="3">
        <v>7285300</v>
      </c>
      <c r="T1085" s="3">
        <v>43.71</v>
      </c>
    </row>
    <row r="1086" spans="1:20" x14ac:dyDescent="0.3">
      <c r="A1086" s="1">
        <v>45324</v>
      </c>
      <c r="B1086" s="2" t="s">
        <v>48</v>
      </c>
      <c r="C1086" s="2" t="s">
        <v>98</v>
      </c>
      <c r="D1086" s="2" t="s">
        <v>79</v>
      </c>
      <c r="E1086" s="2" t="s">
        <v>80</v>
      </c>
      <c r="F1086" s="2" t="s">
        <v>72</v>
      </c>
      <c r="G1086">
        <v>69</v>
      </c>
      <c r="H1086">
        <v>418</v>
      </c>
      <c r="I1086">
        <v>19</v>
      </c>
      <c r="J1086" s="3">
        <v>6125200</v>
      </c>
      <c r="K1086" s="3">
        <v>116378800</v>
      </c>
      <c r="L1086" s="2" t="s">
        <v>25</v>
      </c>
      <c r="M1086" s="2" t="s">
        <v>26</v>
      </c>
      <c r="N1086">
        <v>2024</v>
      </c>
      <c r="O1086" s="2" t="s">
        <v>27</v>
      </c>
      <c r="P1086" s="2" t="s">
        <v>130</v>
      </c>
      <c r="Q1086">
        <v>2</v>
      </c>
      <c r="R1086" s="4">
        <v>45323</v>
      </c>
      <c r="S1086" s="3">
        <v>6125200</v>
      </c>
      <c r="T1086" s="3">
        <v>11.64</v>
      </c>
    </row>
    <row r="1087" spans="1:20" x14ac:dyDescent="0.3">
      <c r="A1087" s="1">
        <v>45325</v>
      </c>
      <c r="B1087" s="2" t="s">
        <v>90</v>
      </c>
      <c r="C1087" s="2" t="s">
        <v>128</v>
      </c>
      <c r="D1087" s="2" t="s">
        <v>54</v>
      </c>
      <c r="E1087" s="2" t="s">
        <v>55</v>
      </c>
      <c r="F1087" s="2" t="s">
        <v>24</v>
      </c>
      <c r="G1087">
        <v>30</v>
      </c>
      <c r="H1087">
        <v>320</v>
      </c>
      <c r="I1087">
        <v>52</v>
      </c>
      <c r="J1087" s="3">
        <v>1692000</v>
      </c>
      <c r="K1087" s="3">
        <v>87984000</v>
      </c>
      <c r="L1087" s="2" t="s">
        <v>33</v>
      </c>
      <c r="M1087" s="2" t="s">
        <v>26</v>
      </c>
      <c r="N1087">
        <v>2024</v>
      </c>
      <c r="O1087" s="2" t="s">
        <v>27</v>
      </c>
      <c r="P1087" s="2" t="s">
        <v>130</v>
      </c>
      <c r="Q1087">
        <v>2</v>
      </c>
      <c r="R1087" s="4">
        <v>45323</v>
      </c>
      <c r="S1087" s="3">
        <v>1692000</v>
      </c>
      <c r="T1087" s="3">
        <v>8.8000000000000007</v>
      </c>
    </row>
    <row r="1088" spans="1:20" x14ac:dyDescent="0.3">
      <c r="A1088" s="1">
        <v>45325</v>
      </c>
      <c r="B1088" s="2" t="s">
        <v>35</v>
      </c>
      <c r="C1088" s="2" t="s">
        <v>87</v>
      </c>
      <c r="D1088" s="2" t="s">
        <v>54</v>
      </c>
      <c r="E1088" s="2" t="s">
        <v>55</v>
      </c>
      <c r="F1088" s="2" t="s">
        <v>24</v>
      </c>
      <c r="G1088">
        <v>30</v>
      </c>
      <c r="H1088">
        <v>320</v>
      </c>
      <c r="I1088">
        <v>70</v>
      </c>
      <c r="J1088" s="3">
        <v>1377400</v>
      </c>
      <c r="K1088" s="3">
        <v>96418000</v>
      </c>
      <c r="L1088" s="2" t="s">
        <v>25</v>
      </c>
      <c r="M1088" s="2" t="s">
        <v>26</v>
      </c>
      <c r="N1088">
        <v>2024</v>
      </c>
      <c r="O1088" s="2" t="s">
        <v>27</v>
      </c>
      <c r="P1088" s="2" t="s">
        <v>130</v>
      </c>
      <c r="Q1088">
        <v>2</v>
      </c>
      <c r="R1088" s="4">
        <v>45323</v>
      </c>
      <c r="S1088" s="3">
        <v>1377400</v>
      </c>
      <c r="T1088" s="3">
        <v>9.64</v>
      </c>
    </row>
    <row r="1089" spans="1:20" x14ac:dyDescent="0.3">
      <c r="A1089" s="1">
        <v>45325</v>
      </c>
      <c r="B1089" s="2" t="s">
        <v>108</v>
      </c>
      <c r="C1089" s="2" t="s">
        <v>109</v>
      </c>
      <c r="D1089" s="2" t="s">
        <v>67</v>
      </c>
      <c r="E1089" s="2" t="s">
        <v>118</v>
      </c>
      <c r="F1089" s="2" t="s">
        <v>39</v>
      </c>
      <c r="G1089">
        <v>84</v>
      </c>
      <c r="H1089">
        <v>590</v>
      </c>
      <c r="I1089">
        <v>42</v>
      </c>
      <c r="J1089" s="3">
        <v>7697200</v>
      </c>
      <c r="K1089" s="3">
        <v>323282400</v>
      </c>
      <c r="L1089" s="2" t="s">
        <v>33</v>
      </c>
      <c r="M1089" s="2" t="s">
        <v>26</v>
      </c>
      <c r="N1089">
        <v>2024</v>
      </c>
      <c r="O1089" s="2" t="s">
        <v>27</v>
      </c>
      <c r="P1089" s="2" t="s">
        <v>130</v>
      </c>
      <c r="Q1089">
        <v>2</v>
      </c>
      <c r="R1089" s="4">
        <v>45323</v>
      </c>
      <c r="S1089" s="3">
        <v>7697200</v>
      </c>
      <c r="T1089" s="3">
        <v>32.33</v>
      </c>
    </row>
    <row r="1090" spans="1:20" x14ac:dyDescent="0.3">
      <c r="A1090" s="1">
        <v>45325</v>
      </c>
      <c r="B1090" s="2" t="s">
        <v>46</v>
      </c>
      <c r="C1090" s="2" t="s">
        <v>110</v>
      </c>
      <c r="D1090" s="2" t="s">
        <v>100</v>
      </c>
      <c r="E1090" s="2" t="s">
        <v>101</v>
      </c>
      <c r="F1090" s="2" t="s">
        <v>24</v>
      </c>
      <c r="G1090">
        <v>3</v>
      </c>
      <c r="H1090">
        <v>150</v>
      </c>
      <c r="I1090">
        <v>77</v>
      </c>
      <c r="J1090" s="3">
        <v>149000</v>
      </c>
      <c r="K1090" s="3">
        <v>11473000</v>
      </c>
      <c r="L1090" s="2" t="s">
        <v>25</v>
      </c>
      <c r="M1090" s="2" t="s">
        <v>26</v>
      </c>
      <c r="N1090">
        <v>2024</v>
      </c>
      <c r="O1090" s="2" t="s">
        <v>27</v>
      </c>
      <c r="P1090" s="2" t="s">
        <v>130</v>
      </c>
      <c r="Q1090">
        <v>2</v>
      </c>
      <c r="R1090" s="4">
        <v>45323</v>
      </c>
      <c r="S1090" s="3">
        <v>149000</v>
      </c>
      <c r="T1090" s="3">
        <v>1.1499999999999999</v>
      </c>
    </row>
    <row r="1091" spans="1:20" x14ac:dyDescent="0.3">
      <c r="A1091" s="1">
        <v>45326</v>
      </c>
      <c r="B1091" s="2" t="s">
        <v>46</v>
      </c>
      <c r="C1091" s="2" t="s">
        <v>56</v>
      </c>
      <c r="D1091" s="2" t="s">
        <v>102</v>
      </c>
      <c r="E1091" s="2" t="s">
        <v>103</v>
      </c>
      <c r="F1091" s="2" t="s">
        <v>24</v>
      </c>
      <c r="G1091">
        <v>5</v>
      </c>
      <c r="H1091">
        <v>150</v>
      </c>
      <c r="I1091">
        <v>73</v>
      </c>
      <c r="J1091" s="3">
        <v>143700</v>
      </c>
      <c r="K1091" s="3">
        <v>10490100</v>
      </c>
      <c r="L1091" s="2" t="s">
        <v>25</v>
      </c>
      <c r="M1091" s="2" t="s">
        <v>77</v>
      </c>
      <c r="N1091">
        <v>2024</v>
      </c>
      <c r="O1091" s="2" t="s">
        <v>27</v>
      </c>
      <c r="P1091" s="2" t="s">
        <v>130</v>
      </c>
      <c r="Q1091">
        <v>2</v>
      </c>
      <c r="R1091" s="4">
        <v>45323</v>
      </c>
      <c r="S1091" s="3">
        <v>143700</v>
      </c>
      <c r="T1091" s="3">
        <v>1.05</v>
      </c>
    </row>
    <row r="1092" spans="1:20" x14ac:dyDescent="0.3">
      <c r="A1092" s="1">
        <v>45326</v>
      </c>
      <c r="B1092" s="2" t="s">
        <v>48</v>
      </c>
      <c r="C1092" s="2" t="s">
        <v>69</v>
      </c>
      <c r="D1092" s="2" t="s">
        <v>94</v>
      </c>
      <c r="E1092" s="2" t="s">
        <v>115</v>
      </c>
      <c r="F1092" s="2" t="s">
        <v>24</v>
      </c>
      <c r="G1092">
        <v>24</v>
      </c>
      <c r="H1092">
        <v>24</v>
      </c>
      <c r="I1092">
        <v>158</v>
      </c>
      <c r="J1092" s="3">
        <v>1211200</v>
      </c>
      <c r="K1092" s="3">
        <v>191369600</v>
      </c>
      <c r="L1092" s="2" t="s">
        <v>25</v>
      </c>
      <c r="M1092" s="2" t="s">
        <v>77</v>
      </c>
      <c r="N1092">
        <v>2024</v>
      </c>
      <c r="O1092" s="2" t="s">
        <v>27</v>
      </c>
      <c r="P1092" s="2" t="s">
        <v>130</v>
      </c>
      <c r="Q1092">
        <v>2</v>
      </c>
      <c r="R1092" s="4">
        <v>45323</v>
      </c>
      <c r="S1092" s="3">
        <v>1211200</v>
      </c>
      <c r="T1092" s="3">
        <v>19.14</v>
      </c>
    </row>
    <row r="1093" spans="1:20" x14ac:dyDescent="0.3">
      <c r="A1093" s="1">
        <v>45327</v>
      </c>
      <c r="B1093" s="2" t="s">
        <v>29</v>
      </c>
      <c r="C1093" s="2" t="s">
        <v>96</v>
      </c>
      <c r="D1093" s="2" t="s">
        <v>54</v>
      </c>
      <c r="E1093" s="2" t="s">
        <v>55</v>
      </c>
      <c r="F1093" s="2" t="s">
        <v>24</v>
      </c>
      <c r="G1093">
        <v>30</v>
      </c>
      <c r="H1093">
        <v>320</v>
      </c>
      <c r="I1093">
        <v>16</v>
      </c>
      <c r="J1093" s="3">
        <v>1410300</v>
      </c>
      <c r="K1093" s="3">
        <v>22564800</v>
      </c>
      <c r="L1093" s="2" t="s">
        <v>33</v>
      </c>
      <c r="M1093" s="2" t="s">
        <v>26</v>
      </c>
      <c r="N1093">
        <v>2024</v>
      </c>
      <c r="O1093" s="2" t="s">
        <v>27</v>
      </c>
      <c r="P1093" s="2" t="s">
        <v>130</v>
      </c>
      <c r="Q1093">
        <v>2</v>
      </c>
      <c r="R1093" s="4">
        <v>45323</v>
      </c>
      <c r="S1093" s="3">
        <v>1410300</v>
      </c>
      <c r="T1093" s="3">
        <v>2.2599999999999998</v>
      </c>
    </row>
    <row r="1094" spans="1:20" x14ac:dyDescent="0.3">
      <c r="A1094" s="1">
        <v>45327</v>
      </c>
      <c r="B1094" s="2" t="s">
        <v>90</v>
      </c>
      <c r="C1094" s="2" t="s">
        <v>99</v>
      </c>
      <c r="D1094" s="2" t="s">
        <v>54</v>
      </c>
      <c r="E1094" s="2" t="s">
        <v>55</v>
      </c>
      <c r="F1094" s="2" t="s">
        <v>39</v>
      </c>
      <c r="G1094">
        <v>30</v>
      </c>
      <c r="H1094">
        <v>320</v>
      </c>
      <c r="I1094">
        <v>43</v>
      </c>
      <c r="J1094" s="3">
        <v>1397600</v>
      </c>
      <c r="K1094" s="3">
        <v>60096800</v>
      </c>
      <c r="L1094" s="2" t="s">
        <v>33</v>
      </c>
      <c r="M1094" s="2" t="s">
        <v>34</v>
      </c>
      <c r="N1094">
        <v>2024</v>
      </c>
      <c r="O1094" s="2" t="s">
        <v>27</v>
      </c>
      <c r="P1094" s="2" t="s">
        <v>130</v>
      </c>
      <c r="Q1094">
        <v>2</v>
      </c>
      <c r="R1094" s="4">
        <v>45323</v>
      </c>
      <c r="S1094" s="3">
        <v>1397600</v>
      </c>
      <c r="T1094" s="3">
        <v>6.01</v>
      </c>
    </row>
    <row r="1095" spans="1:20" x14ac:dyDescent="0.3">
      <c r="A1095" s="1">
        <v>45327</v>
      </c>
      <c r="B1095" s="2" t="s">
        <v>48</v>
      </c>
      <c r="C1095" s="2" t="s">
        <v>73</v>
      </c>
      <c r="D1095" s="2" t="s">
        <v>88</v>
      </c>
      <c r="E1095" s="2" t="s">
        <v>111</v>
      </c>
      <c r="F1095" s="2" t="s">
        <v>24</v>
      </c>
      <c r="G1095">
        <v>60</v>
      </c>
      <c r="H1095">
        <v>480</v>
      </c>
      <c r="I1095">
        <v>66</v>
      </c>
      <c r="J1095" s="3">
        <v>3744500</v>
      </c>
      <c r="K1095" s="3">
        <v>247137000</v>
      </c>
      <c r="L1095" s="2" t="s">
        <v>25</v>
      </c>
      <c r="M1095" s="2" t="s">
        <v>77</v>
      </c>
      <c r="N1095">
        <v>2024</v>
      </c>
      <c r="O1095" s="2" t="s">
        <v>27</v>
      </c>
      <c r="P1095" s="2" t="s">
        <v>130</v>
      </c>
      <c r="Q1095">
        <v>2</v>
      </c>
      <c r="R1095" s="4">
        <v>45323</v>
      </c>
      <c r="S1095" s="3">
        <v>3744500</v>
      </c>
      <c r="T1095" s="3">
        <v>24.71</v>
      </c>
    </row>
    <row r="1096" spans="1:20" x14ac:dyDescent="0.3">
      <c r="A1096" s="1">
        <v>45328</v>
      </c>
      <c r="B1096" s="2" t="s">
        <v>29</v>
      </c>
      <c r="C1096" s="2" t="s">
        <v>104</v>
      </c>
      <c r="D1096" s="2" t="s">
        <v>50</v>
      </c>
      <c r="E1096" s="2" t="s">
        <v>51</v>
      </c>
      <c r="F1096" s="2" t="s">
        <v>39</v>
      </c>
      <c r="G1096">
        <v>77</v>
      </c>
      <c r="H1096">
        <v>528</v>
      </c>
      <c r="I1096">
        <v>13</v>
      </c>
      <c r="J1096" s="3">
        <v>4368000</v>
      </c>
      <c r="K1096" s="3">
        <v>56784000</v>
      </c>
      <c r="L1096" s="2" t="s">
        <v>33</v>
      </c>
      <c r="M1096" s="2" t="s">
        <v>97</v>
      </c>
      <c r="N1096">
        <v>2024</v>
      </c>
      <c r="O1096" s="2" t="s">
        <v>27</v>
      </c>
      <c r="P1096" s="2" t="s">
        <v>130</v>
      </c>
      <c r="Q1096">
        <v>2</v>
      </c>
      <c r="R1096" s="4">
        <v>45323</v>
      </c>
      <c r="S1096" s="3">
        <v>4368000</v>
      </c>
      <c r="T1096" s="3">
        <v>5.68</v>
      </c>
    </row>
    <row r="1097" spans="1:20" x14ac:dyDescent="0.3">
      <c r="A1097" s="1">
        <v>45328</v>
      </c>
      <c r="B1097" s="2" t="s">
        <v>106</v>
      </c>
      <c r="C1097" s="2" t="s">
        <v>119</v>
      </c>
      <c r="D1097" s="2" t="s">
        <v>37</v>
      </c>
      <c r="E1097" s="2" t="s">
        <v>38</v>
      </c>
      <c r="F1097" s="2" t="s">
        <v>24</v>
      </c>
      <c r="G1097">
        <v>66</v>
      </c>
      <c r="H1097">
        <v>423</v>
      </c>
      <c r="I1097">
        <v>35</v>
      </c>
      <c r="J1097" s="3">
        <v>9252300</v>
      </c>
      <c r="K1097" s="3">
        <v>323830500</v>
      </c>
      <c r="L1097" s="2" t="s">
        <v>25</v>
      </c>
      <c r="M1097" s="2" t="s">
        <v>77</v>
      </c>
      <c r="N1097">
        <v>2024</v>
      </c>
      <c r="O1097" s="2" t="s">
        <v>27</v>
      </c>
      <c r="P1097" s="2" t="s">
        <v>130</v>
      </c>
      <c r="Q1097">
        <v>2</v>
      </c>
      <c r="R1097" s="4">
        <v>45323</v>
      </c>
      <c r="S1097" s="3">
        <v>9252300</v>
      </c>
      <c r="T1097" s="3">
        <v>32.380000000000003</v>
      </c>
    </row>
    <row r="1098" spans="1:20" x14ac:dyDescent="0.3">
      <c r="A1098" s="1">
        <v>45328</v>
      </c>
      <c r="B1098" s="2" t="s">
        <v>48</v>
      </c>
      <c r="C1098" s="2" t="s">
        <v>73</v>
      </c>
      <c r="D1098" s="2" t="s">
        <v>37</v>
      </c>
      <c r="E1098" s="2" t="s">
        <v>38</v>
      </c>
      <c r="F1098" s="2" t="s">
        <v>39</v>
      </c>
      <c r="G1098">
        <v>66</v>
      </c>
      <c r="H1098">
        <v>423</v>
      </c>
      <c r="I1098">
        <v>61</v>
      </c>
      <c r="J1098" s="3">
        <v>7870000</v>
      </c>
      <c r="K1098" s="3">
        <v>480070000</v>
      </c>
      <c r="L1098" s="2" t="s">
        <v>33</v>
      </c>
      <c r="M1098" s="2" t="s">
        <v>97</v>
      </c>
      <c r="N1098">
        <v>2024</v>
      </c>
      <c r="O1098" s="2" t="s">
        <v>27</v>
      </c>
      <c r="P1098" s="2" t="s">
        <v>130</v>
      </c>
      <c r="Q1098">
        <v>2</v>
      </c>
      <c r="R1098" s="4">
        <v>45323</v>
      </c>
      <c r="S1098" s="3">
        <v>7870000</v>
      </c>
      <c r="T1098" s="3">
        <v>48.01</v>
      </c>
    </row>
    <row r="1099" spans="1:20" x14ac:dyDescent="0.3">
      <c r="A1099" s="1">
        <v>45328</v>
      </c>
      <c r="B1099" s="2" t="s">
        <v>84</v>
      </c>
      <c r="C1099" s="2" t="s">
        <v>126</v>
      </c>
      <c r="D1099" s="2" t="s">
        <v>67</v>
      </c>
      <c r="E1099" s="2" t="s">
        <v>68</v>
      </c>
      <c r="F1099" s="2" t="s">
        <v>24</v>
      </c>
      <c r="G1099">
        <v>66</v>
      </c>
      <c r="H1099">
        <v>440</v>
      </c>
      <c r="I1099">
        <v>26</v>
      </c>
      <c r="J1099" s="3">
        <v>6370300</v>
      </c>
      <c r="K1099" s="3">
        <v>165627800</v>
      </c>
      <c r="L1099" s="2" t="s">
        <v>33</v>
      </c>
      <c r="M1099" s="2" t="s">
        <v>26</v>
      </c>
      <c r="N1099">
        <v>2024</v>
      </c>
      <c r="O1099" s="2" t="s">
        <v>27</v>
      </c>
      <c r="P1099" s="2" t="s">
        <v>130</v>
      </c>
      <c r="Q1099">
        <v>2</v>
      </c>
      <c r="R1099" s="4">
        <v>45323</v>
      </c>
      <c r="S1099" s="3">
        <v>6370300</v>
      </c>
      <c r="T1099" s="3">
        <v>16.559999999999999</v>
      </c>
    </row>
    <row r="1100" spans="1:20" x14ac:dyDescent="0.3">
      <c r="A1100" s="1">
        <v>45329</v>
      </c>
      <c r="B1100" s="2" t="s">
        <v>40</v>
      </c>
      <c r="C1100" s="2" t="s">
        <v>105</v>
      </c>
      <c r="D1100" s="2" t="s">
        <v>37</v>
      </c>
      <c r="E1100" s="2" t="s">
        <v>38</v>
      </c>
      <c r="F1100" s="2" t="s">
        <v>24</v>
      </c>
      <c r="G1100">
        <v>66</v>
      </c>
      <c r="H1100">
        <v>423</v>
      </c>
      <c r="I1100">
        <v>17</v>
      </c>
      <c r="J1100" s="3">
        <v>8258000</v>
      </c>
      <c r="K1100" s="3">
        <v>140386000</v>
      </c>
      <c r="L1100" s="2" t="s">
        <v>33</v>
      </c>
      <c r="M1100" s="2" t="s">
        <v>97</v>
      </c>
      <c r="N1100">
        <v>2024</v>
      </c>
      <c r="O1100" s="2" t="s">
        <v>27</v>
      </c>
      <c r="P1100" s="2" t="s">
        <v>130</v>
      </c>
      <c r="Q1100">
        <v>2</v>
      </c>
      <c r="R1100" s="4">
        <v>45323</v>
      </c>
      <c r="S1100" s="3">
        <v>8258000</v>
      </c>
      <c r="T1100" s="3">
        <v>14.04</v>
      </c>
    </row>
    <row r="1101" spans="1:20" x14ac:dyDescent="0.3">
      <c r="A1101" s="1">
        <v>45330</v>
      </c>
      <c r="B1101" s="2" t="s">
        <v>108</v>
      </c>
      <c r="C1101" s="2" t="s">
        <v>133</v>
      </c>
      <c r="D1101" s="2" t="s">
        <v>82</v>
      </c>
      <c r="E1101" s="2" t="s">
        <v>83</v>
      </c>
      <c r="F1101" s="2" t="s">
        <v>138</v>
      </c>
      <c r="G1101">
        <v>40</v>
      </c>
      <c r="H1101">
        <v>39</v>
      </c>
      <c r="I1101">
        <v>100</v>
      </c>
      <c r="J1101" s="3">
        <v>2560700</v>
      </c>
      <c r="K1101" s="3">
        <v>256070000</v>
      </c>
      <c r="L1101" s="2" t="s">
        <v>33</v>
      </c>
      <c r="M1101" s="2" t="s">
        <v>77</v>
      </c>
      <c r="N1101">
        <v>2024</v>
      </c>
      <c r="O1101" s="2" t="s">
        <v>27</v>
      </c>
      <c r="P1101" s="2" t="s">
        <v>130</v>
      </c>
      <c r="Q1101">
        <v>2</v>
      </c>
      <c r="R1101" s="4">
        <v>45323</v>
      </c>
      <c r="S1101" s="3">
        <v>2560700</v>
      </c>
      <c r="T1101" s="3">
        <v>25.61</v>
      </c>
    </row>
    <row r="1102" spans="1:20" x14ac:dyDescent="0.3">
      <c r="A1102" s="1">
        <v>45330</v>
      </c>
      <c r="B1102" s="2" t="s">
        <v>20</v>
      </c>
      <c r="C1102" s="2" t="s">
        <v>125</v>
      </c>
      <c r="D1102" s="2" t="s">
        <v>54</v>
      </c>
      <c r="E1102" s="2" t="s">
        <v>55</v>
      </c>
      <c r="F1102" s="2" t="s">
        <v>24</v>
      </c>
      <c r="G1102">
        <v>30</v>
      </c>
      <c r="H1102">
        <v>320</v>
      </c>
      <c r="I1102">
        <v>11</v>
      </c>
      <c r="J1102" s="3">
        <v>1640400</v>
      </c>
      <c r="K1102" s="3">
        <v>18044400</v>
      </c>
      <c r="L1102" s="2" t="s">
        <v>33</v>
      </c>
      <c r="M1102" s="2" t="s">
        <v>26</v>
      </c>
      <c r="N1102">
        <v>2024</v>
      </c>
      <c r="O1102" s="2" t="s">
        <v>27</v>
      </c>
      <c r="P1102" s="2" t="s">
        <v>130</v>
      </c>
      <c r="Q1102">
        <v>2</v>
      </c>
      <c r="R1102" s="4">
        <v>45323</v>
      </c>
      <c r="S1102" s="3">
        <v>1640400</v>
      </c>
      <c r="T1102" s="3">
        <v>1.8</v>
      </c>
    </row>
    <row r="1103" spans="1:20" x14ac:dyDescent="0.3">
      <c r="A1103" s="1">
        <v>45331</v>
      </c>
      <c r="B1103" s="2" t="s">
        <v>106</v>
      </c>
      <c r="C1103" s="2" t="s">
        <v>119</v>
      </c>
      <c r="D1103" s="2" t="s">
        <v>31</v>
      </c>
      <c r="E1103" s="2" t="s">
        <v>32</v>
      </c>
      <c r="F1103" s="2" t="s">
        <v>24</v>
      </c>
      <c r="G1103">
        <v>4</v>
      </c>
      <c r="H1103">
        <v>195</v>
      </c>
      <c r="I1103">
        <v>168</v>
      </c>
      <c r="J1103" s="3">
        <v>152900</v>
      </c>
      <c r="K1103" s="3">
        <v>25687200</v>
      </c>
      <c r="L1103" s="2" t="s">
        <v>33</v>
      </c>
      <c r="M1103" s="2" t="s">
        <v>97</v>
      </c>
      <c r="N1103">
        <v>2024</v>
      </c>
      <c r="O1103" s="2" t="s">
        <v>27</v>
      </c>
      <c r="P1103" s="2" t="s">
        <v>130</v>
      </c>
      <c r="Q1103">
        <v>2</v>
      </c>
      <c r="R1103" s="4">
        <v>45323</v>
      </c>
      <c r="S1103" s="3">
        <v>152900</v>
      </c>
      <c r="T1103" s="3">
        <v>2.57</v>
      </c>
    </row>
    <row r="1104" spans="1:20" x14ac:dyDescent="0.3">
      <c r="A1104" s="1">
        <v>45331</v>
      </c>
      <c r="B1104" s="2" t="s">
        <v>35</v>
      </c>
      <c r="C1104" s="2" t="s">
        <v>132</v>
      </c>
      <c r="D1104" s="2" t="s">
        <v>102</v>
      </c>
      <c r="E1104" s="2" t="s">
        <v>103</v>
      </c>
      <c r="F1104" s="2" t="s">
        <v>24</v>
      </c>
      <c r="G1104">
        <v>5</v>
      </c>
      <c r="H1104">
        <v>150</v>
      </c>
      <c r="I1104">
        <v>67</v>
      </c>
      <c r="J1104" s="3">
        <v>169200</v>
      </c>
      <c r="K1104" s="3">
        <v>11336400</v>
      </c>
      <c r="L1104" s="2" t="s">
        <v>33</v>
      </c>
      <c r="M1104" s="2" t="s">
        <v>34</v>
      </c>
      <c r="N1104">
        <v>2024</v>
      </c>
      <c r="O1104" s="2" t="s">
        <v>27</v>
      </c>
      <c r="P1104" s="2" t="s">
        <v>130</v>
      </c>
      <c r="Q1104">
        <v>2</v>
      </c>
      <c r="R1104" s="4">
        <v>45323</v>
      </c>
      <c r="S1104" s="3">
        <v>169200</v>
      </c>
      <c r="T1104" s="3">
        <v>1.1299999999999999</v>
      </c>
    </row>
    <row r="1105" spans="1:20" x14ac:dyDescent="0.3">
      <c r="A1105" s="1">
        <v>45332</v>
      </c>
      <c r="B1105" s="2" t="s">
        <v>59</v>
      </c>
      <c r="C1105" s="2" t="s">
        <v>129</v>
      </c>
      <c r="D1105" s="2" t="s">
        <v>82</v>
      </c>
      <c r="E1105" s="2" t="s">
        <v>141</v>
      </c>
      <c r="F1105" s="2" t="s">
        <v>24</v>
      </c>
      <c r="G1105">
        <v>59</v>
      </c>
      <c r="H1105">
        <v>55</v>
      </c>
      <c r="I1105">
        <v>171</v>
      </c>
      <c r="J1105" s="3">
        <v>2436400</v>
      </c>
      <c r="K1105" s="3">
        <v>416624400</v>
      </c>
      <c r="L1105" s="2" t="s">
        <v>33</v>
      </c>
      <c r="M1105" s="2" t="s">
        <v>97</v>
      </c>
      <c r="N1105">
        <v>2024</v>
      </c>
      <c r="O1105" s="2" t="s">
        <v>27</v>
      </c>
      <c r="P1105" s="2" t="s">
        <v>130</v>
      </c>
      <c r="Q1105">
        <v>2</v>
      </c>
      <c r="R1105" s="4">
        <v>45323</v>
      </c>
      <c r="S1105" s="3">
        <v>2436400</v>
      </c>
      <c r="T1105" s="3">
        <v>41.66</v>
      </c>
    </row>
    <row r="1106" spans="1:20" x14ac:dyDescent="0.3">
      <c r="A1106" s="1">
        <v>45332</v>
      </c>
      <c r="B1106" s="2" t="s">
        <v>46</v>
      </c>
      <c r="C1106" s="2" t="s">
        <v>56</v>
      </c>
      <c r="D1106" s="2" t="s">
        <v>42</v>
      </c>
      <c r="E1106" s="2" t="s">
        <v>43</v>
      </c>
      <c r="F1106" s="2" t="s">
        <v>24</v>
      </c>
      <c r="G1106">
        <v>3</v>
      </c>
      <c r="H1106">
        <v>135</v>
      </c>
      <c r="I1106">
        <v>73</v>
      </c>
      <c r="J1106" s="3">
        <v>139400</v>
      </c>
      <c r="K1106" s="3">
        <v>10176200</v>
      </c>
      <c r="L1106" s="2" t="s">
        <v>33</v>
      </c>
      <c r="M1106" s="2" t="s">
        <v>34</v>
      </c>
      <c r="N1106">
        <v>2024</v>
      </c>
      <c r="O1106" s="2" t="s">
        <v>27</v>
      </c>
      <c r="P1106" s="2" t="s">
        <v>130</v>
      </c>
      <c r="Q1106">
        <v>2</v>
      </c>
      <c r="R1106" s="4">
        <v>45323</v>
      </c>
      <c r="S1106" s="3">
        <v>139400</v>
      </c>
      <c r="T1106" s="3">
        <v>1.02</v>
      </c>
    </row>
    <row r="1107" spans="1:20" x14ac:dyDescent="0.3">
      <c r="A1107" s="1">
        <v>45333</v>
      </c>
      <c r="B1107" s="2" t="s">
        <v>29</v>
      </c>
      <c r="C1107" s="2" t="s">
        <v>65</v>
      </c>
      <c r="D1107" s="2" t="s">
        <v>70</v>
      </c>
      <c r="E1107" s="2" t="s">
        <v>74</v>
      </c>
      <c r="F1107" s="2" t="s">
        <v>24</v>
      </c>
      <c r="G1107">
        <v>25</v>
      </c>
      <c r="H1107">
        <v>32</v>
      </c>
      <c r="I1107">
        <v>151</v>
      </c>
      <c r="J1107" s="3">
        <v>1113900</v>
      </c>
      <c r="K1107" s="3">
        <v>168198900</v>
      </c>
      <c r="L1107" s="2" t="s">
        <v>25</v>
      </c>
      <c r="M1107" s="2" t="s">
        <v>77</v>
      </c>
      <c r="N1107">
        <v>2024</v>
      </c>
      <c r="O1107" s="2" t="s">
        <v>27</v>
      </c>
      <c r="P1107" s="2" t="s">
        <v>130</v>
      </c>
      <c r="Q1107">
        <v>2</v>
      </c>
      <c r="R1107" s="4">
        <v>45323</v>
      </c>
      <c r="S1107" s="3">
        <v>1113900</v>
      </c>
      <c r="T1107" s="3">
        <v>16.82</v>
      </c>
    </row>
    <row r="1108" spans="1:20" x14ac:dyDescent="0.3">
      <c r="A1108" s="1">
        <v>45333</v>
      </c>
      <c r="B1108" s="2" t="s">
        <v>46</v>
      </c>
      <c r="C1108" s="2" t="s">
        <v>137</v>
      </c>
      <c r="D1108" s="2" t="s">
        <v>67</v>
      </c>
      <c r="E1108" s="2" t="s">
        <v>68</v>
      </c>
      <c r="F1108" s="2" t="s">
        <v>72</v>
      </c>
      <c r="G1108">
        <v>66</v>
      </c>
      <c r="H1108">
        <v>440</v>
      </c>
      <c r="I1108">
        <v>55</v>
      </c>
      <c r="J1108" s="3">
        <v>6860500</v>
      </c>
      <c r="K1108" s="3">
        <v>377327500</v>
      </c>
      <c r="L1108" s="2" t="s">
        <v>25</v>
      </c>
      <c r="M1108" s="2" t="s">
        <v>77</v>
      </c>
      <c r="N1108">
        <v>2024</v>
      </c>
      <c r="O1108" s="2" t="s">
        <v>27</v>
      </c>
      <c r="P1108" s="2" t="s">
        <v>130</v>
      </c>
      <c r="Q1108">
        <v>2</v>
      </c>
      <c r="R1108" s="4">
        <v>45323</v>
      </c>
      <c r="S1108" s="3">
        <v>6860500</v>
      </c>
      <c r="T1108" s="3">
        <v>37.729999999999997</v>
      </c>
    </row>
    <row r="1109" spans="1:20" x14ac:dyDescent="0.3">
      <c r="A1109" s="1">
        <v>45333</v>
      </c>
      <c r="B1109" s="2" t="s">
        <v>90</v>
      </c>
      <c r="C1109" s="2" t="s">
        <v>114</v>
      </c>
      <c r="D1109" s="2" t="s">
        <v>82</v>
      </c>
      <c r="E1109" s="2" t="s">
        <v>83</v>
      </c>
      <c r="F1109" s="2" t="s">
        <v>24</v>
      </c>
      <c r="G1109">
        <v>40</v>
      </c>
      <c r="H1109">
        <v>39</v>
      </c>
      <c r="I1109">
        <v>77</v>
      </c>
      <c r="J1109" s="3">
        <v>1890300</v>
      </c>
      <c r="K1109" s="3">
        <v>145553100</v>
      </c>
      <c r="L1109" s="2" t="s">
        <v>33</v>
      </c>
      <c r="M1109" s="2" t="s">
        <v>26</v>
      </c>
      <c r="N1109">
        <v>2024</v>
      </c>
      <c r="O1109" s="2" t="s">
        <v>27</v>
      </c>
      <c r="P1109" s="2" t="s">
        <v>130</v>
      </c>
      <c r="Q1109">
        <v>2</v>
      </c>
      <c r="R1109" s="4">
        <v>45323</v>
      </c>
      <c r="S1109" s="3">
        <v>1890300</v>
      </c>
      <c r="T1109" s="3">
        <v>14.56</v>
      </c>
    </row>
    <row r="1110" spans="1:20" x14ac:dyDescent="0.3">
      <c r="A1110" s="1">
        <v>45333</v>
      </c>
      <c r="B1110" s="2" t="s">
        <v>46</v>
      </c>
      <c r="C1110" s="2" t="s">
        <v>110</v>
      </c>
      <c r="D1110" s="2" t="s">
        <v>70</v>
      </c>
      <c r="E1110" s="2" t="s">
        <v>74</v>
      </c>
      <c r="F1110" s="2" t="s">
        <v>24</v>
      </c>
      <c r="G1110">
        <v>25</v>
      </c>
      <c r="H1110">
        <v>32</v>
      </c>
      <c r="I1110">
        <v>165</v>
      </c>
      <c r="J1110" s="3">
        <v>1004800</v>
      </c>
      <c r="K1110" s="3">
        <v>165792000</v>
      </c>
      <c r="L1110" s="2" t="s">
        <v>33</v>
      </c>
      <c r="M1110" s="2" t="s">
        <v>26</v>
      </c>
      <c r="N1110">
        <v>2024</v>
      </c>
      <c r="O1110" s="2" t="s">
        <v>27</v>
      </c>
      <c r="P1110" s="2" t="s">
        <v>130</v>
      </c>
      <c r="Q1110">
        <v>2</v>
      </c>
      <c r="R1110" s="4">
        <v>45323</v>
      </c>
      <c r="S1110" s="3">
        <v>1004800</v>
      </c>
      <c r="T1110" s="3">
        <v>16.579999999999998</v>
      </c>
    </row>
    <row r="1111" spans="1:20" x14ac:dyDescent="0.3">
      <c r="A1111" s="1">
        <v>45334</v>
      </c>
      <c r="B1111" s="2" t="s">
        <v>84</v>
      </c>
      <c r="C1111" s="2" t="s">
        <v>93</v>
      </c>
      <c r="D1111" s="2" t="s">
        <v>70</v>
      </c>
      <c r="E1111" s="2" t="s">
        <v>71</v>
      </c>
      <c r="F1111" s="2" t="s">
        <v>24</v>
      </c>
      <c r="G1111">
        <v>50</v>
      </c>
      <c r="H1111">
        <v>46</v>
      </c>
      <c r="I1111">
        <v>38</v>
      </c>
      <c r="J1111" s="3">
        <v>2644400</v>
      </c>
      <c r="K1111" s="3">
        <v>100487200</v>
      </c>
      <c r="L1111" s="2" t="s">
        <v>25</v>
      </c>
      <c r="M1111" s="2" t="s">
        <v>77</v>
      </c>
      <c r="N1111">
        <v>2024</v>
      </c>
      <c r="O1111" s="2" t="s">
        <v>27</v>
      </c>
      <c r="P1111" s="2" t="s">
        <v>130</v>
      </c>
      <c r="Q1111">
        <v>2</v>
      </c>
      <c r="R1111" s="4">
        <v>45323</v>
      </c>
      <c r="S1111" s="3">
        <v>2644400</v>
      </c>
      <c r="T1111" s="3">
        <v>10.050000000000001</v>
      </c>
    </row>
    <row r="1112" spans="1:20" x14ac:dyDescent="0.3">
      <c r="A1112" s="1">
        <v>45334</v>
      </c>
      <c r="B1112" s="2" t="s">
        <v>75</v>
      </c>
      <c r="C1112" s="2" t="s">
        <v>76</v>
      </c>
      <c r="D1112" s="2" t="s">
        <v>70</v>
      </c>
      <c r="E1112" s="2" t="s">
        <v>71</v>
      </c>
      <c r="F1112" s="2" t="s">
        <v>24</v>
      </c>
      <c r="G1112">
        <v>50</v>
      </c>
      <c r="H1112">
        <v>46</v>
      </c>
      <c r="I1112">
        <v>30</v>
      </c>
      <c r="J1112" s="3">
        <v>2217800</v>
      </c>
      <c r="K1112" s="3">
        <v>66534000</v>
      </c>
      <c r="L1112" s="2" t="s">
        <v>33</v>
      </c>
      <c r="M1112" s="2" t="s">
        <v>26</v>
      </c>
      <c r="N1112">
        <v>2024</v>
      </c>
      <c r="O1112" s="2" t="s">
        <v>27</v>
      </c>
      <c r="P1112" s="2" t="s">
        <v>130</v>
      </c>
      <c r="Q1112">
        <v>2</v>
      </c>
      <c r="R1112" s="4">
        <v>45323</v>
      </c>
      <c r="S1112" s="3">
        <v>2217800</v>
      </c>
      <c r="T1112" s="3">
        <v>6.65</v>
      </c>
    </row>
    <row r="1113" spans="1:20" x14ac:dyDescent="0.3">
      <c r="A1113" s="1">
        <v>45334</v>
      </c>
      <c r="B1113" s="2" t="s">
        <v>106</v>
      </c>
      <c r="C1113" s="2" t="s">
        <v>119</v>
      </c>
      <c r="D1113" s="2" t="s">
        <v>31</v>
      </c>
      <c r="E1113" s="2" t="s">
        <v>32</v>
      </c>
      <c r="F1113" s="2" t="s">
        <v>24</v>
      </c>
      <c r="G1113">
        <v>4</v>
      </c>
      <c r="H1113">
        <v>195</v>
      </c>
      <c r="I1113">
        <v>29</v>
      </c>
      <c r="J1113" s="3">
        <v>140100</v>
      </c>
      <c r="K1113" s="3">
        <v>4062900</v>
      </c>
      <c r="L1113" s="2" t="s">
        <v>33</v>
      </c>
      <c r="M1113" s="2" t="s">
        <v>77</v>
      </c>
      <c r="N1113">
        <v>2024</v>
      </c>
      <c r="O1113" s="2" t="s">
        <v>27</v>
      </c>
      <c r="P1113" s="2" t="s">
        <v>130</v>
      </c>
      <c r="Q1113">
        <v>2</v>
      </c>
      <c r="R1113" s="4">
        <v>45323</v>
      </c>
      <c r="S1113" s="3">
        <v>140100</v>
      </c>
      <c r="T1113" s="3">
        <v>0.41</v>
      </c>
    </row>
    <row r="1114" spans="1:20" x14ac:dyDescent="0.3">
      <c r="A1114" s="1">
        <v>45335</v>
      </c>
      <c r="B1114" s="2" t="s">
        <v>106</v>
      </c>
      <c r="C1114" s="2" t="s">
        <v>119</v>
      </c>
      <c r="D1114" s="2" t="s">
        <v>70</v>
      </c>
      <c r="E1114" s="2" t="s">
        <v>71</v>
      </c>
      <c r="F1114" s="2" t="s">
        <v>24</v>
      </c>
      <c r="G1114">
        <v>50</v>
      </c>
      <c r="H1114">
        <v>46</v>
      </c>
      <c r="I1114">
        <v>168</v>
      </c>
      <c r="J1114" s="3">
        <v>2138400</v>
      </c>
      <c r="K1114" s="3">
        <v>359251200</v>
      </c>
      <c r="L1114" s="2" t="s">
        <v>33</v>
      </c>
      <c r="M1114" s="2" t="s">
        <v>77</v>
      </c>
      <c r="N1114">
        <v>2024</v>
      </c>
      <c r="O1114" s="2" t="s">
        <v>27</v>
      </c>
      <c r="P1114" s="2" t="s">
        <v>130</v>
      </c>
      <c r="Q1114">
        <v>2</v>
      </c>
      <c r="R1114" s="4">
        <v>45323</v>
      </c>
      <c r="S1114" s="3">
        <v>2138400</v>
      </c>
      <c r="T1114" s="3">
        <v>35.93</v>
      </c>
    </row>
    <row r="1115" spans="1:20" x14ac:dyDescent="0.3">
      <c r="A1115" s="1">
        <v>45336</v>
      </c>
      <c r="B1115" s="2" t="s">
        <v>29</v>
      </c>
      <c r="C1115" s="2" t="s">
        <v>104</v>
      </c>
      <c r="D1115" s="2" t="s">
        <v>54</v>
      </c>
      <c r="E1115" s="2" t="s">
        <v>55</v>
      </c>
      <c r="F1115" s="2" t="s">
        <v>39</v>
      </c>
      <c r="G1115">
        <v>30</v>
      </c>
      <c r="H1115">
        <v>320</v>
      </c>
      <c r="I1115">
        <v>28</v>
      </c>
      <c r="J1115" s="3">
        <v>1676800</v>
      </c>
      <c r="K1115" s="3">
        <v>46950400</v>
      </c>
      <c r="L1115" s="2" t="s">
        <v>25</v>
      </c>
      <c r="M1115" s="2" t="s">
        <v>77</v>
      </c>
      <c r="N1115">
        <v>2024</v>
      </c>
      <c r="O1115" s="2" t="s">
        <v>27</v>
      </c>
      <c r="P1115" s="2" t="s">
        <v>130</v>
      </c>
      <c r="Q1115">
        <v>2</v>
      </c>
      <c r="R1115" s="4">
        <v>45323</v>
      </c>
      <c r="S1115" s="3">
        <v>1676800</v>
      </c>
      <c r="T1115" s="3">
        <v>4.7</v>
      </c>
    </row>
    <row r="1116" spans="1:20" x14ac:dyDescent="0.3">
      <c r="A1116" s="1">
        <v>45336</v>
      </c>
      <c r="B1116" s="2" t="s">
        <v>29</v>
      </c>
      <c r="C1116" s="2" t="s">
        <v>65</v>
      </c>
      <c r="D1116" s="2" t="s">
        <v>22</v>
      </c>
      <c r="E1116" s="2" t="s">
        <v>23</v>
      </c>
      <c r="F1116" s="2" t="s">
        <v>24</v>
      </c>
      <c r="G1116">
        <v>82</v>
      </c>
      <c r="H1116">
        <v>520</v>
      </c>
      <c r="I1116">
        <v>41</v>
      </c>
      <c r="J1116" s="3">
        <v>5807200</v>
      </c>
      <c r="K1116" s="3">
        <v>238095200</v>
      </c>
      <c r="L1116" s="2" t="s">
        <v>33</v>
      </c>
      <c r="M1116" s="2" t="s">
        <v>77</v>
      </c>
      <c r="N1116">
        <v>2024</v>
      </c>
      <c r="O1116" s="2" t="s">
        <v>27</v>
      </c>
      <c r="P1116" s="2" t="s">
        <v>130</v>
      </c>
      <c r="Q1116">
        <v>2</v>
      </c>
      <c r="R1116" s="4">
        <v>45323</v>
      </c>
      <c r="S1116" s="3">
        <v>5807200</v>
      </c>
      <c r="T1116" s="3">
        <v>23.81</v>
      </c>
    </row>
    <row r="1117" spans="1:20" x14ac:dyDescent="0.3">
      <c r="A1117" s="1">
        <v>45337</v>
      </c>
      <c r="B1117" s="2" t="s">
        <v>108</v>
      </c>
      <c r="C1117" s="2" t="s">
        <v>133</v>
      </c>
      <c r="D1117" s="2" t="s">
        <v>22</v>
      </c>
      <c r="E1117" s="2" t="s">
        <v>23</v>
      </c>
      <c r="F1117" s="2" t="s">
        <v>39</v>
      </c>
      <c r="G1117">
        <v>82</v>
      </c>
      <c r="H1117">
        <v>520</v>
      </c>
      <c r="I1117">
        <v>79</v>
      </c>
      <c r="J1117" s="3">
        <v>7388100</v>
      </c>
      <c r="K1117" s="3">
        <v>583659900</v>
      </c>
      <c r="L1117" s="2" t="s">
        <v>33</v>
      </c>
      <c r="M1117" s="2" t="s">
        <v>77</v>
      </c>
      <c r="N1117">
        <v>2024</v>
      </c>
      <c r="O1117" s="2" t="s">
        <v>27</v>
      </c>
      <c r="P1117" s="2" t="s">
        <v>130</v>
      </c>
      <c r="Q1117">
        <v>2</v>
      </c>
      <c r="R1117" s="4">
        <v>45323</v>
      </c>
      <c r="S1117" s="3">
        <v>7388100</v>
      </c>
      <c r="T1117" s="3">
        <v>58.37</v>
      </c>
    </row>
    <row r="1118" spans="1:20" x14ac:dyDescent="0.3">
      <c r="A1118" s="1">
        <v>45337</v>
      </c>
      <c r="B1118" s="2" t="s">
        <v>52</v>
      </c>
      <c r="C1118" s="2" t="s">
        <v>53</v>
      </c>
      <c r="D1118" s="2" t="s">
        <v>42</v>
      </c>
      <c r="E1118" s="2" t="s">
        <v>43</v>
      </c>
      <c r="F1118" s="2" t="s">
        <v>24</v>
      </c>
      <c r="G1118">
        <v>3</v>
      </c>
      <c r="H1118">
        <v>135</v>
      </c>
      <c r="I1118">
        <v>134</v>
      </c>
      <c r="J1118" s="3">
        <v>131100</v>
      </c>
      <c r="K1118" s="3">
        <v>17567400</v>
      </c>
      <c r="L1118" s="2" t="s">
        <v>25</v>
      </c>
      <c r="M1118" s="2" t="s">
        <v>26</v>
      </c>
      <c r="N1118">
        <v>2024</v>
      </c>
      <c r="O1118" s="2" t="s">
        <v>27</v>
      </c>
      <c r="P1118" s="2" t="s">
        <v>130</v>
      </c>
      <c r="Q1118">
        <v>2</v>
      </c>
      <c r="R1118" s="4">
        <v>45323</v>
      </c>
      <c r="S1118" s="3">
        <v>131100</v>
      </c>
      <c r="T1118" s="3">
        <v>1.76</v>
      </c>
    </row>
    <row r="1119" spans="1:20" x14ac:dyDescent="0.3">
      <c r="A1119" s="1">
        <v>45337</v>
      </c>
      <c r="B1119" s="2" t="s">
        <v>108</v>
      </c>
      <c r="C1119" s="2" t="s">
        <v>133</v>
      </c>
      <c r="D1119" s="2" t="s">
        <v>79</v>
      </c>
      <c r="E1119" s="2" t="s">
        <v>80</v>
      </c>
      <c r="F1119" s="2" t="s">
        <v>24</v>
      </c>
      <c r="G1119">
        <v>69</v>
      </c>
      <c r="H1119">
        <v>418</v>
      </c>
      <c r="I1119">
        <v>35</v>
      </c>
      <c r="J1119" s="3">
        <v>5802300</v>
      </c>
      <c r="K1119" s="3">
        <v>203080500</v>
      </c>
      <c r="L1119" s="2" t="s">
        <v>33</v>
      </c>
      <c r="M1119" s="2" t="s">
        <v>97</v>
      </c>
      <c r="N1119">
        <v>2024</v>
      </c>
      <c r="O1119" s="2" t="s">
        <v>27</v>
      </c>
      <c r="P1119" s="2" t="s">
        <v>130</v>
      </c>
      <c r="Q1119">
        <v>2</v>
      </c>
      <c r="R1119" s="4">
        <v>45323</v>
      </c>
      <c r="S1119" s="3">
        <v>5802300</v>
      </c>
      <c r="T1119" s="3">
        <v>20.309999999999999</v>
      </c>
    </row>
    <row r="1120" spans="1:20" x14ac:dyDescent="0.3">
      <c r="A1120" s="1">
        <v>45337</v>
      </c>
      <c r="B1120" s="2" t="s">
        <v>90</v>
      </c>
      <c r="C1120" s="2" t="s">
        <v>114</v>
      </c>
      <c r="D1120" s="2" t="s">
        <v>82</v>
      </c>
      <c r="E1120" s="2" t="s">
        <v>141</v>
      </c>
      <c r="F1120" s="2" t="s">
        <v>39</v>
      </c>
      <c r="G1120">
        <v>59</v>
      </c>
      <c r="H1120">
        <v>55</v>
      </c>
      <c r="I1120">
        <v>52</v>
      </c>
      <c r="J1120" s="3">
        <v>2688500</v>
      </c>
      <c r="K1120" s="3">
        <v>139802000</v>
      </c>
      <c r="L1120" s="2" t="s">
        <v>33</v>
      </c>
      <c r="M1120" s="2" t="s">
        <v>34</v>
      </c>
      <c r="N1120">
        <v>2024</v>
      </c>
      <c r="O1120" s="2" t="s">
        <v>27</v>
      </c>
      <c r="P1120" s="2" t="s">
        <v>130</v>
      </c>
      <c r="Q1120">
        <v>2</v>
      </c>
      <c r="R1120" s="4">
        <v>45323</v>
      </c>
      <c r="S1120" s="3">
        <v>2688500</v>
      </c>
      <c r="T1120" s="3">
        <v>13.98</v>
      </c>
    </row>
    <row r="1121" spans="1:20" x14ac:dyDescent="0.3">
      <c r="A1121" s="1">
        <v>45338</v>
      </c>
      <c r="B1121" s="2" t="s">
        <v>84</v>
      </c>
      <c r="C1121" s="2" t="s">
        <v>85</v>
      </c>
      <c r="D1121" s="2" t="s">
        <v>94</v>
      </c>
      <c r="E1121" s="2" t="s">
        <v>95</v>
      </c>
      <c r="F1121" s="2" t="s">
        <v>24</v>
      </c>
      <c r="G1121">
        <v>40</v>
      </c>
      <c r="H1121">
        <v>30</v>
      </c>
      <c r="I1121">
        <v>152</v>
      </c>
      <c r="J1121" s="3">
        <v>2323400</v>
      </c>
      <c r="K1121" s="3">
        <v>353156800</v>
      </c>
      <c r="L1121" s="2" t="s">
        <v>25</v>
      </c>
      <c r="M1121" s="2" t="s">
        <v>26</v>
      </c>
      <c r="N1121">
        <v>2024</v>
      </c>
      <c r="O1121" s="2" t="s">
        <v>27</v>
      </c>
      <c r="P1121" s="2" t="s">
        <v>130</v>
      </c>
      <c r="Q1121">
        <v>2</v>
      </c>
      <c r="R1121" s="4">
        <v>45323</v>
      </c>
      <c r="S1121" s="3">
        <v>2323400</v>
      </c>
      <c r="T1121" s="3">
        <v>35.32</v>
      </c>
    </row>
    <row r="1122" spans="1:20" x14ac:dyDescent="0.3">
      <c r="A1122" s="1">
        <v>45338</v>
      </c>
      <c r="B1122" s="2" t="s">
        <v>90</v>
      </c>
      <c r="C1122" s="2" t="s">
        <v>114</v>
      </c>
      <c r="D1122" s="2" t="s">
        <v>79</v>
      </c>
      <c r="E1122" s="2" t="s">
        <v>80</v>
      </c>
      <c r="F1122" s="2" t="s">
        <v>24</v>
      </c>
      <c r="G1122">
        <v>69</v>
      </c>
      <c r="H1122">
        <v>418</v>
      </c>
      <c r="I1122">
        <v>45</v>
      </c>
      <c r="J1122" s="3">
        <v>6138000</v>
      </c>
      <c r="K1122" s="3">
        <v>276210000</v>
      </c>
      <c r="L1122" s="2" t="s">
        <v>92</v>
      </c>
      <c r="M1122" s="2" t="s">
        <v>77</v>
      </c>
      <c r="N1122">
        <v>2024</v>
      </c>
      <c r="O1122" s="2" t="s">
        <v>27</v>
      </c>
      <c r="P1122" s="2" t="s">
        <v>130</v>
      </c>
      <c r="Q1122">
        <v>2</v>
      </c>
      <c r="R1122" s="4">
        <v>45323</v>
      </c>
      <c r="S1122" s="3">
        <v>6138000</v>
      </c>
      <c r="T1122" s="3">
        <v>27.62</v>
      </c>
    </row>
    <row r="1123" spans="1:20" x14ac:dyDescent="0.3">
      <c r="A1123" s="1">
        <v>45339</v>
      </c>
      <c r="B1123" s="2" t="s">
        <v>29</v>
      </c>
      <c r="C1123" s="2" t="s">
        <v>65</v>
      </c>
      <c r="D1123" s="2" t="s">
        <v>70</v>
      </c>
      <c r="E1123" s="2" t="s">
        <v>71</v>
      </c>
      <c r="F1123" s="2" t="s">
        <v>24</v>
      </c>
      <c r="G1123">
        <v>50</v>
      </c>
      <c r="H1123">
        <v>46</v>
      </c>
      <c r="I1123">
        <v>140</v>
      </c>
      <c r="J1123" s="3">
        <v>2706000</v>
      </c>
      <c r="K1123" s="3">
        <v>378840000</v>
      </c>
      <c r="L1123" s="2" t="s">
        <v>33</v>
      </c>
      <c r="M1123" s="2" t="s">
        <v>26</v>
      </c>
      <c r="N1123">
        <v>2024</v>
      </c>
      <c r="O1123" s="2" t="s">
        <v>27</v>
      </c>
      <c r="P1123" s="2" t="s">
        <v>130</v>
      </c>
      <c r="Q1123">
        <v>2</v>
      </c>
      <c r="R1123" s="4">
        <v>45323</v>
      </c>
      <c r="S1123" s="3">
        <v>2706000</v>
      </c>
      <c r="T1123" s="3">
        <v>37.880000000000003</v>
      </c>
    </row>
    <row r="1124" spans="1:20" x14ac:dyDescent="0.3">
      <c r="A1124" s="1">
        <v>45339</v>
      </c>
      <c r="B1124" s="2" t="s">
        <v>29</v>
      </c>
      <c r="C1124" s="2" t="s">
        <v>104</v>
      </c>
      <c r="D1124" s="2" t="s">
        <v>82</v>
      </c>
      <c r="E1124" s="2" t="s">
        <v>141</v>
      </c>
      <c r="F1124" s="2" t="s">
        <v>39</v>
      </c>
      <c r="G1124">
        <v>59</v>
      </c>
      <c r="H1124">
        <v>55</v>
      </c>
      <c r="I1124">
        <v>62</v>
      </c>
      <c r="J1124" s="3">
        <v>2604200</v>
      </c>
      <c r="K1124" s="3">
        <v>161460400</v>
      </c>
      <c r="L1124" s="2" t="s">
        <v>92</v>
      </c>
      <c r="M1124" s="2" t="s">
        <v>77</v>
      </c>
      <c r="N1124">
        <v>2024</v>
      </c>
      <c r="O1124" s="2" t="s">
        <v>27</v>
      </c>
      <c r="P1124" s="2" t="s">
        <v>130</v>
      </c>
      <c r="Q1124">
        <v>2</v>
      </c>
      <c r="R1124" s="4">
        <v>45323</v>
      </c>
      <c r="S1124" s="3">
        <v>2604200</v>
      </c>
      <c r="T1124" s="3">
        <v>16.149999999999999</v>
      </c>
    </row>
    <row r="1125" spans="1:20" x14ac:dyDescent="0.3">
      <c r="A1125" s="1">
        <v>45339</v>
      </c>
      <c r="B1125" s="2" t="s">
        <v>106</v>
      </c>
      <c r="C1125" s="2" t="s">
        <v>107</v>
      </c>
      <c r="D1125" s="2" t="s">
        <v>82</v>
      </c>
      <c r="E1125" s="2" t="s">
        <v>83</v>
      </c>
      <c r="F1125" s="2" t="s">
        <v>39</v>
      </c>
      <c r="G1125">
        <v>40</v>
      </c>
      <c r="H1125">
        <v>39</v>
      </c>
      <c r="I1125">
        <v>46</v>
      </c>
      <c r="J1125" s="3">
        <v>2544400</v>
      </c>
      <c r="K1125" s="3">
        <v>117042400</v>
      </c>
      <c r="L1125" s="2" t="s">
        <v>33</v>
      </c>
      <c r="M1125" s="2" t="s">
        <v>26</v>
      </c>
      <c r="N1125">
        <v>2024</v>
      </c>
      <c r="O1125" s="2" t="s">
        <v>27</v>
      </c>
      <c r="P1125" s="2" t="s">
        <v>130</v>
      </c>
      <c r="Q1125">
        <v>2</v>
      </c>
      <c r="R1125" s="4">
        <v>45323</v>
      </c>
      <c r="S1125" s="3">
        <v>2544400</v>
      </c>
      <c r="T1125" s="3">
        <v>11.7</v>
      </c>
    </row>
    <row r="1126" spans="1:20" x14ac:dyDescent="0.3">
      <c r="A1126" s="1">
        <v>45339</v>
      </c>
      <c r="B1126" s="2" t="s">
        <v>84</v>
      </c>
      <c r="C1126" s="2" t="s">
        <v>113</v>
      </c>
      <c r="D1126" s="2" t="s">
        <v>94</v>
      </c>
      <c r="E1126" s="2" t="s">
        <v>95</v>
      </c>
      <c r="F1126" s="2" t="s">
        <v>24</v>
      </c>
      <c r="G1126">
        <v>40</v>
      </c>
      <c r="H1126">
        <v>30</v>
      </c>
      <c r="I1126">
        <v>163</v>
      </c>
      <c r="J1126" s="3">
        <v>2124500</v>
      </c>
      <c r="K1126" s="3">
        <v>346293500</v>
      </c>
      <c r="L1126" s="2" t="s">
        <v>33</v>
      </c>
      <c r="M1126" s="2" t="s">
        <v>77</v>
      </c>
      <c r="N1126">
        <v>2024</v>
      </c>
      <c r="O1126" s="2" t="s">
        <v>27</v>
      </c>
      <c r="P1126" s="2" t="s">
        <v>130</v>
      </c>
      <c r="Q1126">
        <v>2</v>
      </c>
      <c r="R1126" s="4">
        <v>45323</v>
      </c>
      <c r="S1126" s="3">
        <v>2124500</v>
      </c>
      <c r="T1126" s="3">
        <v>34.630000000000003</v>
      </c>
    </row>
    <row r="1127" spans="1:20" x14ac:dyDescent="0.3">
      <c r="A1127" s="1">
        <v>45340</v>
      </c>
      <c r="B1127" s="2" t="s">
        <v>29</v>
      </c>
      <c r="C1127" s="2" t="s">
        <v>65</v>
      </c>
      <c r="D1127" s="2" t="s">
        <v>31</v>
      </c>
      <c r="E1127" s="2" t="s">
        <v>32</v>
      </c>
      <c r="F1127" s="2" t="s">
        <v>24</v>
      </c>
      <c r="G1127">
        <v>4</v>
      </c>
      <c r="H1127">
        <v>195</v>
      </c>
      <c r="I1127">
        <v>60</v>
      </c>
      <c r="J1127" s="3">
        <v>154700</v>
      </c>
      <c r="K1127" s="3">
        <v>9282000</v>
      </c>
      <c r="L1127" s="2" t="s">
        <v>33</v>
      </c>
      <c r="M1127" s="2" t="s">
        <v>77</v>
      </c>
      <c r="N1127">
        <v>2024</v>
      </c>
      <c r="O1127" s="2" t="s">
        <v>27</v>
      </c>
      <c r="P1127" s="2" t="s">
        <v>130</v>
      </c>
      <c r="Q1127">
        <v>2</v>
      </c>
      <c r="R1127" s="4">
        <v>45323</v>
      </c>
      <c r="S1127" s="3">
        <v>154700</v>
      </c>
      <c r="T1127" s="3">
        <v>0.93</v>
      </c>
    </row>
    <row r="1128" spans="1:20" x14ac:dyDescent="0.3">
      <c r="A1128" s="1">
        <v>45340</v>
      </c>
      <c r="B1128" s="2" t="s">
        <v>20</v>
      </c>
      <c r="C1128" s="2" t="s">
        <v>112</v>
      </c>
      <c r="D1128" s="2" t="s">
        <v>57</v>
      </c>
      <c r="E1128" s="2" t="s">
        <v>58</v>
      </c>
      <c r="F1128" s="2" t="s">
        <v>39</v>
      </c>
      <c r="G1128">
        <v>72</v>
      </c>
      <c r="H1128">
        <v>488</v>
      </c>
      <c r="I1128">
        <v>150</v>
      </c>
      <c r="J1128" s="3">
        <v>4721100</v>
      </c>
      <c r="K1128" s="3">
        <v>708165000</v>
      </c>
      <c r="L1128" s="2" t="s">
        <v>33</v>
      </c>
      <c r="M1128" s="2" t="s">
        <v>26</v>
      </c>
      <c r="N1128">
        <v>2024</v>
      </c>
      <c r="O1128" s="2" t="s">
        <v>27</v>
      </c>
      <c r="P1128" s="2" t="s">
        <v>130</v>
      </c>
      <c r="Q1128">
        <v>2</v>
      </c>
      <c r="R1128" s="4">
        <v>45323</v>
      </c>
      <c r="S1128" s="3">
        <v>4721100</v>
      </c>
      <c r="T1128" s="3">
        <v>70.819999999999993</v>
      </c>
    </row>
    <row r="1129" spans="1:20" x14ac:dyDescent="0.3">
      <c r="A1129" s="1">
        <v>45340</v>
      </c>
      <c r="B1129" s="2" t="s">
        <v>61</v>
      </c>
      <c r="C1129" s="2" t="s">
        <v>127</v>
      </c>
      <c r="D1129" s="2" t="s">
        <v>100</v>
      </c>
      <c r="E1129" s="2" t="s">
        <v>101</v>
      </c>
      <c r="F1129" s="2" t="s">
        <v>24</v>
      </c>
      <c r="G1129">
        <v>3</v>
      </c>
      <c r="H1129">
        <v>150</v>
      </c>
      <c r="I1129">
        <v>163</v>
      </c>
      <c r="J1129" s="3">
        <v>161700</v>
      </c>
      <c r="K1129" s="3">
        <v>26357100</v>
      </c>
      <c r="L1129" s="2" t="s">
        <v>33</v>
      </c>
      <c r="M1129" s="2" t="s">
        <v>34</v>
      </c>
      <c r="N1129">
        <v>2024</v>
      </c>
      <c r="O1129" s="2" t="s">
        <v>27</v>
      </c>
      <c r="P1129" s="2" t="s">
        <v>130</v>
      </c>
      <c r="Q1129">
        <v>2</v>
      </c>
      <c r="R1129" s="4">
        <v>45323</v>
      </c>
      <c r="S1129" s="3">
        <v>161700</v>
      </c>
      <c r="T1129" s="3">
        <v>2.64</v>
      </c>
    </row>
    <row r="1130" spans="1:20" x14ac:dyDescent="0.3">
      <c r="A1130" s="1">
        <v>45341</v>
      </c>
      <c r="B1130" s="2" t="s">
        <v>84</v>
      </c>
      <c r="C1130" s="2" t="s">
        <v>113</v>
      </c>
      <c r="D1130" s="2" t="s">
        <v>63</v>
      </c>
      <c r="E1130" s="2" t="s">
        <v>64</v>
      </c>
      <c r="F1130" s="2" t="s">
        <v>24</v>
      </c>
      <c r="G1130">
        <v>3</v>
      </c>
      <c r="H1130">
        <v>127</v>
      </c>
      <c r="I1130">
        <v>132</v>
      </c>
      <c r="J1130" s="3">
        <v>189800</v>
      </c>
      <c r="K1130" s="3">
        <v>25053600</v>
      </c>
      <c r="L1130" s="2" t="s">
        <v>33</v>
      </c>
      <c r="M1130" s="2" t="s">
        <v>34</v>
      </c>
      <c r="N1130">
        <v>2024</v>
      </c>
      <c r="O1130" s="2" t="s">
        <v>27</v>
      </c>
      <c r="P1130" s="2" t="s">
        <v>130</v>
      </c>
      <c r="Q1130">
        <v>2</v>
      </c>
      <c r="R1130" s="4">
        <v>45323</v>
      </c>
      <c r="S1130" s="3">
        <v>189800</v>
      </c>
      <c r="T1130" s="3">
        <v>2.5099999999999998</v>
      </c>
    </row>
    <row r="1131" spans="1:20" x14ac:dyDescent="0.3">
      <c r="A1131" s="1">
        <v>45342</v>
      </c>
      <c r="B1131" s="2" t="s">
        <v>46</v>
      </c>
      <c r="C1131" s="2" t="s">
        <v>110</v>
      </c>
      <c r="D1131" s="2" t="s">
        <v>54</v>
      </c>
      <c r="E1131" s="2" t="s">
        <v>55</v>
      </c>
      <c r="F1131" s="2" t="s">
        <v>24</v>
      </c>
      <c r="G1131">
        <v>30</v>
      </c>
      <c r="H1131">
        <v>320</v>
      </c>
      <c r="I1131">
        <v>72</v>
      </c>
      <c r="J1131" s="3">
        <v>1292000</v>
      </c>
      <c r="K1131" s="3">
        <v>93024000</v>
      </c>
      <c r="L1131" s="2" t="s">
        <v>33</v>
      </c>
      <c r="M1131" s="2" t="s">
        <v>26</v>
      </c>
      <c r="N1131">
        <v>2024</v>
      </c>
      <c r="O1131" s="2" t="s">
        <v>27</v>
      </c>
      <c r="P1131" s="2" t="s">
        <v>130</v>
      </c>
      <c r="Q1131">
        <v>2</v>
      </c>
      <c r="R1131" s="4">
        <v>45323</v>
      </c>
      <c r="S1131" s="3">
        <v>1292000</v>
      </c>
      <c r="T1131" s="3">
        <v>9.3000000000000007</v>
      </c>
    </row>
    <row r="1132" spans="1:20" x14ac:dyDescent="0.3">
      <c r="A1132" s="1">
        <v>45342</v>
      </c>
      <c r="B1132" s="2" t="s">
        <v>59</v>
      </c>
      <c r="C1132" s="2" t="s">
        <v>135</v>
      </c>
      <c r="D1132" s="2" t="s">
        <v>82</v>
      </c>
      <c r="E1132" s="2" t="s">
        <v>141</v>
      </c>
      <c r="F1132" s="2" t="s">
        <v>24</v>
      </c>
      <c r="G1132">
        <v>59</v>
      </c>
      <c r="H1132">
        <v>55</v>
      </c>
      <c r="I1132">
        <v>91</v>
      </c>
      <c r="J1132" s="3">
        <v>2322100</v>
      </c>
      <c r="K1132" s="3">
        <v>211311100</v>
      </c>
      <c r="L1132" s="2" t="s">
        <v>33</v>
      </c>
      <c r="M1132" s="2" t="s">
        <v>26</v>
      </c>
      <c r="N1132">
        <v>2024</v>
      </c>
      <c r="O1132" s="2" t="s">
        <v>27</v>
      </c>
      <c r="P1132" s="2" t="s">
        <v>130</v>
      </c>
      <c r="Q1132">
        <v>2</v>
      </c>
      <c r="R1132" s="4">
        <v>45323</v>
      </c>
      <c r="S1132" s="3">
        <v>2322100</v>
      </c>
      <c r="T1132" s="3">
        <v>21.13</v>
      </c>
    </row>
    <row r="1133" spans="1:20" x14ac:dyDescent="0.3">
      <c r="A1133" s="1">
        <v>45342</v>
      </c>
      <c r="B1133" s="2" t="s">
        <v>52</v>
      </c>
      <c r="C1133" s="2" t="s">
        <v>53</v>
      </c>
      <c r="D1133" s="2" t="s">
        <v>67</v>
      </c>
      <c r="E1133" s="2" t="s">
        <v>68</v>
      </c>
      <c r="F1133" s="2" t="s">
        <v>24</v>
      </c>
      <c r="G1133">
        <v>66</v>
      </c>
      <c r="H1133">
        <v>440</v>
      </c>
      <c r="I1133">
        <v>74</v>
      </c>
      <c r="J1133" s="3">
        <v>5286100</v>
      </c>
      <c r="K1133" s="3">
        <v>391171400</v>
      </c>
      <c r="L1133" s="2" t="s">
        <v>33</v>
      </c>
      <c r="M1133" s="2" t="s">
        <v>77</v>
      </c>
      <c r="N1133">
        <v>2024</v>
      </c>
      <c r="O1133" s="2" t="s">
        <v>27</v>
      </c>
      <c r="P1133" s="2" t="s">
        <v>130</v>
      </c>
      <c r="Q1133">
        <v>2</v>
      </c>
      <c r="R1133" s="4">
        <v>45323</v>
      </c>
      <c r="S1133" s="3">
        <v>5286100</v>
      </c>
      <c r="T1133" s="3">
        <v>39.119999999999997</v>
      </c>
    </row>
    <row r="1134" spans="1:20" x14ac:dyDescent="0.3">
      <c r="A1134" s="1">
        <v>45344</v>
      </c>
      <c r="B1134" s="2" t="s">
        <v>90</v>
      </c>
      <c r="C1134" s="2" t="s">
        <v>91</v>
      </c>
      <c r="D1134" s="2" t="s">
        <v>63</v>
      </c>
      <c r="E1134" s="2" t="s">
        <v>64</v>
      </c>
      <c r="F1134" s="2" t="s">
        <v>24</v>
      </c>
      <c r="G1134">
        <v>3</v>
      </c>
      <c r="H1134">
        <v>127</v>
      </c>
      <c r="I1134">
        <v>125</v>
      </c>
      <c r="J1134" s="3">
        <v>188100</v>
      </c>
      <c r="K1134" s="3">
        <v>23512500</v>
      </c>
      <c r="L1134" s="2" t="s">
        <v>25</v>
      </c>
      <c r="M1134" s="2" t="s">
        <v>77</v>
      </c>
      <c r="N1134">
        <v>2024</v>
      </c>
      <c r="O1134" s="2" t="s">
        <v>27</v>
      </c>
      <c r="P1134" s="2" t="s">
        <v>130</v>
      </c>
      <c r="Q1134">
        <v>2</v>
      </c>
      <c r="R1134" s="4">
        <v>45323</v>
      </c>
      <c r="S1134" s="3">
        <v>188100</v>
      </c>
      <c r="T1134" s="3">
        <v>2.35</v>
      </c>
    </row>
    <row r="1135" spans="1:20" x14ac:dyDescent="0.3">
      <c r="A1135" s="1">
        <v>45344</v>
      </c>
      <c r="B1135" s="2" t="s">
        <v>84</v>
      </c>
      <c r="C1135" s="2" t="s">
        <v>113</v>
      </c>
      <c r="D1135" s="2" t="s">
        <v>37</v>
      </c>
      <c r="E1135" s="2" t="s">
        <v>38</v>
      </c>
      <c r="F1135" s="2" t="s">
        <v>24</v>
      </c>
      <c r="G1135">
        <v>66</v>
      </c>
      <c r="H1135">
        <v>423</v>
      </c>
      <c r="I1135">
        <v>60</v>
      </c>
      <c r="J1135" s="3">
        <v>8977100</v>
      </c>
      <c r="K1135" s="3">
        <v>538626000</v>
      </c>
      <c r="L1135" s="2" t="s">
        <v>33</v>
      </c>
      <c r="M1135" s="2" t="s">
        <v>34</v>
      </c>
      <c r="N1135">
        <v>2024</v>
      </c>
      <c r="O1135" s="2" t="s">
        <v>27</v>
      </c>
      <c r="P1135" s="2" t="s">
        <v>130</v>
      </c>
      <c r="Q1135">
        <v>2</v>
      </c>
      <c r="R1135" s="4">
        <v>45323</v>
      </c>
      <c r="S1135" s="3">
        <v>8977100</v>
      </c>
      <c r="T1135" s="3">
        <v>53.86</v>
      </c>
    </row>
    <row r="1136" spans="1:20" x14ac:dyDescent="0.3">
      <c r="A1136" s="1">
        <v>45344</v>
      </c>
      <c r="B1136" s="2" t="s">
        <v>46</v>
      </c>
      <c r="C1136" s="2" t="s">
        <v>110</v>
      </c>
      <c r="D1136" s="2" t="s">
        <v>67</v>
      </c>
      <c r="E1136" s="2" t="s">
        <v>118</v>
      </c>
      <c r="F1136" s="2" t="s">
        <v>39</v>
      </c>
      <c r="G1136">
        <v>84</v>
      </c>
      <c r="H1136">
        <v>590</v>
      </c>
      <c r="I1136">
        <v>77</v>
      </c>
      <c r="J1136" s="3">
        <v>8185800</v>
      </c>
      <c r="K1136" s="3">
        <v>630306600</v>
      </c>
      <c r="L1136" s="2" t="s">
        <v>25</v>
      </c>
      <c r="M1136" s="2" t="s">
        <v>77</v>
      </c>
      <c r="N1136">
        <v>2024</v>
      </c>
      <c r="O1136" s="2" t="s">
        <v>27</v>
      </c>
      <c r="P1136" s="2" t="s">
        <v>130</v>
      </c>
      <c r="Q1136">
        <v>2</v>
      </c>
      <c r="R1136" s="4">
        <v>45323</v>
      </c>
      <c r="S1136" s="3">
        <v>8185800</v>
      </c>
      <c r="T1136" s="3">
        <v>63.03</v>
      </c>
    </row>
    <row r="1137" spans="1:20" x14ac:dyDescent="0.3">
      <c r="A1137" s="1">
        <v>45345</v>
      </c>
      <c r="B1137" s="2" t="s">
        <v>29</v>
      </c>
      <c r="C1137" s="2" t="s">
        <v>96</v>
      </c>
      <c r="D1137" s="2" t="s">
        <v>82</v>
      </c>
      <c r="E1137" s="2" t="s">
        <v>141</v>
      </c>
      <c r="F1137" s="2" t="s">
        <v>72</v>
      </c>
      <c r="G1137">
        <v>59</v>
      </c>
      <c r="H1137">
        <v>55</v>
      </c>
      <c r="I1137">
        <v>25</v>
      </c>
      <c r="J1137" s="3">
        <v>2507400</v>
      </c>
      <c r="K1137" s="3">
        <v>62685000</v>
      </c>
      <c r="L1137" s="2" t="s">
        <v>33</v>
      </c>
      <c r="M1137" s="2" t="s">
        <v>26</v>
      </c>
      <c r="N1137">
        <v>2024</v>
      </c>
      <c r="O1137" s="2" t="s">
        <v>27</v>
      </c>
      <c r="P1137" s="2" t="s">
        <v>130</v>
      </c>
      <c r="Q1137">
        <v>2</v>
      </c>
      <c r="R1137" s="4">
        <v>45323</v>
      </c>
      <c r="S1137" s="3">
        <v>2507400</v>
      </c>
      <c r="T1137" s="3">
        <v>6.27</v>
      </c>
    </row>
    <row r="1138" spans="1:20" x14ac:dyDescent="0.3">
      <c r="A1138" s="1">
        <v>45345</v>
      </c>
      <c r="B1138" s="2" t="s">
        <v>40</v>
      </c>
      <c r="C1138" s="2" t="s">
        <v>136</v>
      </c>
      <c r="D1138" s="2" t="s">
        <v>31</v>
      </c>
      <c r="E1138" s="2" t="s">
        <v>32</v>
      </c>
      <c r="F1138" s="2" t="s">
        <v>24</v>
      </c>
      <c r="G1138">
        <v>4</v>
      </c>
      <c r="H1138">
        <v>195</v>
      </c>
      <c r="I1138">
        <v>141</v>
      </c>
      <c r="J1138" s="3">
        <v>158800</v>
      </c>
      <c r="K1138" s="3">
        <v>22390800</v>
      </c>
      <c r="L1138" s="2" t="s">
        <v>33</v>
      </c>
      <c r="M1138" s="2" t="s">
        <v>26</v>
      </c>
      <c r="N1138">
        <v>2024</v>
      </c>
      <c r="O1138" s="2" t="s">
        <v>27</v>
      </c>
      <c r="P1138" s="2" t="s">
        <v>130</v>
      </c>
      <c r="Q1138">
        <v>2</v>
      </c>
      <c r="R1138" s="4">
        <v>45323</v>
      </c>
      <c r="S1138" s="3">
        <v>158800</v>
      </c>
      <c r="T1138" s="3">
        <v>2.2400000000000002</v>
      </c>
    </row>
    <row r="1139" spans="1:20" x14ac:dyDescent="0.3">
      <c r="A1139" s="1">
        <v>45345</v>
      </c>
      <c r="B1139" s="2" t="s">
        <v>48</v>
      </c>
      <c r="C1139" s="2" t="s">
        <v>98</v>
      </c>
      <c r="D1139" s="2" t="s">
        <v>67</v>
      </c>
      <c r="E1139" s="2" t="s">
        <v>68</v>
      </c>
      <c r="F1139" s="2" t="s">
        <v>72</v>
      </c>
      <c r="G1139">
        <v>66</v>
      </c>
      <c r="H1139">
        <v>440</v>
      </c>
      <c r="I1139">
        <v>64</v>
      </c>
      <c r="J1139" s="3">
        <v>5918900</v>
      </c>
      <c r="K1139" s="3">
        <v>378809600</v>
      </c>
      <c r="L1139" s="2" t="s">
        <v>33</v>
      </c>
      <c r="M1139" s="2" t="s">
        <v>26</v>
      </c>
      <c r="N1139">
        <v>2024</v>
      </c>
      <c r="O1139" s="2" t="s">
        <v>27</v>
      </c>
      <c r="P1139" s="2" t="s">
        <v>130</v>
      </c>
      <c r="Q1139">
        <v>2</v>
      </c>
      <c r="R1139" s="4">
        <v>45323</v>
      </c>
      <c r="S1139" s="3">
        <v>5918900</v>
      </c>
      <c r="T1139" s="3">
        <v>37.880000000000003</v>
      </c>
    </row>
    <row r="1140" spans="1:20" x14ac:dyDescent="0.3">
      <c r="A1140" s="1">
        <v>45345</v>
      </c>
      <c r="B1140" s="2" t="s">
        <v>35</v>
      </c>
      <c r="C1140" s="2" t="s">
        <v>121</v>
      </c>
      <c r="D1140" s="2" t="s">
        <v>54</v>
      </c>
      <c r="E1140" s="2" t="s">
        <v>55</v>
      </c>
      <c r="F1140" s="2" t="s">
        <v>24</v>
      </c>
      <c r="G1140">
        <v>30</v>
      </c>
      <c r="H1140">
        <v>320</v>
      </c>
      <c r="I1140">
        <v>13</v>
      </c>
      <c r="J1140" s="3">
        <v>1595900</v>
      </c>
      <c r="K1140" s="3">
        <v>20746700</v>
      </c>
      <c r="L1140" s="2" t="s">
        <v>33</v>
      </c>
      <c r="M1140" s="2" t="s">
        <v>77</v>
      </c>
      <c r="N1140">
        <v>2024</v>
      </c>
      <c r="O1140" s="2" t="s">
        <v>27</v>
      </c>
      <c r="P1140" s="2" t="s">
        <v>130</v>
      </c>
      <c r="Q1140">
        <v>2</v>
      </c>
      <c r="R1140" s="4">
        <v>45323</v>
      </c>
      <c r="S1140" s="3">
        <v>1595900</v>
      </c>
      <c r="T1140" s="3">
        <v>2.0699999999999998</v>
      </c>
    </row>
    <row r="1141" spans="1:20" x14ac:dyDescent="0.3">
      <c r="A1141" s="1">
        <v>45345</v>
      </c>
      <c r="B1141" s="2" t="s">
        <v>35</v>
      </c>
      <c r="C1141" s="2" t="s">
        <v>36</v>
      </c>
      <c r="D1141" s="2" t="s">
        <v>63</v>
      </c>
      <c r="E1141" s="2" t="s">
        <v>64</v>
      </c>
      <c r="F1141" s="2" t="s">
        <v>24</v>
      </c>
      <c r="G1141">
        <v>3</v>
      </c>
      <c r="H1141">
        <v>127</v>
      </c>
      <c r="I1141">
        <v>45</v>
      </c>
      <c r="J1141" s="3">
        <v>165300</v>
      </c>
      <c r="K1141" s="3">
        <v>7438500</v>
      </c>
      <c r="L1141" s="2" t="s">
        <v>33</v>
      </c>
      <c r="M1141" s="2" t="s">
        <v>77</v>
      </c>
      <c r="N1141">
        <v>2024</v>
      </c>
      <c r="O1141" s="2" t="s">
        <v>27</v>
      </c>
      <c r="P1141" s="2" t="s">
        <v>130</v>
      </c>
      <c r="Q1141">
        <v>2</v>
      </c>
      <c r="R1141" s="4">
        <v>45323</v>
      </c>
      <c r="S1141" s="3">
        <v>165300</v>
      </c>
      <c r="T1141" s="3">
        <v>0.74</v>
      </c>
    </row>
    <row r="1142" spans="1:20" x14ac:dyDescent="0.3">
      <c r="A1142" s="1">
        <v>45346</v>
      </c>
      <c r="B1142" s="2" t="s">
        <v>35</v>
      </c>
      <c r="C1142" s="2" t="s">
        <v>121</v>
      </c>
      <c r="D1142" s="2" t="s">
        <v>82</v>
      </c>
      <c r="E1142" s="2" t="s">
        <v>83</v>
      </c>
      <c r="F1142" s="2" t="s">
        <v>72</v>
      </c>
      <c r="G1142">
        <v>40</v>
      </c>
      <c r="H1142">
        <v>39</v>
      </c>
      <c r="I1142">
        <v>86</v>
      </c>
      <c r="J1142" s="3">
        <v>2361300</v>
      </c>
      <c r="K1142" s="3">
        <v>203071800</v>
      </c>
      <c r="L1142" s="2" t="s">
        <v>33</v>
      </c>
      <c r="M1142" s="2" t="s">
        <v>26</v>
      </c>
      <c r="N1142">
        <v>2024</v>
      </c>
      <c r="O1142" s="2" t="s">
        <v>27</v>
      </c>
      <c r="P1142" s="2" t="s">
        <v>130</v>
      </c>
      <c r="Q1142">
        <v>2</v>
      </c>
      <c r="R1142" s="4">
        <v>45323</v>
      </c>
      <c r="S1142" s="3">
        <v>2361300</v>
      </c>
      <c r="T1142" s="3">
        <v>20.309999999999999</v>
      </c>
    </row>
    <row r="1143" spans="1:20" x14ac:dyDescent="0.3">
      <c r="A1143" s="1">
        <v>45346</v>
      </c>
      <c r="B1143" s="2" t="s">
        <v>29</v>
      </c>
      <c r="C1143" s="2" t="s">
        <v>30</v>
      </c>
      <c r="D1143" s="2" t="s">
        <v>79</v>
      </c>
      <c r="E1143" s="2" t="s">
        <v>80</v>
      </c>
      <c r="F1143" s="2" t="s">
        <v>24</v>
      </c>
      <c r="G1143">
        <v>69</v>
      </c>
      <c r="H1143">
        <v>418</v>
      </c>
      <c r="I1143">
        <v>40</v>
      </c>
      <c r="J1143" s="3">
        <v>6267600</v>
      </c>
      <c r="K1143" s="3">
        <v>250704000</v>
      </c>
      <c r="L1143" s="2" t="s">
        <v>33</v>
      </c>
      <c r="M1143" s="2" t="s">
        <v>77</v>
      </c>
      <c r="N1143">
        <v>2024</v>
      </c>
      <c r="O1143" s="2" t="s">
        <v>27</v>
      </c>
      <c r="P1143" s="2" t="s">
        <v>130</v>
      </c>
      <c r="Q1143">
        <v>2</v>
      </c>
      <c r="R1143" s="4">
        <v>45323</v>
      </c>
      <c r="S1143" s="3">
        <v>6267600</v>
      </c>
      <c r="T1143" s="3">
        <v>25.07</v>
      </c>
    </row>
    <row r="1144" spans="1:20" x14ac:dyDescent="0.3">
      <c r="A1144" s="1">
        <v>45347</v>
      </c>
      <c r="B1144" s="2" t="s">
        <v>48</v>
      </c>
      <c r="C1144" s="2" t="s">
        <v>69</v>
      </c>
      <c r="D1144" s="2" t="s">
        <v>54</v>
      </c>
      <c r="E1144" s="2" t="s">
        <v>55</v>
      </c>
      <c r="F1144" s="2" t="s">
        <v>72</v>
      </c>
      <c r="G1144">
        <v>30</v>
      </c>
      <c r="H1144">
        <v>320</v>
      </c>
      <c r="I1144">
        <v>42</v>
      </c>
      <c r="J1144" s="3">
        <v>1605400</v>
      </c>
      <c r="K1144" s="3">
        <v>67426800</v>
      </c>
      <c r="L1144" s="2" t="s">
        <v>33</v>
      </c>
      <c r="M1144" s="2" t="s">
        <v>77</v>
      </c>
      <c r="N1144">
        <v>2024</v>
      </c>
      <c r="O1144" s="2" t="s">
        <v>27</v>
      </c>
      <c r="P1144" s="2" t="s">
        <v>130</v>
      </c>
      <c r="Q1144">
        <v>2</v>
      </c>
      <c r="R1144" s="4">
        <v>45323</v>
      </c>
      <c r="S1144" s="3">
        <v>1605400</v>
      </c>
      <c r="T1144" s="3">
        <v>6.74</v>
      </c>
    </row>
    <row r="1145" spans="1:20" x14ac:dyDescent="0.3">
      <c r="A1145" s="1">
        <v>45347</v>
      </c>
      <c r="B1145" s="2" t="s">
        <v>75</v>
      </c>
      <c r="C1145" s="2" t="s">
        <v>134</v>
      </c>
      <c r="D1145" s="2" t="s">
        <v>57</v>
      </c>
      <c r="E1145" s="2" t="s">
        <v>86</v>
      </c>
      <c r="F1145" s="2" t="s">
        <v>72</v>
      </c>
      <c r="G1145">
        <v>48</v>
      </c>
      <c r="H1145">
        <v>39</v>
      </c>
      <c r="I1145">
        <v>40</v>
      </c>
      <c r="J1145" s="3">
        <v>1914300</v>
      </c>
      <c r="K1145" s="3">
        <v>76572000</v>
      </c>
      <c r="L1145" s="2" t="s">
        <v>33</v>
      </c>
      <c r="M1145" s="2" t="s">
        <v>77</v>
      </c>
      <c r="N1145">
        <v>2024</v>
      </c>
      <c r="O1145" s="2" t="s">
        <v>27</v>
      </c>
      <c r="P1145" s="2" t="s">
        <v>130</v>
      </c>
      <c r="Q1145">
        <v>2</v>
      </c>
      <c r="R1145" s="4">
        <v>45323</v>
      </c>
      <c r="S1145" s="3">
        <v>1914300</v>
      </c>
      <c r="T1145" s="3">
        <v>7.66</v>
      </c>
    </row>
    <row r="1146" spans="1:20" x14ac:dyDescent="0.3">
      <c r="A1146" s="1">
        <v>45347</v>
      </c>
      <c r="B1146" s="2" t="s">
        <v>84</v>
      </c>
      <c r="C1146" s="2" t="s">
        <v>126</v>
      </c>
      <c r="D1146" s="2" t="s">
        <v>70</v>
      </c>
      <c r="E1146" s="2" t="s">
        <v>74</v>
      </c>
      <c r="F1146" s="2" t="s">
        <v>24</v>
      </c>
      <c r="G1146">
        <v>25</v>
      </c>
      <c r="H1146">
        <v>32</v>
      </c>
      <c r="I1146">
        <v>101</v>
      </c>
      <c r="J1146" s="3">
        <v>1134200</v>
      </c>
      <c r="K1146" s="3">
        <v>114554200</v>
      </c>
      <c r="L1146" s="2" t="s">
        <v>25</v>
      </c>
      <c r="M1146" s="2" t="s">
        <v>26</v>
      </c>
      <c r="N1146">
        <v>2024</v>
      </c>
      <c r="O1146" s="2" t="s">
        <v>27</v>
      </c>
      <c r="P1146" s="2" t="s">
        <v>130</v>
      </c>
      <c r="Q1146">
        <v>2</v>
      </c>
      <c r="R1146" s="4">
        <v>45323</v>
      </c>
      <c r="S1146" s="3">
        <v>1134200</v>
      </c>
      <c r="T1146" s="3">
        <v>11.46</v>
      </c>
    </row>
    <row r="1147" spans="1:20" x14ac:dyDescent="0.3">
      <c r="A1147" s="1">
        <v>45347</v>
      </c>
      <c r="B1147" s="2" t="s">
        <v>40</v>
      </c>
      <c r="C1147" s="2" t="s">
        <v>105</v>
      </c>
      <c r="D1147" s="2" t="s">
        <v>88</v>
      </c>
      <c r="E1147" s="2" t="s">
        <v>89</v>
      </c>
      <c r="F1147" s="2" t="s">
        <v>39</v>
      </c>
      <c r="G1147">
        <v>82</v>
      </c>
      <c r="H1147">
        <v>580</v>
      </c>
      <c r="I1147">
        <v>44</v>
      </c>
      <c r="J1147" s="3">
        <v>6074500</v>
      </c>
      <c r="K1147" s="3">
        <v>267278000</v>
      </c>
      <c r="L1147" s="2" t="s">
        <v>25</v>
      </c>
      <c r="M1147" s="2" t="s">
        <v>26</v>
      </c>
      <c r="N1147">
        <v>2024</v>
      </c>
      <c r="O1147" s="2" t="s">
        <v>27</v>
      </c>
      <c r="P1147" s="2" t="s">
        <v>130</v>
      </c>
      <c r="Q1147">
        <v>2</v>
      </c>
      <c r="R1147" s="4">
        <v>45323</v>
      </c>
      <c r="S1147" s="3">
        <v>6074500</v>
      </c>
      <c r="T1147" s="3">
        <v>26.73</v>
      </c>
    </row>
    <row r="1148" spans="1:20" x14ac:dyDescent="0.3">
      <c r="A1148" s="1">
        <v>45347</v>
      </c>
      <c r="B1148" s="2" t="s">
        <v>59</v>
      </c>
      <c r="C1148" s="2" t="s">
        <v>129</v>
      </c>
      <c r="D1148" s="2" t="s">
        <v>79</v>
      </c>
      <c r="E1148" s="2" t="s">
        <v>80</v>
      </c>
      <c r="F1148" s="2" t="s">
        <v>39</v>
      </c>
      <c r="G1148">
        <v>69</v>
      </c>
      <c r="H1148">
        <v>418</v>
      </c>
      <c r="I1148">
        <v>6</v>
      </c>
      <c r="J1148" s="3">
        <v>4935200</v>
      </c>
      <c r="K1148" s="3">
        <v>29611200</v>
      </c>
      <c r="L1148" s="2" t="s">
        <v>33</v>
      </c>
      <c r="M1148" s="2" t="s">
        <v>97</v>
      </c>
      <c r="N1148">
        <v>2024</v>
      </c>
      <c r="O1148" s="2" t="s">
        <v>27</v>
      </c>
      <c r="P1148" s="2" t="s">
        <v>130</v>
      </c>
      <c r="Q1148">
        <v>2</v>
      </c>
      <c r="R1148" s="4">
        <v>45323</v>
      </c>
      <c r="S1148" s="3">
        <v>4935200</v>
      </c>
      <c r="T1148" s="3">
        <v>2.96</v>
      </c>
    </row>
    <row r="1149" spans="1:20" x14ac:dyDescent="0.3">
      <c r="A1149" s="1">
        <v>45347</v>
      </c>
      <c r="B1149" s="2" t="s">
        <v>106</v>
      </c>
      <c r="C1149" s="2" t="s">
        <v>119</v>
      </c>
      <c r="D1149" s="2" t="s">
        <v>79</v>
      </c>
      <c r="E1149" s="2" t="s">
        <v>80</v>
      </c>
      <c r="F1149" s="2" t="s">
        <v>24</v>
      </c>
      <c r="G1149">
        <v>69</v>
      </c>
      <c r="H1149">
        <v>418</v>
      </c>
      <c r="I1149">
        <v>20</v>
      </c>
      <c r="J1149" s="3">
        <v>5645800</v>
      </c>
      <c r="K1149" s="3">
        <v>112916000</v>
      </c>
      <c r="L1149" s="2" t="s">
        <v>33</v>
      </c>
      <c r="M1149" s="2" t="s">
        <v>26</v>
      </c>
      <c r="N1149">
        <v>2024</v>
      </c>
      <c r="O1149" s="2" t="s">
        <v>27</v>
      </c>
      <c r="P1149" s="2" t="s">
        <v>130</v>
      </c>
      <c r="Q1149">
        <v>2</v>
      </c>
      <c r="R1149" s="4">
        <v>45323</v>
      </c>
      <c r="S1149" s="3">
        <v>5645800</v>
      </c>
      <c r="T1149" s="3">
        <v>11.29</v>
      </c>
    </row>
    <row r="1150" spans="1:20" x14ac:dyDescent="0.3">
      <c r="A1150" s="1">
        <v>45348</v>
      </c>
      <c r="B1150" s="2" t="s">
        <v>48</v>
      </c>
      <c r="C1150" s="2" t="s">
        <v>98</v>
      </c>
      <c r="D1150" s="2" t="s">
        <v>79</v>
      </c>
      <c r="E1150" s="2" t="s">
        <v>80</v>
      </c>
      <c r="F1150" s="2" t="s">
        <v>24</v>
      </c>
      <c r="G1150">
        <v>69</v>
      </c>
      <c r="H1150">
        <v>418</v>
      </c>
      <c r="I1150">
        <v>24</v>
      </c>
      <c r="J1150" s="3">
        <v>6492900</v>
      </c>
      <c r="K1150" s="3">
        <v>155829600</v>
      </c>
      <c r="L1150" s="2" t="s">
        <v>33</v>
      </c>
      <c r="M1150" s="2" t="s">
        <v>26</v>
      </c>
      <c r="N1150">
        <v>2024</v>
      </c>
      <c r="O1150" s="2" t="s">
        <v>27</v>
      </c>
      <c r="P1150" s="2" t="s">
        <v>130</v>
      </c>
      <c r="Q1150">
        <v>2</v>
      </c>
      <c r="R1150" s="4">
        <v>45323</v>
      </c>
      <c r="S1150" s="3">
        <v>6492900</v>
      </c>
      <c r="T1150" s="3">
        <v>15.58</v>
      </c>
    </row>
    <row r="1151" spans="1:20" x14ac:dyDescent="0.3">
      <c r="A1151" s="1">
        <v>45348</v>
      </c>
      <c r="B1151" s="2" t="s">
        <v>84</v>
      </c>
      <c r="C1151" s="2" t="s">
        <v>113</v>
      </c>
      <c r="D1151" s="2" t="s">
        <v>63</v>
      </c>
      <c r="E1151" s="2" t="s">
        <v>64</v>
      </c>
      <c r="F1151" s="2" t="s">
        <v>24</v>
      </c>
      <c r="G1151">
        <v>3</v>
      </c>
      <c r="H1151">
        <v>127</v>
      </c>
      <c r="I1151">
        <v>46</v>
      </c>
      <c r="J1151" s="3">
        <v>177100</v>
      </c>
      <c r="K1151" s="3">
        <v>8146600</v>
      </c>
      <c r="L1151" s="2" t="s">
        <v>25</v>
      </c>
      <c r="M1151" s="2" t="s">
        <v>26</v>
      </c>
      <c r="N1151">
        <v>2024</v>
      </c>
      <c r="O1151" s="2" t="s">
        <v>27</v>
      </c>
      <c r="P1151" s="2" t="s">
        <v>130</v>
      </c>
      <c r="Q1151">
        <v>2</v>
      </c>
      <c r="R1151" s="4">
        <v>45323</v>
      </c>
      <c r="S1151" s="3">
        <v>177100</v>
      </c>
      <c r="T1151" s="3">
        <v>0.81</v>
      </c>
    </row>
    <row r="1152" spans="1:20" x14ac:dyDescent="0.3">
      <c r="A1152" s="1">
        <v>45348</v>
      </c>
      <c r="B1152" s="2" t="s">
        <v>75</v>
      </c>
      <c r="C1152" s="2" t="s">
        <v>134</v>
      </c>
      <c r="D1152" s="2" t="s">
        <v>37</v>
      </c>
      <c r="E1152" s="2" t="s">
        <v>38</v>
      </c>
      <c r="F1152" s="2" t="s">
        <v>24</v>
      </c>
      <c r="G1152">
        <v>66</v>
      </c>
      <c r="H1152">
        <v>423</v>
      </c>
      <c r="I1152">
        <v>16</v>
      </c>
      <c r="J1152" s="3">
        <v>8773000</v>
      </c>
      <c r="K1152" s="3">
        <v>140368000</v>
      </c>
      <c r="L1152" s="2" t="s">
        <v>33</v>
      </c>
      <c r="M1152" s="2" t="s">
        <v>77</v>
      </c>
      <c r="N1152">
        <v>2024</v>
      </c>
      <c r="O1152" s="2" t="s">
        <v>27</v>
      </c>
      <c r="P1152" s="2" t="s">
        <v>130</v>
      </c>
      <c r="Q1152">
        <v>2</v>
      </c>
      <c r="R1152" s="4">
        <v>45323</v>
      </c>
      <c r="S1152" s="3">
        <v>8773000</v>
      </c>
      <c r="T1152" s="3">
        <v>14.04</v>
      </c>
    </row>
    <row r="1153" spans="1:20" x14ac:dyDescent="0.3">
      <c r="A1153" s="1">
        <v>45349</v>
      </c>
      <c r="B1153" s="2" t="s">
        <v>20</v>
      </c>
      <c r="C1153" s="2" t="s">
        <v>112</v>
      </c>
      <c r="D1153" s="2" t="s">
        <v>42</v>
      </c>
      <c r="E1153" s="2" t="s">
        <v>43</v>
      </c>
      <c r="F1153" s="2" t="s">
        <v>24</v>
      </c>
      <c r="G1153">
        <v>3</v>
      </c>
      <c r="H1153">
        <v>135</v>
      </c>
      <c r="I1153">
        <v>91</v>
      </c>
      <c r="J1153" s="3">
        <v>100500</v>
      </c>
      <c r="K1153" s="3">
        <v>9145500</v>
      </c>
      <c r="L1153" s="2" t="s">
        <v>33</v>
      </c>
      <c r="M1153" s="2" t="s">
        <v>26</v>
      </c>
      <c r="N1153">
        <v>2024</v>
      </c>
      <c r="O1153" s="2" t="s">
        <v>27</v>
      </c>
      <c r="P1153" s="2" t="s">
        <v>130</v>
      </c>
      <c r="Q1153">
        <v>2</v>
      </c>
      <c r="R1153" s="4">
        <v>45323</v>
      </c>
      <c r="S1153" s="3">
        <v>100500</v>
      </c>
      <c r="T1153" s="3">
        <v>0.91</v>
      </c>
    </row>
    <row r="1154" spans="1:20" x14ac:dyDescent="0.3">
      <c r="A1154" s="1">
        <v>45350</v>
      </c>
      <c r="B1154" s="2" t="s">
        <v>44</v>
      </c>
      <c r="C1154" s="2" t="s">
        <v>117</v>
      </c>
      <c r="D1154" s="2" t="s">
        <v>50</v>
      </c>
      <c r="E1154" s="2" t="s">
        <v>51</v>
      </c>
      <c r="F1154" s="2" t="s">
        <v>24</v>
      </c>
      <c r="G1154">
        <v>77</v>
      </c>
      <c r="H1154">
        <v>528</v>
      </c>
      <c r="I1154">
        <v>39</v>
      </c>
      <c r="J1154" s="3">
        <v>4885400</v>
      </c>
      <c r="K1154" s="3">
        <v>190530600</v>
      </c>
      <c r="L1154" s="2" t="s">
        <v>25</v>
      </c>
      <c r="M1154" s="2" t="s">
        <v>26</v>
      </c>
      <c r="N1154">
        <v>2024</v>
      </c>
      <c r="O1154" s="2" t="s">
        <v>27</v>
      </c>
      <c r="P1154" s="2" t="s">
        <v>130</v>
      </c>
      <c r="Q1154">
        <v>2</v>
      </c>
      <c r="R1154" s="4">
        <v>45323</v>
      </c>
      <c r="S1154" s="3">
        <v>4885400</v>
      </c>
      <c r="T1154" s="3">
        <v>19.05</v>
      </c>
    </row>
    <row r="1155" spans="1:20" x14ac:dyDescent="0.3">
      <c r="A1155" s="1">
        <v>45350</v>
      </c>
      <c r="B1155" s="2" t="s">
        <v>84</v>
      </c>
      <c r="C1155" s="2" t="s">
        <v>93</v>
      </c>
      <c r="D1155" s="2" t="s">
        <v>79</v>
      </c>
      <c r="E1155" s="2" t="s">
        <v>80</v>
      </c>
      <c r="F1155" s="2" t="s">
        <v>24</v>
      </c>
      <c r="G1155">
        <v>69</v>
      </c>
      <c r="H1155">
        <v>418</v>
      </c>
      <c r="I1155">
        <v>8</v>
      </c>
      <c r="J1155" s="3">
        <v>5355200</v>
      </c>
      <c r="K1155" s="3">
        <v>42841600</v>
      </c>
      <c r="L1155" s="2" t="s">
        <v>33</v>
      </c>
      <c r="M1155" s="2" t="s">
        <v>26</v>
      </c>
      <c r="N1155">
        <v>2024</v>
      </c>
      <c r="O1155" s="2" t="s">
        <v>27</v>
      </c>
      <c r="P1155" s="2" t="s">
        <v>130</v>
      </c>
      <c r="Q1155">
        <v>2</v>
      </c>
      <c r="R1155" s="4">
        <v>45323</v>
      </c>
      <c r="S1155" s="3">
        <v>5355200</v>
      </c>
      <c r="T1155" s="3">
        <v>4.28</v>
      </c>
    </row>
    <row r="1156" spans="1:20" x14ac:dyDescent="0.3">
      <c r="A1156" s="1">
        <v>45351</v>
      </c>
      <c r="B1156" s="2" t="s">
        <v>106</v>
      </c>
      <c r="C1156" s="2" t="s">
        <v>120</v>
      </c>
      <c r="D1156" s="2" t="s">
        <v>94</v>
      </c>
      <c r="E1156" s="2" t="s">
        <v>95</v>
      </c>
      <c r="F1156" s="2" t="s">
        <v>24</v>
      </c>
      <c r="G1156">
        <v>40</v>
      </c>
      <c r="H1156">
        <v>30</v>
      </c>
      <c r="I1156">
        <v>19</v>
      </c>
      <c r="J1156" s="3">
        <v>2361000</v>
      </c>
      <c r="K1156" s="3">
        <v>44859000</v>
      </c>
      <c r="L1156" s="2" t="s">
        <v>92</v>
      </c>
      <c r="M1156" s="2" t="s">
        <v>34</v>
      </c>
      <c r="N1156">
        <v>2024</v>
      </c>
      <c r="O1156" s="2" t="s">
        <v>27</v>
      </c>
      <c r="P1156" s="2" t="s">
        <v>130</v>
      </c>
      <c r="Q1156">
        <v>2</v>
      </c>
      <c r="R1156" s="4">
        <v>45323</v>
      </c>
      <c r="S1156" s="3">
        <v>2361000</v>
      </c>
      <c r="T1156" s="3">
        <v>4.49</v>
      </c>
    </row>
    <row r="1157" spans="1:20" x14ac:dyDescent="0.3">
      <c r="A1157" s="1">
        <v>45351</v>
      </c>
      <c r="B1157" s="2" t="s">
        <v>106</v>
      </c>
      <c r="C1157" s="2" t="s">
        <v>119</v>
      </c>
      <c r="D1157" s="2" t="s">
        <v>54</v>
      </c>
      <c r="E1157" s="2" t="s">
        <v>55</v>
      </c>
      <c r="F1157" s="2" t="s">
        <v>24</v>
      </c>
      <c r="G1157">
        <v>30</v>
      </c>
      <c r="H1157">
        <v>320</v>
      </c>
      <c r="I1157">
        <v>16</v>
      </c>
      <c r="J1157" s="3">
        <v>1499100</v>
      </c>
      <c r="K1157" s="3">
        <v>23985600</v>
      </c>
      <c r="L1157" s="2" t="s">
        <v>33</v>
      </c>
      <c r="M1157" s="2" t="s">
        <v>34</v>
      </c>
      <c r="N1157">
        <v>2024</v>
      </c>
      <c r="O1157" s="2" t="s">
        <v>27</v>
      </c>
      <c r="P1157" s="2" t="s">
        <v>130</v>
      </c>
      <c r="Q1157">
        <v>2</v>
      </c>
      <c r="R1157" s="4">
        <v>45323</v>
      </c>
      <c r="S1157" s="3">
        <v>1499100</v>
      </c>
      <c r="T1157" s="3">
        <v>2.4</v>
      </c>
    </row>
    <row r="1158" spans="1:20" x14ac:dyDescent="0.3">
      <c r="A1158" s="1">
        <v>45351</v>
      </c>
      <c r="B1158" s="2" t="s">
        <v>20</v>
      </c>
      <c r="C1158" s="2" t="s">
        <v>21</v>
      </c>
      <c r="D1158" s="2" t="s">
        <v>42</v>
      </c>
      <c r="E1158" s="2" t="s">
        <v>43</v>
      </c>
      <c r="F1158" s="2" t="s">
        <v>24</v>
      </c>
      <c r="G1158">
        <v>3</v>
      </c>
      <c r="H1158">
        <v>135</v>
      </c>
      <c r="I1158">
        <v>139</v>
      </c>
      <c r="J1158" s="3">
        <v>120800</v>
      </c>
      <c r="K1158" s="3">
        <v>16791200</v>
      </c>
      <c r="L1158" s="2" t="s">
        <v>33</v>
      </c>
      <c r="M1158" s="2" t="s">
        <v>26</v>
      </c>
      <c r="N1158">
        <v>2024</v>
      </c>
      <c r="O1158" s="2" t="s">
        <v>27</v>
      </c>
      <c r="P1158" s="2" t="s">
        <v>130</v>
      </c>
      <c r="Q1158">
        <v>2</v>
      </c>
      <c r="R1158" s="4">
        <v>45323</v>
      </c>
      <c r="S1158" s="3">
        <v>120800</v>
      </c>
      <c r="T1158" s="3">
        <v>1.68</v>
      </c>
    </row>
    <row r="1159" spans="1:20" x14ac:dyDescent="0.3">
      <c r="A1159" s="1">
        <v>45351</v>
      </c>
      <c r="B1159" s="2" t="s">
        <v>29</v>
      </c>
      <c r="C1159" s="2" t="s">
        <v>104</v>
      </c>
      <c r="D1159" s="2" t="s">
        <v>70</v>
      </c>
      <c r="E1159" s="2" t="s">
        <v>71</v>
      </c>
      <c r="F1159" s="2" t="s">
        <v>24</v>
      </c>
      <c r="G1159">
        <v>50</v>
      </c>
      <c r="H1159">
        <v>46</v>
      </c>
      <c r="I1159">
        <v>89</v>
      </c>
      <c r="J1159" s="3">
        <v>2233400</v>
      </c>
      <c r="K1159" s="3">
        <v>198772600</v>
      </c>
      <c r="L1159" s="2" t="s">
        <v>33</v>
      </c>
      <c r="M1159" s="2" t="s">
        <v>26</v>
      </c>
      <c r="N1159">
        <v>2024</v>
      </c>
      <c r="O1159" s="2" t="s">
        <v>27</v>
      </c>
      <c r="P1159" s="2" t="s">
        <v>130</v>
      </c>
      <c r="Q1159">
        <v>2</v>
      </c>
      <c r="R1159" s="4">
        <v>45323</v>
      </c>
      <c r="S1159" s="3">
        <v>2233400</v>
      </c>
      <c r="T1159" s="3">
        <v>19.88</v>
      </c>
    </row>
    <row r="1160" spans="1:20" x14ac:dyDescent="0.3">
      <c r="A1160" s="1">
        <v>45352</v>
      </c>
      <c r="B1160" s="2" t="s">
        <v>29</v>
      </c>
      <c r="C1160" s="2" t="s">
        <v>30</v>
      </c>
      <c r="D1160" s="2" t="s">
        <v>82</v>
      </c>
      <c r="E1160" s="2" t="s">
        <v>141</v>
      </c>
      <c r="F1160" s="2" t="s">
        <v>24</v>
      </c>
      <c r="G1160">
        <v>59</v>
      </c>
      <c r="H1160">
        <v>55</v>
      </c>
      <c r="I1160">
        <v>168</v>
      </c>
      <c r="J1160" s="3">
        <v>2209900</v>
      </c>
      <c r="K1160" s="3">
        <v>371263200</v>
      </c>
      <c r="L1160" s="2" t="s">
        <v>33</v>
      </c>
      <c r="M1160" s="2" t="s">
        <v>26</v>
      </c>
      <c r="N1160">
        <v>2024</v>
      </c>
      <c r="O1160" s="2" t="s">
        <v>27</v>
      </c>
      <c r="P1160" s="2" t="s">
        <v>139</v>
      </c>
      <c r="Q1160">
        <v>3</v>
      </c>
      <c r="R1160" s="4">
        <v>45352</v>
      </c>
      <c r="S1160" s="3">
        <v>2209900</v>
      </c>
      <c r="T1160" s="3">
        <v>37.130000000000003</v>
      </c>
    </row>
    <row r="1161" spans="1:20" x14ac:dyDescent="0.3">
      <c r="A1161" s="1">
        <v>45352</v>
      </c>
      <c r="B1161" s="2" t="s">
        <v>40</v>
      </c>
      <c r="C1161" s="2" t="s">
        <v>41</v>
      </c>
      <c r="D1161" s="2" t="s">
        <v>22</v>
      </c>
      <c r="E1161" s="2" t="s">
        <v>23</v>
      </c>
      <c r="F1161" s="2" t="s">
        <v>72</v>
      </c>
      <c r="G1161">
        <v>82</v>
      </c>
      <c r="H1161">
        <v>520</v>
      </c>
      <c r="I1161">
        <v>74</v>
      </c>
      <c r="J1161" s="3">
        <v>6608200</v>
      </c>
      <c r="K1161" s="3">
        <v>489006800</v>
      </c>
      <c r="L1161" s="2" t="s">
        <v>33</v>
      </c>
      <c r="M1161" s="2" t="s">
        <v>26</v>
      </c>
      <c r="N1161">
        <v>2024</v>
      </c>
      <c r="O1161" s="2" t="s">
        <v>27</v>
      </c>
      <c r="P1161" s="2" t="s">
        <v>139</v>
      </c>
      <c r="Q1161">
        <v>3</v>
      </c>
      <c r="R1161" s="4">
        <v>45352</v>
      </c>
      <c r="S1161" s="3">
        <v>6608200</v>
      </c>
      <c r="T1161" s="3">
        <v>48.9</v>
      </c>
    </row>
    <row r="1162" spans="1:20" x14ac:dyDescent="0.3">
      <c r="A1162" s="1">
        <v>45352</v>
      </c>
      <c r="B1162" s="2" t="s">
        <v>48</v>
      </c>
      <c r="C1162" s="2" t="s">
        <v>49</v>
      </c>
      <c r="D1162" s="2" t="s">
        <v>70</v>
      </c>
      <c r="E1162" s="2" t="s">
        <v>71</v>
      </c>
      <c r="F1162" s="2" t="s">
        <v>24</v>
      </c>
      <c r="G1162">
        <v>50</v>
      </c>
      <c r="H1162">
        <v>46</v>
      </c>
      <c r="I1162">
        <v>26</v>
      </c>
      <c r="J1162" s="3">
        <v>2386900</v>
      </c>
      <c r="K1162" s="3">
        <v>62059400</v>
      </c>
      <c r="L1162" s="2" t="s">
        <v>33</v>
      </c>
      <c r="M1162" s="2" t="s">
        <v>26</v>
      </c>
      <c r="N1162">
        <v>2024</v>
      </c>
      <c r="O1162" s="2" t="s">
        <v>27</v>
      </c>
      <c r="P1162" s="2" t="s">
        <v>139</v>
      </c>
      <c r="Q1162">
        <v>3</v>
      </c>
      <c r="R1162" s="4">
        <v>45352</v>
      </c>
      <c r="S1162" s="3">
        <v>2386900</v>
      </c>
      <c r="T1162" s="3">
        <v>6.21</v>
      </c>
    </row>
    <row r="1163" spans="1:20" x14ac:dyDescent="0.3">
      <c r="A1163" s="1">
        <v>45353</v>
      </c>
      <c r="B1163" s="2" t="s">
        <v>40</v>
      </c>
      <c r="C1163" s="2" t="s">
        <v>41</v>
      </c>
      <c r="D1163" s="2" t="s">
        <v>82</v>
      </c>
      <c r="E1163" s="2" t="s">
        <v>83</v>
      </c>
      <c r="F1163" s="2" t="s">
        <v>72</v>
      </c>
      <c r="G1163">
        <v>40</v>
      </c>
      <c r="H1163">
        <v>39</v>
      </c>
      <c r="I1163">
        <v>77</v>
      </c>
      <c r="J1163" s="3">
        <v>2465800</v>
      </c>
      <c r="K1163" s="3">
        <v>189866600</v>
      </c>
      <c r="L1163" s="2" t="s">
        <v>33</v>
      </c>
      <c r="M1163" s="2" t="s">
        <v>26</v>
      </c>
      <c r="N1163">
        <v>2024</v>
      </c>
      <c r="O1163" s="2" t="s">
        <v>27</v>
      </c>
      <c r="P1163" s="2" t="s">
        <v>139</v>
      </c>
      <c r="Q1163">
        <v>3</v>
      </c>
      <c r="R1163" s="4">
        <v>45352</v>
      </c>
      <c r="S1163" s="3">
        <v>2465800</v>
      </c>
      <c r="T1163" s="3">
        <v>18.989999999999998</v>
      </c>
    </row>
    <row r="1164" spans="1:20" x14ac:dyDescent="0.3">
      <c r="A1164" s="1">
        <v>45353</v>
      </c>
      <c r="B1164" s="2" t="s">
        <v>40</v>
      </c>
      <c r="C1164" s="2" t="s">
        <v>105</v>
      </c>
      <c r="D1164" s="2" t="s">
        <v>63</v>
      </c>
      <c r="E1164" s="2" t="s">
        <v>64</v>
      </c>
      <c r="F1164" s="2" t="s">
        <v>24</v>
      </c>
      <c r="G1164">
        <v>3</v>
      </c>
      <c r="H1164">
        <v>127</v>
      </c>
      <c r="I1164">
        <v>87</v>
      </c>
      <c r="J1164" s="3">
        <v>159100</v>
      </c>
      <c r="K1164" s="3">
        <v>13841700</v>
      </c>
      <c r="L1164" s="2" t="s">
        <v>33</v>
      </c>
      <c r="M1164" s="2" t="s">
        <v>77</v>
      </c>
      <c r="N1164">
        <v>2024</v>
      </c>
      <c r="O1164" s="2" t="s">
        <v>27</v>
      </c>
      <c r="P1164" s="2" t="s">
        <v>139</v>
      </c>
      <c r="Q1164">
        <v>3</v>
      </c>
      <c r="R1164" s="4">
        <v>45352</v>
      </c>
      <c r="S1164" s="3">
        <v>159100</v>
      </c>
      <c r="T1164" s="3">
        <v>1.38</v>
      </c>
    </row>
    <row r="1165" spans="1:20" x14ac:dyDescent="0.3">
      <c r="A1165" s="1">
        <v>45354</v>
      </c>
      <c r="B1165" s="2" t="s">
        <v>46</v>
      </c>
      <c r="C1165" s="2" t="s">
        <v>56</v>
      </c>
      <c r="D1165" s="2" t="s">
        <v>57</v>
      </c>
      <c r="E1165" s="2" t="s">
        <v>58</v>
      </c>
      <c r="F1165" s="2" t="s">
        <v>24</v>
      </c>
      <c r="G1165">
        <v>72</v>
      </c>
      <c r="H1165">
        <v>488</v>
      </c>
      <c r="I1165">
        <v>70</v>
      </c>
      <c r="J1165" s="3">
        <v>4425300</v>
      </c>
      <c r="K1165" s="3">
        <v>309771000</v>
      </c>
      <c r="L1165" s="2" t="s">
        <v>33</v>
      </c>
      <c r="M1165" s="2" t="s">
        <v>77</v>
      </c>
      <c r="N1165">
        <v>2024</v>
      </c>
      <c r="O1165" s="2" t="s">
        <v>27</v>
      </c>
      <c r="P1165" s="2" t="s">
        <v>139</v>
      </c>
      <c r="Q1165">
        <v>3</v>
      </c>
      <c r="R1165" s="4">
        <v>45352</v>
      </c>
      <c r="S1165" s="3">
        <v>4425300</v>
      </c>
      <c r="T1165" s="3">
        <v>30.98</v>
      </c>
    </row>
    <row r="1166" spans="1:20" x14ac:dyDescent="0.3">
      <c r="A1166" s="1">
        <v>45354</v>
      </c>
      <c r="B1166" s="2" t="s">
        <v>48</v>
      </c>
      <c r="C1166" s="2" t="s">
        <v>98</v>
      </c>
      <c r="D1166" s="2" t="s">
        <v>88</v>
      </c>
      <c r="E1166" s="2" t="s">
        <v>89</v>
      </c>
      <c r="F1166" s="2" t="s">
        <v>39</v>
      </c>
      <c r="G1166">
        <v>82</v>
      </c>
      <c r="H1166">
        <v>580</v>
      </c>
      <c r="I1166">
        <v>65</v>
      </c>
      <c r="J1166" s="3">
        <v>5652700</v>
      </c>
      <c r="K1166" s="3">
        <v>367425500</v>
      </c>
      <c r="L1166" s="2" t="s">
        <v>33</v>
      </c>
      <c r="M1166" s="2" t="s">
        <v>97</v>
      </c>
      <c r="N1166">
        <v>2024</v>
      </c>
      <c r="O1166" s="2" t="s">
        <v>27</v>
      </c>
      <c r="P1166" s="2" t="s">
        <v>139</v>
      </c>
      <c r="Q1166">
        <v>3</v>
      </c>
      <c r="R1166" s="4">
        <v>45352</v>
      </c>
      <c r="S1166" s="3">
        <v>5652700</v>
      </c>
      <c r="T1166" s="3">
        <v>36.74</v>
      </c>
    </row>
    <row r="1167" spans="1:20" x14ac:dyDescent="0.3">
      <c r="A1167" s="1">
        <v>45354</v>
      </c>
      <c r="B1167" s="2" t="s">
        <v>46</v>
      </c>
      <c r="C1167" s="2" t="s">
        <v>56</v>
      </c>
      <c r="D1167" s="2" t="s">
        <v>57</v>
      </c>
      <c r="E1167" s="2" t="s">
        <v>58</v>
      </c>
      <c r="F1167" s="2" t="s">
        <v>39</v>
      </c>
      <c r="G1167">
        <v>72</v>
      </c>
      <c r="H1167">
        <v>488</v>
      </c>
      <c r="I1167">
        <v>77</v>
      </c>
      <c r="J1167" s="3">
        <v>5733900</v>
      </c>
      <c r="K1167" s="3">
        <v>441510300</v>
      </c>
      <c r="L1167" s="2" t="s">
        <v>33</v>
      </c>
      <c r="M1167" s="2" t="s">
        <v>26</v>
      </c>
      <c r="N1167">
        <v>2024</v>
      </c>
      <c r="O1167" s="2" t="s">
        <v>27</v>
      </c>
      <c r="P1167" s="2" t="s">
        <v>139</v>
      </c>
      <c r="Q1167">
        <v>3</v>
      </c>
      <c r="R1167" s="4">
        <v>45352</v>
      </c>
      <c r="S1167" s="3">
        <v>5733900</v>
      </c>
      <c r="T1167" s="3">
        <v>44.15</v>
      </c>
    </row>
    <row r="1168" spans="1:20" x14ac:dyDescent="0.3">
      <c r="A1168" s="1">
        <v>45354</v>
      </c>
      <c r="B1168" s="2" t="s">
        <v>40</v>
      </c>
      <c r="C1168" s="2" t="s">
        <v>41</v>
      </c>
      <c r="D1168" s="2" t="s">
        <v>100</v>
      </c>
      <c r="E1168" s="2" t="s">
        <v>101</v>
      </c>
      <c r="F1168" s="2" t="s">
        <v>24</v>
      </c>
      <c r="G1168">
        <v>3</v>
      </c>
      <c r="H1168">
        <v>150</v>
      </c>
      <c r="I1168">
        <v>78</v>
      </c>
      <c r="J1168" s="3">
        <v>177000</v>
      </c>
      <c r="K1168" s="3">
        <v>13806000</v>
      </c>
      <c r="L1168" s="2" t="s">
        <v>33</v>
      </c>
      <c r="M1168" s="2" t="s">
        <v>26</v>
      </c>
      <c r="N1168">
        <v>2024</v>
      </c>
      <c r="O1168" s="2" t="s">
        <v>27</v>
      </c>
      <c r="P1168" s="2" t="s">
        <v>139</v>
      </c>
      <c r="Q1168">
        <v>3</v>
      </c>
      <c r="R1168" s="4">
        <v>45352</v>
      </c>
      <c r="S1168" s="3">
        <v>177000</v>
      </c>
      <c r="T1168" s="3">
        <v>1.38</v>
      </c>
    </row>
    <row r="1169" spans="1:20" x14ac:dyDescent="0.3">
      <c r="A1169" s="1">
        <v>45354</v>
      </c>
      <c r="B1169" s="2" t="s">
        <v>48</v>
      </c>
      <c r="C1169" s="2" t="s">
        <v>98</v>
      </c>
      <c r="D1169" s="2" t="s">
        <v>54</v>
      </c>
      <c r="E1169" s="2" t="s">
        <v>55</v>
      </c>
      <c r="F1169" s="2" t="s">
        <v>24</v>
      </c>
      <c r="G1169">
        <v>30</v>
      </c>
      <c r="H1169">
        <v>320</v>
      </c>
      <c r="I1169">
        <v>73</v>
      </c>
      <c r="J1169" s="3">
        <v>1559000</v>
      </c>
      <c r="K1169" s="3">
        <v>113807000</v>
      </c>
      <c r="L1169" s="2" t="s">
        <v>33</v>
      </c>
      <c r="M1169" s="2" t="s">
        <v>26</v>
      </c>
      <c r="N1169">
        <v>2024</v>
      </c>
      <c r="O1169" s="2" t="s">
        <v>27</v>
      </c>
      <c r="P1169" s="2" t="s">
        <v>139</v>
      </c>
      <c r="Q1169">
        <v>3</v>
      </c>
      <c r="R1169" s="4">
        <v>45352</v>
      </c>
      <c r="S1169" s="3">
        <v>1559000</v>
      </c>
      <c r="T1169" s="3">
        <v>11.38</v>
      </c>
    </row>
    <row r="1170" spans="1:20" x14ac:dyDescent="0.3">
      <c r="A1170" s="1">
        <v>45355</v>
      </c>
      <c r="B1170" s="2" t="s">
        <v>35</v>
      </c>
      <c r="C1170" s="2" t="s">
        <v>87</v>
      </c>
      <c r="D1170" s="2" t="s">
        <v>70</v>
      </c>
      <c r="E1170" s="2" t="s">
        <v>74</v>
      </c>
      <c r="F1170" s="2" t="s">
        <v>24</v>
      </c>
      <c r="G1170">
        <v>25</v>
      </c>
      <c r="H1170">
        <v>32</v>
      </c>
      <c r="I1170">
        <v>86</v>
      </c>
      <c r="J1170" s="3">
        <v>1095500</v>
      </c>
      <c r="K1170" s="3">
        <v>94213000</v>
      </c>
      <c r="L1170" s="2" t="s">
        <v>33</v>
      </c>
      <c r="M1170" s="2" t="s">
        <v>77</v>
      </c>
      <c r="N1170">
        <v>2024</v>
      </c>
      <c r="O1170" s="2" t="s">
        <v>27</v>
      </c>
      <c r="P1170" s="2" t="s">
        <v>139</v>
      </c>
      <c r="Q1170">
        <v>3</v>
      </c>
      <c r="R1170" s="4">
        <v>45352</v>
      </c>
      <c r="S1170" s="3">
        <v>1095500</v>
      </c>
      <c r="T1170" s="3">
        <v>9.42</v>
      </c>
    </row>
    <row r="1171" spans="1:20" x14ac:dyDescent="0.3">
      <c r="A1171" s="1">
        <v>45355</v>
      </c>
      <c r="B1171" s="2" t="s">
        <v>61</v>
      </c>
      <c r="C1171" s="2" t="s">
        <v>62</v>
      </c>
      <c r="D1171" s="2" t="s">
        <v>57</v>
      </c>
      <c r="E1171" s="2" t="s">
        <v>86</v>
      </c>
      <c r="F1171" s="2" t="s">
        <v>24</v>
      </c>
      <c r="G1171">
        <v>48</v>
      </c>
      <c r="H1171">
        <v>39</v>
      </c>
      <c r="I1171">
        <v>137</v>
      </c>
      <c r="J1171" s="3">
        <v>2335100</v>
      </c>
      <c r="K1171" s="3">
        <v>319908700</v>
      </c>
      <c r="L1171" s="2" t="s">
        <v>33</v>
      </c>
      <c r="M1171" s="2" t="s">
        <v>26</v>
      </c>
      <c r="N1171">
        <v>2024</v>
      </c>
      <c r="O1171" s="2" t="s">
        <v>27</v>
      </c>
      <c r="P1171" s="2" t="s">
        <v>139</v>
      </c>
      <c r="Q1171">
        <v>3</v>
      </c>
      <c r="R1171" s="4">
        <v>45352</v>
      </c>
      <c r="S1171" s="3">
        <v>2335100</v>
      </c>
      <c r="T1171" s="3">
        <v>31.99</v>
      </c>
    </row>
    <row r="1172" spans="1:20" x14ac:dyDescent="0.3">
      <c r="A1172" s="1">
        <v>45355</v>
      </c>
      <c r="B1172" s="2" t="s">
        <v>20</v>
      </c>
      <c r="C1172" s="2" t="s">
        <v>112</v>
      </c>
      <c r="D1172" s="2" t="s">
        <v>31</v>
      </c>
      <c r="E1172" s="2" t="s">
        <v>124</v>
      </c>
      <c r="F1172" s="2" t="s">
        <v>24</v>
      </c>
      <c r="G1172">
        <v>3</v>
      </c>
      <c r="H1172">
        <v>151</v>
      </c>
      <c r="I1172">
        <v>114</v>
      </c>
      <c r="J1172" s="3">
        <v>121400</v>
      </c>
      <c r="K1172" s="3">
        <v>13839600</v>
      </c>
      <c r="L1172" s="2" t="s">
        <v>33</v>
      </c>
      <c r="M1172" s="2" t="s">
        <v>26</v>
      </c>
      <c r="N1172">
        <v>2024</v>
      </c>
      <c r="O1172" s="2" t="s">
        <v>27</v>
      </c>
      <c r="P1172" s="2" t="s">
        <v>139</v>
      </c>
      <c r="Q1172">
        <v>3</v>
      </c>
      <c r="R1172" s="4">
        <v>45352</v>
      </c>
      <c r="S1172" s="3">
        <v>121400</v>
      </c>
      <c r="T1172" s="3">
        <v>1.38</v>
      </c>
    </row>
    <row r="1173" spans="1:20" x14ac:dyDescent="0.3">
      <c r="A1173" s="1">
        <v>45355</v>
      </c>
      <c r="B1173" s="2" t="s">
        <v>46</v>
      </c>
      <c r="C1173" s="2" t="s">
        <v>56</v>
      </c>
      <c r="D1173" s="2" t="s">
        <v>22</v>
      </c>
      <c r="E1173" s="2" t="s">
        <v>23</v>
      </c>
      <c r="F1173" s="2" t="s">
        <v>138</v>
      </c>
      <c r="G1173">
        <v>82</v>
      </c>
      <c r="H1173">
        <v>520</v>
      </c>
      <c r="I1173">
        <v>33</v>
      </c>
      <c r="J1173" s="3">
        <v>7558700</v>
      </c>
      <c r="K1173" s="3">
        <v>249437100</v>
      </c>
      <c r="L1173" s="2" t="s">
        <v>33</v>
      </c>
      <c r="M1173" s="2" t="s">
        <v>26</v>
      </c>
      <c r="N1173">
        <v>2024</v>
      </c>
      <c r="O1173" s="2" t="s">
        <v>27</v>
      </c>
      <c r="P1173" s="2" t="s">
        <v>139</v>
      </c>
      <c r="Q1173">
        <v>3</v>
      </c>
      <c r="R1173" s="4">
        <v>45352</v>
      </c>
      <c r="S1173" s="3">
        <v>7558700</v>
      </c>
      <c r="T1173" s="3">
        <v>24.94</v>
      </c>
    </row>
    <row r="1174" spans="1:20" x14ac:dyDescent="0.3">
      <c r="A1174" s="1">
        <v>45357</v>
      </c>
      <c r="B1174" s="2" t="s">
        <v>35</v>
      </c>
      <c r="C1174" s="2" t="s">
        <v>132</v>
      </c>
      <c r="D1174" s="2" t="s">
        <v>67</v>
      </c>
      <c r="E1174" s="2" t="s">
        <v>118</v>
      </c>
      <c r="F1174" s="2" t="s">
        <v>24</v>
      </c>
      <c r="G1174">
        <v>84</v>
      </c>
      <c r="H1174">
        <v>590</v>
      </c>
      <c r="I1174">
        <v>17</v>
      </c>
      <c r="J1174" s="3">
        <v>8258500</v>
      </c>
      <c r="K1174" s="3">
        <v>140394500</v>
      </c>
      <c r="L1174" s="2" t="s">
        <v>33</v>
      </c>
      <c r="M1174" s="2" t="s">
        <v>26</v>
      </c>
      <c r="N1174">
        <v>2024</v>
      </c>
      <c r="O1174" s="2" t="s">
        <v>27</v>
      </c>
      <c r="P1174" s="2" t="s">
        <v>139</v>
      </c>
      <c r="Q1174">
        <v>3</v>
      </c>
      <c r="R1174" s="4">
        <v>45352</v>
      </c>
      <c r="S1174" s="3">
        <v>8258500</v>
      </c>
      <c r="T1174" s="3">
        <v>14.04</v>
      </c>
    </row>
    <row r="1175" spans="1:20" x14ac:dyDescent="0.3">
      <c r="A1175" s="1">
        <v>45357</v>
      </c>
      <c r="B1175" s="2" t="s">
        <v>48</v>
      </c>
      <c r="C1175" s="2" t="s">
        <v>49</v>
      </c>
      <c r="D1175" s="2" t="s">
        <v>82</v>
      </c>
      <c r="E1175" s="2" t="s">
        <v>141</v>
      </c>
      <c r="F1175" s="2" t="s">
        <v>138</v>
      </c>
      <c r="G1175">
        <v>59</v>
      </c>
      <c r="H1175">
        <v>55</v>
      </c>
      <c r="I1175">
        <v>137</v>
      </c>
      <c r="J1175" s="3">
        <v>2937000</v>
      </c>
      <c r="K1175" s="3">
        <v>402369000</v>
      </c>
      <c r="L1175" s="2" t="s">
        <v>25</v>
      </c>
      <c r="M1175" s="2" t="s">
        <v>26</v>
      </c>
      <c r="N1175">
        <v>2024</v>
      </c>
      <c r="O1175" s="2" t="s">
        <v>27</v>
      </c>
      <c r="P1175" s="2" t="s">
        <v>139</v>
      </c>
      <c r="Q1175">
        <v>3</v>
      </c>
      <c r="R1175" s="4">
        <v>45352</v>
      </c>
      <c r="S1175" s="3">
        <v>2937000</v>
      </c>
      <c r="T1175" s="3">
        <v>40.24</v>
      </c>
    </row>
    <row r="1176" spans="1:20" x14ac:dyDescent="0.3">
      <c r="A1176" s="1">
        <v>45358</v>
      </c>
      <c r="B1176" s="2" t="s">
        <v>40</v>
      </c>
      <c r="C1176" s="2" t="s">
        <v>136</v>
      </c>
      <c r="D1176" s="2" t="s">
        <v>82</v>
      </c>
      <c r="E1176" s="2" t="s">
        <v>83</v>
      </c>
      <c r="F1176" s="2" t="s">
        <v>24</v>
      </c>
      <c r="G1176">
        <v>40</v>
      </c>
      <c r="H1176">
        <v>39</v>
      </c>
      <c r="I1176">
        <v>59</v>
      </c>
      <c r="J1176" s="3">
        <v>2596400</v>
      </c>
      <c r="K1176" s="3">
        <v>153187600</v>
      </c>
      <c r="L1176" s="2" t="s">
        <v>33</v>
      </c>
      <c r="M1176" s="2" t="s">
        <v>77</v>
      </c>
      <c r="N1176">
        <v>2024</v>
      </c>
      <c r="O1176" s="2" t="s">
        <v>27</v>
      </c>
      <c r="P1176" s="2" t="s">
        <v>139</v>
      </c>
      <c r="Q1176">
        <v>3</v>
      </c>
      <c r="R1176" s="4">
        <v>45352</v>
      </c>
      <c r="S1176" s="3">
        <v>2596400</v>
      </c>
      <c r="T1176" s="3">
        <v>15.32</v>
      </c>
    </row>
    <row r="1177" spans="1:20" x14ac:dyDescent="0.3">
      <c r="A1177" s="1">
        <v>45358</v>
      </c>
      <c r="B1177" s="2" t="s">
        <v>106</v>
      </c>
      <c r="C1177" s="2" t="s">
        <v>120</v>
      </c>
      <c r="D1177" s="2" t="s">
        <v>57</v>
      </c>
      <c r="E1177" s="2" t="s">
        <v>58</v>
      </c>
      <c r="F1177" s="2" t="s">
        <v>72</v>
      </c>
      <c r="G1177">
        <v>72</v>
      </c>
      <c r="H1177">
        <v>488</v>
      </c>
      <c r="I1177">
        <v>25</v>
      </c>
      <c r="J1177" s="3">
        <v>5123700</v>
      </c>
      <c r="K1177" s="3">
        <v>128092500</v>
      </c>
      <c r="L1177" s="2" t="s">
        <v>33</v>
      </c>
      <c r="M1177" s="2" t="s">
        <v>77</v>
      </c>
      <c r="N1177">
        <v>2024</v>
      </c>
      <c r="O1177" s="2" t="s">
        <v>27</v>
      </c>
      <c r="P1177" s="2" t="s">
        <v>139</v>
      </c>
      <c r="Q1177">
        <v>3</v>
      </c>
      <c r="R1177" s="4">
        <v>45352</v>
      </c>
      <c r="S1177" s="3">
        <v>5123700</v>
      </c>
      <c r="T1177" s="3">
        <v>12.81</v>
      </c>
    </row>
    <row r="1178" spans="1:20" x14ac:dyDescent="0.3">
      <c r="A1178" s="1">
        <v>45359</v>
      </c>
      <c r="B1178" s="2" t="s">
        <v>75</v>
      </c>
      <c r="C1178" s="2" t="s">
        <v>134</v>
      </c>
      <c r="D1178" s="2" t="s">
        <v>88</v>
      </c>
      <c r="E1178" s="2" t="s">
        <v>89</v>
      </c>
      <c r="F1178" s="2" t="s">
        <v>24</v>
      </c>
      <c r="G1178">
        <v>82</v>
      </c>
      <c r="H1178">
        <v>580</v>
      </c>
      <c r="I1178">
        <v>40</v>
      </c>
      <c r="J1178" s="3">
        <v>5325900</v>
      </c>
      <c r="K1178" s="3">
        <v>213036000</v>
      </c>
      <c r="L1178" s="2" t="s">
        <v>33</v>
      </c>
      <c r="M1178" s="2" t="s">
        <v>97</v>
      </c>
      <c r="N1178">
        <v>2024</v>
      </c>
      <c r="O1178" s="2" t="s">
        <v>27</v>
      </c>
      <c r="P1178" s="2" t="s">
        <v>139</v>
      </c>
      <c r="Q1178">
        <v>3</v>
      </c>
      <c r="R1178" s="4">
        <v>45352</v>
      </c>
      <c r="S1178" s="3">
        <v>5325900</v>
      </c>
      <c r="T1178" s="3">
        <v>21.3</v>
      </c>
    </row>
    <row r="1179" spans="1:20" x14ac:dyDescent="0.3">
      <c r="A1179" s="1">
        <v>45359</v>
      </c>
      <c r="B1179" s="2" t="s">
        <v>59</v>
      </c>
      <c r="C1179" s="2" t="s">
        <v>60</v>
      </c>
      <c r="D1179" s="2" t="s">
        <v>88</v>
      </c>
      <c r="E1179" s="2" t="s">
        <v>111</v>
      </c>
      <c r="F1179" s="2" t="s">
        <v>24</v>
      </c>
      <c r="G1179">
        <v>60</v>
      </c>
      <c r="H1179">
        <v>480</v>
      </c>
      <c r="I1179">
        <v>59</v>
      </c>
      <c r="J1179" s="3">
        <v>3228000</v>
      </c>
      <c r="K1179" s="3">
        <v>190452000</v>
      </c>
      <c r="L1179" s="2" t="s">
        <v>33</v>
      </c>
      <c r="M1179" s="2" t="s">
        <v>26</v>
      </c>
      <c r="N1179">
        <v>2024</v>
      </c>
      <c r="O1179" s="2" t="s">
        <v>27</v>
      </c>
      <c r="P1179" s="2" t="s">
        <v>139</v>
      </c>
      <c r="Q1179">
        <v>3</v>
      </c>
      <c r="R1179" s="4">
        <v>45352</v>
      </c>
      <c r="S1179" s="3">
        <v>3228000</v>
      </c>
      <c r="T1179" s="3">
        <v>19.05</v>
      </c>
    </row>
    <row r="1180" spans="1:20" x14ac:dyDescent="0.3">
      <c r="A1180" s="1">
        <v>45360</v>
      </c>
      <c r="B1180" s="2" t="s">
        <v>46</v>
      </c>
      <c r="C1180" s="2" t="s">
        <v>110</v>
      </c>
      <c r="D1180" s="2" t="s">
        <v>67</v>
      </c>
      <c r="E1180" s="2" t="s">
        <v>68</v>
      </c>
      <c r="F1180" s="2" t="s">
        <v>39</v>
      </c>
      <c r="G1180">
        <v>66</v>
      </c>
      <c r="H1180">
        <v>440</v>
      </c>
      <c r="I1180">
        <v>49</v>
      </c>
      <c r="J1180" s="3">
        <v>5385300</v>
      </c>
      <c r="K1180" s="3">
        <v>263879700</v>
      </c>
      <c r="L1180" s="2" t="s">
        <v>33</v>
      </c>
      <c r="M1180" s="2" t="s">
        <v>26</v>
      </c>
      <c r="N1180">
        <v>2024</v>
      </c>
      <c r="O1180" s="2" t="s">
        <v>27</v>
      </c>
      <c r="P1180" s="2" t="s">
        <v>139</v>
      </c>
      <c r="Q1180">
        <v>3</v>
      </c>
      <c r="R1180" s="4">
        <v>45352</v>
      </c>
      <c r="S1180" s="3">
        <v>5385300</v>
      </c>
      <c r="T1180" s="3">
        <v>26.39</v>
      </c>
    </row>
    <row r="1181" spans="1:20" x14ac:dyDescent="0.3">
      <c r="A1181" s="1">
        <v>45360</v>
      </c>
      <c r="B1181" s="2" t="s">
        <v>40</v>
      </c>
      <c r="C1181" s="2" t="s">
        <v>105</v>
      </c>
      <c r="D1181" s="2" t="s">
        <v>102</v>
      </c>
      <c r="E1181" s="2" t="s">
        <v>103</v>
      </c>
      <c r="F1181" s="2" t="s">
        <v>24</v>
      </c>
      <c r="G1181">
        <v>5</v>
      </c>
      <c r="H1181">
        <v>150</v>
      </c>
      <c r="I1181">
        <v>148</v>
      </c>
      <c r="J1181" s="3">
        <v>155700</v>
      </c>
      <c r="K1181" s="3">
        <v>23043600</v>
      </c>
      <c r="L1181" s="2" t="s">
        <v>25</v>
      </c>
      <c r="M1181" s="2" t="s">
        <v>77</v>
      </c>
      <c r="N1181">
        <v>2024</v>
      </c>
      <c r="O1181" s="2" t="s">
        <v>27</v>
      </c>
      <c r="P1181" s="2" t="s">
        <v>139</v>
      </c>
      <c r="Q1181">
        <v>3</v>
      </c>
      <c r="R1181" s="4">
        <v>45352</v>
      </c>
      <c r="S1181" s="3">
        <v>155700</v>
      </c>
      <c r="T1181" s="3">
        <v>2.2999999999999998</v>
      </c>
    </row>
    <row r="1182" spans="1:20" x14ac:dyDescent="0.3">
      <c r="A1182" s="1">
        <v>45361</v>
      </c>
      <c r="B1182" s="2" t="s">
        <v>48</v>
      </c>
      <c r="C1182" s="2" t="s">
        <v>73</v>
      </c>
      <c r="D1182" s="2" t="s">
        <v>63</v>
      </c>
      <c r="E1182" s="2" t="s">
        <v>64</v>
      </c>
      <c r="F1182" s="2" t="s">
        <v>24</v>
      </c>
      <c r="G1182">
        <v>3</v>
      </c>
      <c r="H1182">
        <v>127</v>
      </c>
      <c r="I1182">
        <v>31</v>
      </c>
      <c r="J1182" s="3">
        <v>178300</v>
      </c>
      <c r="K1182" s="3">
        <v>5527300</v>
      </c>
      <c r="L1182" s="2" t="s">
        <v>33</v>
      </c>
      <c r="M1182" s="2" t="s">
        <v>26</v>
      </c>
      <c r="N1182">
        <v>2024</v>
      </c>
      <c r="O1182" s="2" t="s">
        <v>27</v>
      </c>
      <c r="P1182" s="2" t="s">
        <v>139</v>
      </c>
      <c r="Q1182">
        <v>3</v>
      </c>
      <c r="R1182" s="4">
        <v>45352</v>
      </c>
      <c r="S1182" s="3">
        <v>178300</v>
      </c>
      <c r="T1182" s="3">
        <v>0.55000000000000004</v>
      </c>
    </row>
    <row r="1183" spans="1:20" x14ac:dyDescent="0.3">
      <c r="A1183" s="1">
        <v>45361</v>
      </c>
      <c r="B1183" s="2" t="s">
        <v>46</v>
      </c>
      <c r="C1183" s="2" t="s">
        <v>137</v>
      </c>
      <c r="D1183" s="2" t="s">
        <v>70</v>
      </c>
      <c r="E1183" s="2" t="s">
        <v>74</v>
      </c>
      <c r="F1183" s="2" t="s">
        <v>138</v>
      </c>
      <c r="G1183">
        <v>25</v>
      </c>
      <c r="H1183">
        <v>32</v>
      </c>
      <c r="I1183">
        <v>15</v>
      </c>
      <c r="J1183" s="3">
        <v>1012600</v>
      </c>
      <c r="K1183" s="3">
        <v>15189000</v>
      </c>
      <c r="L1183" s="2" t="s">
        <v>33</v>
      </c>
      <c r="M1183" s="2" t="s">
        <v>77</v>
      </c>
      <c r="N1183">
        <v>2024</v>
      </c>
      <c r="O1183" s="2" t="s">
        <v>27</v>
      </c>
      <c r="P1183" s="2" t="s">
        <v>139</v>
      </c>
      <c r="Q1183">
        <v>3</v>
      </c>
      <c r="R1183" s="4">
        <v>45352</v>
      </c>
      <c r="S1183" s="3">
        <v>1012600</v>
      </c>
      <c r="T1183" s="3">
        <v>1.52</v>
      </c>
    </row>
    <row r="1184" spans="1:20" x14ac:dyDescent="0.3">
      <c r="A1184" s="1">
        <v>45361</v>
      </c>
      <c r="B1184" s="2" t="s">
        <v>75</v>
      </c>
      <c r="C1184" s="2" t="s">
        <v>134</v>
      </c>
      <c r="D1184" s="2" t="s">
        <v>88</v>
      </c>
      <c r="E1184" s="2" t="s">
        <v>89</v>
      </c>
      <c r="F1184" s="2" t="s">
        <v>24</v>
      </c>
      <c r="G1184">
        <v>82</v>
      </c>
      <c r="H1184">
        <v>580</v>
      </c>
      <c r="I1184">
        <v>70</v>
      </c>
      <c r="J1184" s="3">
        <v>6145600</v>
      </c>
      <c r="K1184" s="3">
        <v>430192000</v>
      </c>
      <c r="L1184" s="2" t="s">
        <v>33</v>
      </c>
      <c r="M1184" s="2" t="s">
        <v>26</v>
      </c>
      <c r="N1184">
        <v>2024</v>
      </c>
      <c r="O1184" s="2" t="s">
        <v>27</v>
      </c>
      <c r="P1184" s="2" t="s">
        <v>139</v>
      </c>
      <c r="Q1184">
        <v>3</v>
      </c>
      <c r="R1184" s="4">
        <v>45352</v>
      </c>
      <c r="S1184" s="3">
        <v>6145600</v>
      </c>
      <c r="T1184" s="3">
        <v>43.02</v>
      </c>
    </row>
    <row r="1185" spans="1:20" x14ac:dyDescent="0.3">
      <c r="A1185" s="1">
        <v>45361</v>
      </c>
      <c r="B1185" s="2" t="s">
        <v>61</v>
      </c>
      <c r="C1185" s="2" t="s">
        <v>147</v>
      </c>
      <c r="D1185" s="2" t="s">
        <v>57</v>
      </c>
      <c r="E1185" s="2" t="s">
        <v>58</v>
      </c>
      <c r="F1185" s="2" t="s">
        <v>24</v>
      </c>
      <c r="G1185">
        <v>72</v>
      </c>
      <c r="H1185">
        <v>488</v>
      </c>
      <c r="I1185">
        <v>129</v>
      </c>
      <c r="J1185" s="3">
        <v>4564000</v>
      </c>
      <c r="K1185" s="3">
        <v>588756000</v>
      </c>
      <c r="L1185" s="2" t="s">
        <v>33</v>
      </c>
      <c r="M1185" s="2" t="s">
        <v>34</v>
      </c>
      <c r="N1185">
        <v>2024</v>
      </c>
      <c r="O1185" s="2" t="s">
        <v>27</v>
      </c>
      <c r="P1185" s="2" t="s">
        <v>139</v>
      </c>
      <c r="Q1185">
        <v>3</v>
      </c>
      <c r="R1185" s="4">
        <v>45352</v>
      </c>
      <c r="S1185" s="3">
        <v>4564000</v>
      </c>
      <c r="T1185" s="3">
        <v>58.88</v>
      </c>
    </row>
    <row r="1186" spans="1:20" x14ac:dyDescent="0.3">
      <c r="A1186" s="1">
        <v>45362</v>
      </c>
      <c r="B1186" s="2" t="s">
        <v>29</v>
      </c>
      <c r="C1186" s="2" t="s">
        <v>104</v>
      </c>
      <c r="D1186" s="2" t="s">
        <v>31</v>
      </c>
      <c r="E1186" s="2" t="s">
        <v>32</v>
      </c>
      <c r="F1186" s="2" t="s">
        <v>24</v>
      </c>
      <c r="G1186">
        <v>4</v>
      </c>
      <c r="H1186">
        <v>195</v>
      </c>
      <c r="I1186">
        <v>36</v>
      </c>
      <c r="J1186" s="3">
        <v>152200</v>
      </c>
      <c r="K1186" s="3">
        <v>5479200</v>
      </c>
      <c r="L1186" s="2" t="s">
        <v>25</v>
      </c>
      <c r="M1186" s="2" t="s">
        <v>77</v>
      </c>
      <c r="N1186">
        <v>2024</v>
      </c>
      <c r="O1186" s="2" t="s">
        <v>27</v>
      </c>
      <c r="P1186" s="2" t="s">
        <v>139</v>
      </c>
      <c r="Q1186">
        <v>3</v>
      </c>
      <c r="R1186" s="4">
        <v>45352</v>
      </c>
      <c r="S1186" s="3">
        <v>152200</v>
      </c>
      <c r="T1186" s="3">
        <v>0.55000000000000004</v>
      </c>
    </row>
    <row r="1187" spans="1:20" x14ac:dyDescent="0.3">
      <c r="A1187" s="1">
        <v>45362</v>
      </c>
      <c r="B1187" s="2" t="s">
        <v>29</v>
      </c>
      <c r="C1187" s="2" t="s">
        <v>65</v>
      </c>
      <c r="D1187" s="2" t="s">
        <v>63</v>
      </c>
      <c r="E1187" s="2" t="s">
        <v>64</v>
      </c>
      <c r="F1187" s="2" t="s">
        <v>24</v>
      </c>
      <c r="G1187">
        <v>3</v>
      </c>
      <c r="H1187">
        <v>127</v>
      </c>
      <c r="I1187">
        <v>104</v>
      </c>
      <c r="J1187" s="3">
        <v>168500</v>
      </c>
      <c r="K1187" s="3">
        <v>17524000</v>
      </c>
      <c r="L1187" s="2" t="s">
        <v>25</v>
      </c>
      <c r="M1187" s="2" t="s">
        <v>26</v>
      </c>
      <c r="N1187">
        <v>2024</v>
      </c>
      <c r="O1187" s="2" t="s">
        <v>27</v>
      </c>
      <c r="P1187" s="2" t="s">
        <v>139</v>
      </c>
      <c r="Q1187">
        <v>3</v>
      </c>
      <c r="R1187" s="4">
        <v>45352</v>
      </c>
      <c r="S1187" s="3">
        <v>168500</v>
      </c>
      <c r="T1187" s="3">
        <v>1.75</v>
      </c>
    </row>
    <row r="1188" spans="1:20" x14ac:dyDescent="0.3">
      <c r="A1188" s="1">
        <v>45362</v>
      </c>
      <c r="B1188" s="2" t="s">
        <v>20</v>
      </c>
      <c r="C1188" s="2" t="s">
        <v>21</v>
      </c>
      <c r="D1188" s="2" t="s">
        <v>57</v>
      </c>
      <c r="E1188" s="2" t="s">
        <v>86</v>
      </c>
      <c r="F1188" s="2" t="s">
        <v>72</v>
      </c>
      <c r="G1188">
        <v>48</v>
      </c>
      <c r="H1188">
        <v>39</v>
      </c>
      <c r="I1188">
        <v>82</v>
      </c>
      <c r="J1188" s="3">
        <v>1931600</v>
      </c>
      <c r="K1188" s="3">
        <v>158391200</v>
      </c>
      <c r="L1188" s="2" t="s">
        <v>33</v>
      </c>
      <c r="M1188" s="2" t="s">
        <v>26</v>
      </c>
      <c r="N1188">
        <v>2024</v>
      </c>
      <c r="O1188" s="2" t="s">
        <v>27</v>
      </c>
      <c r="P1188" s="2" t="s">
        <v>139</v>
      </c>
      <c r="Q1188">
        <v>3</v>
      </c>
      <c r="R1188" s="4">
        <v>45352</v>
      </c>
      <c r="S1188" s="3">
        <v>1931600</v>
      </c>
      <c r="T1188" s="3">
        <v>15.84</v>
      </c>
    </row>
    <row r="1189" spans="1:20" x14ac:dyDescent="0.3">
      <c r="A1189" s="1">
        <v>45363</v>
      </c>
      <c r="B1189" s="2" t="s">
        <v>29</v>
      </c>
      <c r="C1189" s="2" t="s">
        <v>30</v>
      </c>
      <c r="D1189" s="2" t="s">
        <v>79</v>
      </c>
      <c r="E1189" s="2" t="s">
        <v>80</v>
      </c>
      <c r="F1189" s="2" t="s">
        <v>24</v>
      </c>
      <c r="G1189">
        <v>69</v>
      </c>
      <c r="H1189">
        <v>418</v>
      </c>
      <c r="I1189">
        <v>24</v>
      </c>
      <c r="J1189" s="3">
        <v>6313100</v>
      </c>
      <c r="K1189" s="3">
        <v>151514400</v>
      </c>
      <c r="L1189" s="2" t="s">
        <v>33</v>
      </c>
      <c r="M1189" s="2" t="s">
        <v>26</v>
      </c>
      <c r="N1189">
        <v>2024</v>
      </c>
      <c r="O1189" s="2" t="s">
        <v>27</v>
      </c>
      <c r="P1189" s="2" t="s">
        <v>139</v>
      </c>
      <c r="Q1189">
        <v>3</v>
      </c>
      <c r="R1189" s="4">
        <v>45352</v>
      </c>
      <c r="S1189" s="3">
        <v>6313100</v>
      </c>
      <c r="T1189" s="3">
        <v>15.15</v>
      </c>
    </row>
    <row r="1190" spans="1:20" x14ac:dyDescent="0.3">
      <c r="A1190" s="1">
        <v>45363</v>
      </c>
      <c r="B1190" s="2" t="s">
        <v>59</v>
      </c>
      <c r="C1190" s="2" t="s">
        <v>60</v>
      </c>
      <c r="D1190" s="2" t="s">
        <v>22</v>
      </c>
      <c r="E1190" s="2" t="s">
        <v>23</v>
      </c>
      <c r="F1190" s="2" t="s">
        <v>138</v>
      </c>
      <c r="G1190">
        <v>82</v>
      </c>
      <c r="H1190">
        <v>520</v>
      </c>
      <c r="I1190">
        <v>3</v>
      </c>
      <c r="J1190" s="3">
        <v>6931100</v>
      </c>
      <c r="K1190" s="3">
        <v>20793300</v>
      </c>
      <c r="L1190" s="2" t="s">
        <v>33</v>
      </c>
      <c r="M1190" s="2" t="s">
        <v>34</v>
      </c>
      <c r="N1190">
        <v>2024</v>
      </c>
      <c r="O1190" s="2" t="s">
        <v>27</v>
      </c>
      <c r="P1190" s="2" t="s">
        <v>139</v>
      </c>
      <c r="Q1190">
        <v>3</v>
      </c>
      <c r="R1190" s="4">
        <v>45352</v>
      </c>
      <c r="S1190" s="3">
        <v>6931100</v>
      </c>
      <c r="T1190" s="3">
        <v>2.08</v>
      </c>
    </row>
    <row r="1191" spans="1:20" x14ac:dyDescent="0.3">
      <c r="A1191" s="1">
        <v>45363</v>
      </c>
      <c r="B1191" s="2" t="s">
        <v>40</v>
      </c>
      <c r="C1191" s="2" t="s">
        <v>78</v>
      </c>
      <c r="D1191" s="2" t="s">
        <v>88</v>
      </c>
      <c r="E1191" s="2" t="s">
        <v>89</v>
      </c>
      <c r="F1191" s="2" t="s">
        <v>24</v>
      </c>
      <c r="G1191">
        <v>82</v>
      </c>
      <c r="H1191">
        <v>580</v>
      </c>
      <c r="I1191">
        <v>72</v>
      </c>
      <c r="J1191" s="3">
        <v>5913700</v>
      </c>
      <c r="K1191" s="3">
        <v>425786400</v>
      </c>
      <c r="L1191" s="2" t="s">
        <v>33</v>
      </c>
      <c r="M1191" s="2" t="s">
        <v>77</v>
      </c>
      <c r="N1191">
        <v>2024</v>
      </c>
      <c r="O1191" s="2" t="s">
        <v>27</v>
      </c>
      <c r="P1191" s="2" t="s">
        <v>139</v>
      </c>
      <c r="Q1191">
        <v>3</v>
      </c>
      <c r="R1191" s="4">
        <v>45352</v>
      </c>
      <c r="S1191" s="3">
        <v>5913700</v>
      </c>
      <c r="T1191" s="3">
        <v>42.58</v>
      </c>
    </row>
    <row r="1192" spans="1:20" x14ac:dyDescent="0.3">
      <c r="A1192" s="1">
        <v>45363</v>
      </c>
      <c r="B1192" s="2" t="s">
        <v>20</v>
      </c>
      <c r="C1192" s="2" t="s">
        <v>125</v>
      </c>
      <c r="D1192" s="2" t="s">
        <v>31</v>
      </c>
      <c r="E1192" s="2" t="s">
        <v>124</v>
      </c>
      <c r="F1192" s="2" t="s">
        <v>24</v>
      </c>
      <c r="G1192">
        <v>3</v>
      </c>
      <c r="H1192">
        <v>151</v>
      </c>
      <c r="I1192">
        <v>96</v>
      </c>
      <c r="J1192" s="3">
        <v>104700</v>
      </c>
      <c r="K1192" s="3">
        <v>10051200</v>
      </c>
      <c r="L1192" s="2" t="s">
        <v>33</v>
      </c>
      <c r="M1192" s="2" t="s">
        <v>26</v>
      </c>
      <c r="N1192">
        <v>2024</v>
      </c>
      <c r="O1192" s="2" t="s">
        <v>27</v>
      </c>
      <c r="P1192" s="2" t="s">
        <v>139</v>
      </c>
      <c r="Q1192">
        <v>3</v>
      </c>
      <c r="R1192" s="4">
        <v>45352</v>
      </c>
      <c r="S1192" s="3">
        <v>104700</v>
      </c>
      <c r="T1192" s="3">
        <v>1.01</v>
      </c>
    </row>
    <row r="1193" spans="1:20" x14ac:dyDescent="0.3">
      <c r="A1193" s="1">
        <v>45364</v>
      </c>
      <c r="B1193" s="2" t="s">
        <v>90</v>
      </c>
      <c r="C1193" s="2" t="s">
        <v>99</v>
      </c>
      <c r="D1193" s="2" t="s">
        <v>82</v>
      </c>
      <c r="E1193" s="2" t="s">
        <v>141</v>
      </c>
      <c r="F1193" s="2" t="s">
        <v>24</v>
      </c>
      <c r="G1193">
        <v>59</v>
      </c>
      <c r="H1193">
        <v>55</v>
      </c>
      <c r="I1193">
        <v>45</v>
      </c>
      <c r="J1193" s="3">
        <v>2493300</v>
      </c>
      <c r="K1193" s="3">
        <v>112198500</v>
      </c>
      <c r="L1193" s="2" t="s">
        <v>25</v>
      </c>
      <c r="M1193" s="2" t="s">
        <v>26</v>
      </c>
      <c r="N1193">
        <v>2024</v>
      </c>
      <c r="O1193" s="2" t="s">
        <v>27</v>
      </c>
      <c r="P1193" s="2" t="s">
        <v>139</v>
      </c>
      <c r="Q1193">
        <v>3</v>
      </c>
      <c r="R1193" s="4">
        <v>45352</v>
      </c>
      <c r="S1193" s="3">
        <v>2493300</v>
      </c>
      <c r="T1193" s="3">
        <v>11.22</v>
      </c>
    </row>
    <row r="1194" spans="1:20" x14ac:dyDescent="0.3">
      <c r="A1194" s="1">
        <v>45364</v>
      </c>
      <c r="B1194" s="2" t="s">
        <v>40</v>
      </c>
      <c r="C1194" s="2" t="s">
        <v>41</v>
      </c>
      <c r="D1194" s="2" t="s">
        <v>37</v>
      </c>
      <c r="E1194" s="2" t="s">
        <v>38</v>
      </c>
      <c r="F1194" s="2" t="s">
        <v>72</v>
      </c>
      <c r="G1194">
        <v>66</v>
      </c>
      <c r="H1194">
        <v>423</v>
      </c>
      <c r="I1194">
        <v>59</v>
      </c>
      <c r="J1194" s="3">
        <v>7684700</v>
      </c>
      <c r="K1194" s="3">
        <v>453397300</v>
      </c>
      <c r="L1194" s="2" t="s">
        <v>33</v>
      </c>
      <c r="M1194" s="2" t="s">
        <v>26</v>
      </c>
      <c r="N1194">
        <v>2024</v>
      </c>
      <c r="O1194" s="2" t="s">
        <v>27</v>
      </c>
      <c r="P1194" s="2" t="s">
        <v>139</v>
      </c>
      <c r="Q1194">
        <v>3</v>
      </c>
      <c r="R1194" s="4">
        <v>45352</v>
      </c>
      <c r="S1194" s="3">
        <v>7684700</v>
      </c>
      <c r="T1194" s="3">
        <v>45.34</v>
      </c>
    </row>
    <row r="1195" spans="1:20" x14ac:dyDescent="0.3">
      <c r="A1195" s="1">
        <v>45364</v>
      </c>
      <c r="B1195" s="2" t="s">
        <v>29</v>
      </c>
      <c r="C1195" s="2" t="s">
        <v>104</v>
      </c>
      <c r="D1195" s="2" t="s">
        <v>82</v>
      </c>
      <c r="E1195" s="2" t="s">
        <v>141</v>
      </c>
      <c r="F1195" s="2" t="s">
        <v>72</v>
      </c>
      <c r="G1195">
        <v>59</v>
      </c>
      <c r="H1195">
        <v>55</v>
      </c>
      <c r="I1195">
        <v>78</v>
      </c>
      <c r="J1195" s="3">
        <v>3097700</v>
      </c>
      <c r="K1195" s="3">
        <v>241620600</v>
      </c>
      <c r="L1195" s="2" t="s">
        <v>33</v>
      </c>
      <c r="M1195" s="2" t="s">
        <v>26</v>
      </c>
      <c r="N1195">
        <v>2024</v>
      </c>
      <c r="O1195" s="2" t="s">
        <v>27</v>
      </c>
      <c r="P1195" s="2" t="s">
        <v>139</v>
      </c>
      <c r="Q1195">
        <v>3</v>
      </c>
      <c r="R1195" s="4">
        <v>45352</v>
      </c>
      <c r="S1195" s="3">
        <v>3097700</v>
      </c>
      <c r="T1195" s="3">
        <v>24.16</v>
      </c>
    </row>
    <row r="1196" spans="1:20" x14ac:dyDescent="0.3">
      <c r="A1196" s="1">
        <v>45365</v>
      </c>
      <c r="B1196" s="2" t="s">
        <v>40</v>
      </c>
      <c r="C1196" s="2" t="s">
        <v>136</v>
      </c>
      <c r="D1196" s="2" t="s">
        <v>50</v>
      </c>
      <c r="E1196" s="2" t="s">
        <v>51</v>
      </c>
      <c r="F1196" s="2" t="s">
        <v>24</v>
      </c>
      <c r="G1196">
        <v>77</v>
      </c>
      <c r="H1196">
        <v>528</v>
      </c>
      <c r="I1196">
        <v>36</v>
      </c>
      <c r="J1196" s="3">
        <v>4472800</v>
      </c>
      <c r="K1196" s="3">
        <v>161020800</v>
      </c>
      <c r="L1196" s="2" t="s">
        <v>33</v>
      </c>
      <c r="M1196" s="2" t="s">
        <v>26</v>
      </c>
      <c r="N1196">
        <v>2024</v>
      </c>
      <c r="O1196" s="2" t="s">
        <v>27</v>
      </c>
      <c r="P1196" s="2" t="s">
        <v>139</v>
      </c>
      <c r="Q1196">
        <v>3</v>
      </c>
      <c r="R1196" s="4">
        <v>45352</v>
      </c>
      <c r="S1196" s="3">
        <v>4472800</v>
      </c>
      <c r="T1196" s="3">
        <v>16.100000000000001</v>
      </c>
    </row>
    <row r="1197" spans="1:20" x14ac:dyDescent="0.3">
      <c r="A1197" s="1">
        <v>45365</v>
      </c>
      <c r="B1197" s="2" t="s">
        <v>40</v>
      </c>
      <c r="C1197" s="2" t="s">
        <v>78</v>
      </c>
      <c r="D1197" s="2" t="s">
        <v>63</v>
      </c>
      <c r="E1197" s="2" t="s">
        <v>64</v>
      </c>
      <c r="F1197" s="2" t="s">
        <v>24</v>
      </c>
      <c r="G1197">
        <v>3</v>
      </c>
      <c r="H1197">
        <v>127</v>
      </c>
      <c r="I1197">
        <v>34</v>
      </c>
      <c r="J1197" s="3">
        <v>180300</v>
      </c>
      <c r="K1197" s="3">
        <v>6130200</v>
      </c>
      <c r="L1197" s="2" t="s">
        <v>25</v>
      </c>
      <c r="M1197" s="2" t="s">
        <v>34</v>
      </c>
      <c r="N1197">
        <v>2024</v>
      </c>
      <c r="O1197" s="2" t="s">
        <v>27</v>
      </c>
      <c r="P1197" s="2" t="s">
        <v>139</v>
      </c>
      <c r="Q1197">
        <v>3</v>
      </c>
      <c r="R1197" s="4">
        <v>45352</v>
      </c>
      <c r="S1197" s="3">
        <v>180300</v>
      </c>
      <c r="T1197" s="3">
        <v>0.61</v>
      </c>
    </row>
    <row r="1198" spans="1:20" x14ac:dyDescent="0.3">
      <c r="A1198" s="1">
        <v>45365</v>
      </c>
      <c r="B1198" s="2" t="s">
        <v>20</v>
      </c>
      <c r="C1198" s="2" t="s">
        <v>21</v>
      </c>
      <c r="D1198" s="2" t="s">
        <v>82</v>
      </c>
      <c r="E1198" s="2" t="s">
        <v>83</v>
      </c>
      <c r="F1198" s="2" t="s">
        <v>24</v>
      </c>
      <c r="G1198">
        <v>40</v>
      </c>
      <c r="H1198">
        <v>39</v>
      </c>
      <c r="I1198">
        <v>29</v>
      </c>
      <c r="J1198" s="3">
        <v>2360200</v>
      </c>
      <c r="K1198" s="3">
        <v>68445800</v>
      </c>
      <c r="L1198" s="2" t="s">
        <v>33</v>
      </c>
      <c r="M1198" s="2" t="s">
        <v>26</v>
      </c>
      <c r="N1198">
        <v>2024</v>
      </c>
      <c r="O1198" s="2" t="s">
        <v>27</v>
      </c>
      <c r="P1198" s="2" t="s">
        <v>139</v>
      </c>
      <c r="Q1198">
        <v>3</v>
      </c>
      <c r="R1198" s="4">
        <v>45352</v>
      </c>
      <c r="S1198" s="3">
        <v>2360200</v>
      </c>
      <c r="T1198" s="3">
        <v>6.84</v>
      </c>
    </row>
    <row r="1199" spans="1:20" x14ac:dyDescent="0.3">
      <c r="A1199" s="1">
        <v>45365</v>
      </c>
      <c r="B1199" s="2" t="s">
        <v>84</v>
      </c>
      <c r="C1199" s="2" t="s">
        <v>93</v>
      </c>
      <c r="D1199" s="2" t="s">
        <v>70</v>
      </c>
      <c r="E1199" s="2" t="s">
        <v>71</v>
      </c>
      <c r="F1199" s="2" t="s">
        <v>24</v>
      </c>
      <c r="G1199">
        <v>50</v>
      </c>
      <c r="H1199">
        <v>46</v>
      </c>
      <c r="I1199">
        <v>11</v>
      </c>
      <c r="J1199" s="3">
        <v>2462600</v>
      </c>
      <c r="K1199" s="3">
        <v>27088600</v>
      </c>
      <c r="L1199" s="2" t="s">
        <v>33</v>
      </c>
      <c r="M1199" s="2" t="s">
        <v>77</v>
      </c>
      <c r="N1199">
        <v>2024</v>
      </c>
      <c r="O1199" s="2" t="s">
        <v>27</v>
      </c>
      <c r="P1199" s="2" t="s">
        <v>139</v>
      </c>
      <c r="Q1199">
        <v>3</v>
      </c>
      <c r="R1199" s="4">
        <v>45352</v>
      </c>
      <c r="S1199" s="3">
        <v>2462600</v>
      </c>
      <c r="T1199" s="3">
        <v>2.71</v>
      </c>
    </row>
    <row r="1200" spans="1:20" x14ac:dyDescent="0.3">
      <c r="A1200" s="1">
        <v>45366</v>
      </c>
      <c r="B1200" s="2" t="s">
        <v>59</v>
      </c>
      <c r="C1200" s="2" t="s">
        <v>129</v>
      </c>
      <c r="D1200" s="2" t="s">
        <v>42</v>
      </c>
      <c r="E1200" s="2" t="s">
        <v>43</v>
      </c>
      <c r="F1200" s="2" t="s">
        <v>24</v>
      </c>
      <c r="G1200">
        <v>3</v>
      </c>
      <c r="H1200">
        <v>135</v>
      </c>
      <c r="I1200">
        <v>48</v>
      </c>
      <c r="J1200" s="3">
        <v>129600</v>
      </c>
      <c r="K1200" s="3">
        <v>6220800</v>
      </c>
      <c r="L1200" s="2" t="s">
        <v>25</v>
      </c>
      <c r="M1200" s="2" t="s">
        <v>34</v>
      </c>
      <c r="N1200">
        <v>2024</v>
      </c>
      <c r="O1200" s="2" t="s">
        <v>27</v>
      </c>
      <c r="P1200" s="2" t="s">
        <v>139</v>
      </c>
      <c r="Q1200">
        <v>3</v>
      </c>
      <c r="R1200" s="4">
        <v>45352</v>
      </c>
      <c r="S1200" s="3">
        <v>129600</v>
      </c>
      <c r="T1200" s="3">
        <v>0.62</v>
      </c>
    </row>
    <row r="1201" spans="1:20" x14ac:dyDescent="0.3">
      <c r="A1201" s="1">
        <v>45367</v>
      </c>
      <c r="B1201" s="2" t="s">
        <v>35</v>
      </c>
      <c r="C1201" s="2" t="s">
        <v>132</v>
      </c>
      <c r="D1201" s="2" t="s">
        <v>94</v>
      </c>
      <c r="E1201" s="2" t="s">
        <v>115</v>
      </c>
      <c r="F1201" s="2" t="s">
        <v>24</v>
      </c>
      <c r="G1201">
        <v>24</v>
      </c>
      <c r="H1201">
        <v>24</v>
      </c>
      <c r="I1201">
        <v>44</v>
      </c>
      <c r="J1201" s="3">
        <v>1298000</v>
      </c>
      <c r="K1201" s="3">
        <v>57112000</v>
      </c>
      <c r="L1201" s="2" t="s">
        <v>33</v>
      </c>
      <c r="M1201" s="2" t="s">
        <v>26</v>
      </c>
      <c r="N1201">
        <v>2024</v>
      </c>
      <c r="O1201" s="2" t="s">
        <v>27</v>
      </c>
      <c r="P1201" s="2" t="s">
        <v>139</v>
      </c>
      <c r="Q1201">
        <v>3</v>
      </c>
      <c r="R1201" s="4">
        <v>45352</v>
      </c>
      <c r="S1201" s="3">
        <v>1298000</v>
      </c>
      <c r="T1201" s="3">
        <v>5.71</v>
      </c>
    </row>
    <row r="1202" spans="1:20" x14ac:dyDescent="0.3">
      <c r="A1202" s="1">
        <v>45367</v>
      </c>
      <c r="B1202" s="2" t="s">
        <v>40</v>
      </c>
      <c r="C1202" s="2" t="s">
        <v>41</v>
      </c>
      <c r="D1202" s="2" t="s">
        <v>54</v>
      </c>
      <c r="E1202" s="2" t="s">
        <v>55</v>
      </c>
      <c r="F1202" s="2" t="s">
        <v>24</v>
      </c>
      <c r="G1202">
        <v>30</v>
      </c>
      <c r="H1202">
        <v>320</v>
      </c>
      <c r="I1202">
        <v>33</v>
      </c>
      <c r="J1202" s="3">
        <v>1346300</v>
      </c>
      <c r="K1202" s="3">
        <v>44427900</v>
      </c>
      <c r="L1202" s="2" t="s">
        <v>25</v>
      </c>
      <c r="M1202" s="2" t="s">
        <v>77</v>
      </c>
      <c r="N1202">
        <v>2024</v>
      </c>
      <c r="O1202" s="2" t="s">
        <v>27</v>
      </c>
      <c r="P1202" s="2" t="s">
        <v>139</v>
      </c>
      <c r="Q1202">
        <v>3</v>
      </c>
      <c r="R1202" s="4">
        <v>45352</v>
      </c>
      <c r="S1202" s="3">
        <v>1346300</v>
      </c>
      <c r="T1202" s="3">
        <v>4.4400000000000004</v>
      </c>
    </row>
    <row r="1203" spans="1:20" x14ac:dyDescent="0.3">
      <c r="A1203" s="1">
        <v>45368</v>
      </c>
      <c r="B1203" s="2" t="s">
        <v>106</v>
      </c>
      <c r="C1203" s="2" t="s">
        <v>107</v>
      </c>
      <c r="D1203" s="2" t="s">
        <v>67</v>
      </c>
      <c r="E1203" s="2" t="s">
        <v>68</v>
      </c>
      <c r="F1203" s="2" t="s">
        <v>24</v>
      </c>
      <c r="G1203">
        <v>66</v>
      </c>
      <c r="H1203">
        <v>440</v>
      </c>
      <c r="I1203">
        <v>66</v>
      </c>
      <c r="J1203" s="3">
        <v>6274900</v>
      </c>
      <c r="K1203" s="3">
        <v>414143400</v>
      </c>
      <c r="L1203" s="2" t="s">
        <v>25</v>
      </c>
      <c r="M1203" s="2" t="s">
        <v>34</v>
      </c>
      <c r="N1203">
        <v>2024</v>
      </c>
      <c r="O1203" s="2" t="s">
        <v>27</v>
      </c>
      <c r="P1203" s="2" t="s">
        <v>139</v>
      </c>
      <c r="Q1203">
        <v>3</v>
      </c>
      <c r="R1203" s="4">
        <v>45352</v>
      </c>
      <c r="S1203" s="3">
        <v>6274900</v>
      </c>
      <c r="T1203" s="3">
        <v>41.41</v>
      </c>
    </row>
    <row r="1204" spans="1:20" x14ac:dyDescent="0.3">
      <c r="A1204" s="1">
        <v>45368</v>
      </c>
      <c r="B1204" s="2" t="s">
        <v>84</v>
      </c>
      <c r="C1204" s="2" t="s">
        <v>85</v>
      </c>
      <c r="D1204" s="2" t="s">
        <v>50</v>
      </c>
      <c r="E1204" s="2" t="s">
        <v>51</v>
      </c>
      <c r="F1204" s="2" t="s">
        <v>24</v>
      </c>
      <c r="G1204">
        <v>77</v>
      </c>
      <c r="H1204">
        <v>528</v>
      </c>
      <c r="I1204">
        <v>23</v>
      </c>
      <c r="J1204" s="3">
        <v>4876600</v>
      </c>
      <c r="K1204" s="3">
        <v>112161800</v>
      </c>
      <c r="L1204" s="2" t="s">
        <v>33</v>
      </c>
      <c r="M1204" s="2" t="s">
        <v>26</v>
      </c>
      <c r="N1204">
        <v>2024</v>
      </c>
      <c r="O1204" s="2" t="s">
        <v>27</v>
      </c>
      <c r="P1204" s="2" t="s">
        <v>139</v>
      </c>
      <c r="Q1204">
        <v>3</v>
      </c>
      <c r="R1204" s="4">
        <v>45352</v>
      </c>
      <c r="S1204" s="3">
        <v>4876600</v>
      </c>
      <c r="T1204" s="3">
        <v>11.22</v>
      </c>
    </row>
    <row r="1205" spans="1:20" x14ac:dyDescent="0.3">
      <c r="A1205" s="1">
        <v>45369</v>
      </c>
      <c r="B1205" s="2" t="s">
        <v>46</v>
      </c>
      <c r="C1205" s="2" t="s">
        <v>137</v>
      </c>
      <c r="D1205" s="2" t="s">
        <v>79</v>
      </c>
      <c r="E1205" s="2" t="s">
        <v>80</v>
      </c>
      <c r="F1205" s="2" t="s">
        <v>24</v>
      </c>
      <c r="G1205">
        <v>69</v>
      </c>
      <c r="H1205">
        <v>418</v>
      </c>
      <c r="I1205">
        <v>21</v>
      </c>
      <c r="J1205" s="3">
        <v>5135500</v>
      </c>
      <c r="K1205" s="3">
        <v>107845500</v>
      </c>
      <c r="L1205" s="2" t="s">
        <v>33</v>
      </c>
      <c r="M1205" s="2" t="s">
        <v>26</v>
      </c>
      <c r="N1205">
        <v>2024</v>
      </c>
      <c r="O1205" s="2" t="s">
        <v>27</v>
      </c>
      <c r="P1205" s="2" t="s">
        <v>139</v>
      </c>
      <c r="Q1205">
        <v>3</v>
      </c>
      <c r="R1205" s="4">
        <v>45352</v>
      </c>
      <c r="S1205" s="3">
        <v>5135500</v>
      </c>
      <c r="T1205" s="3">
        <v>10.78</v>
      </c>
    </row>
    <row r="1206" spans="1:20" x14ac:dyDescent="0.3">
      <c r="A1206" s="1">
        <v>45370</v>
      </c>
      <c r="B1206" s="2" t="s">
        <v>46</v>
      </c>
      <c r="C1206" s="2" t="s">
        <v>47</v>
      </c>
      <c r="D1206" s="2" t="s">
        <v>31</v>
      </c>
      <c r="E1206" s="2" t="s">
        <v>32</v>
      </c>
      <c r="F1206" s="2" t="s">
        <v>24</v>
      </c>
      <c r="G1206">
        <v>4</v>
      </c>
      <c r="H1206">
        <v>195</v>
      </c>
      <c r="I1206">
        <v>158</v>
      </c>
      <c r="J1206" s="3">
        <v>129300</v>
      </c>
      <c r="K1206" s="3">
        <v>20429400</v>
      </c>
      <c r="L1206" s="2" t="s">
        <v>33</v>
      </c>
      <c r="M1206" s="2" t="s">
        <v>77</v>
      </c>
      <c r="N1206">
        <v>2024</v>
      </c>
      <c r="O1206" s="2" t="s">
        <v>27</v>
      </c>
      <c r="P1206" s="2" t="s">
        <v>139</v>
      </c>
      <c r="Q1206">
        <v>3</v>
      </c>
      <c r="R1206" s="4">
        <v>45352</v>
      </c>
      <c r="S1206" s="3">
        <v>129300</v>
      </c>
      <c r="T1206" s="3">
        <v>2.04</v>
      </c>
    </row>
    <row r="1207" spans="1:20" x14ac:dyDescent="0.3">
      <c r="A1207" s="1">
        <v>45370</v>
      </c>
      <c r="B1207" s="2" t="s">
        <v>44</v>
      </c>
      <c r="C1207" s="2" t="s">
        <v>142</v>
      </c>
      <c r="D1207" s="2" t="s">
        <v>94</v>
      </c>
      <c r="E1207" s="2" t="s">
        <v>95</v>
      </c>
      <c r="F1207" s="2" t="s">
        <v>24</v>
      </c>
      <c r="G1207">
        <v>40</v>
      </c>
      <c r="H1207">
        <v>30</v>
      </c>
      <c r="I1207">
        <v>127</v>
      </c>
      <c r="J1207" s="3">
        <v>2528900</v>
      </c>
      <c r="K1207" s="3">
        <v>321170300</v>
      </c>
      <c r="L1207" s="2" t="s">
        <v>33</v>
      </c>
      <c r="M1207" s="2" t="s">
        <v>26</v>
      </c>
      <c r="N1207">
        <v>2024</v>
      </c>
      <c r="O1207" s="2" t="s">
        <v>27</v>
      </c>
      <c r="P1207" s="2" t="s">
        <v>139</v>
      </c>
      <c r="Q1207">
        <v>3</v>
      </c>
      <c r="R1207" s="4">
        <v>45352</v>
      </c>
      <c r="S1207" s="3">
        <v>2528900</v>
      </c>
      <c r="T1207" s="3">
        <v>32.119999999999997</v>
      </c>
    </row>
    <row r="1208" spans="1:20" x14ac:dyDescent="0.3">
      <c r="A1208" s="1">
        <v>45370</v>
      </c>
      <c r="B1208" s="2" t="s">
        <v>48</v>
      </c>
      <c r="C1208" s="2" t="s">
        <v>73</v>
      </c>
      <c r="D1208" s="2" t="s">
        <v>31</v>
      </c>
      <c r="E1208" s="2" t="s">
        <v>32</v>
      </c>
      <c r="F1208" s="2" t="s">
        <v>24</v>
      </c>
      <c r="G1208">
        <v>4</v>
      </c>
      <c r="H1208">
        <v>195</v>
      </c>
      <c r="I1208">
        <v>35</v>
      </c>
      <c r="J1208" s="3">
        <v>142600</v>
      </c>
      <c r="K1208" s="3">
        <v>4991000</v>
      </c>
      <c r="L1208" s="2" t="s">
        <v>33</v>
      </c>
      <c r="M1208" s="2" t="s">
        <v>26</v>
      </c>
      <c r="N1208">
        <v>2024</v>
      </c>
      <c r="O1208" s="2" t="s">
        <v>27</v>
      </c>
      <c r="P1208" s="2" t="s">
        <v>139</v>
      </c>
      <c r="Q1208">
        <v>3</v>
      </c>
      <c r="R1208" s="4">
        <v>45352</v>
      </c>
      <c r="S1208" s="3">
        <v>142600</v>
      </c>
      <c r="T1208" s="3">
        <v>0.5</v>
      </c>
    </row>
    <row r="1209" spans="1:20" x14ac:dyDescent="0.3">
      <c r="A1209" s="1">
        <v>45371</v>
      </c>
      <c r="B1209" s="2" t="s">
        <v>40</v>
      </c>
      <c r="C1209" s="2" t="s">
        <v>136</v>
      </c>
      <c r="D1209" s="2" t="s">
        <v>70</v>
      </c>
      <c r="E1209" s="2" t="s">
        <v>71</v>
      </c>
      <c r="F1209" s="2" t="s">
        <v>138</v>
      </c>
      <c r="G1209">
        <v>50</v>
      </c>
      <c r="H1209">
        <v>46</v>
      </c>
      <c r="I1209">
        <v>80</v>
      </c>
      <c r="J1209" s="3">
        <v>2180300</v>
      </c>
      <c r="K1209" s="3">
        <v>174424000</v>
      </c>
      <c r="L1209" s="2" t="s">
        <v>33</v>
      </c>
      <c r="M1209" s="2" t="s">
        <v>77</v>
      </c>
      <c r="N1209">
        <v>2024</v>
      </c>
      <c r="O1209" s="2" t="s">
        <v>27</v>
      </c>
      <c r="P1209" s="2" t="s">
        <v>139</v>
      </c>
      <c r="Q1209">
        <v>3</v>
      </c>
      <c r="R1209" s="4">
        <v>45352</v>
      </c>
      <c r="S1209" s="3">
        <v>2180300</v>
      </c>
      <c r="T1209" s="3">
        <v>17.440000000000001</v>
      </c>
    </row>
    <row r="1210" spans="1:20" x14ac:dyDescent="0.3">
      <c r="A1210" s="1">
        <v>45371</v>
      </c>
      <c r="B1210" s="2" t="s">
        <v>29</v>
      </c>
      <c r="C1210" s="2" t="s">
        <v>65</v>
      </c>
      <c r="D1210" s="2" t="s">
        <v>102</v>
      </c>
      <c r="E1210" s="2" t="s">
        <v>103</v>
      </c>
      <c r="F1210" s="2" t="s">
        <v>24</v>
      </c>
      <c r="G1210">
        <v>5</v>
      </c>
      <c r="H1210">
        <v>150</v>
      </c>
      <c r="I1210">
        <v>56</v>
      </c>
      <c r="J1210" s="3">
        <v>146000</v>
      </c>
      <c r="K1210" s="3">
        <v>8176000</v>
      </c>
      <c r="L1210" s="2" t="s">
        <v>25</v>
      </c>
      <c r="M1210" s="2" t="s">
        <v>26</v>
      </c>
      <c r="N1210">
        <v>2024</v>
      </c>
      <c r="O1210" s="2" t="s">
        <v>27</v>
      </c>
      <c r="P1210" s="2" t="s">
        <v>139</v>
      </c>
      <c r="Q1210">
        <v>3</v>
      </c>
      <c r="R1210" s="4">
        <v>45352</v>
      </c>
      <c r="S1210" s="3">
        <v>146000</v>
      </c>
      <c r="T1210" s="3">
        <v>0.82</v>
      </c>
    </row>
    <row r="1211" spans="1:20" x14ac:dyDescent="0.3">
      <c r="A1211" s="1">
        <v>45372</v>
      </c>
      <c r="B1211" s="2" t="s">
        <v>75</v>
      </c>
      <c r="C1211" s="2" t="s">
        <v>122</v>
      </c>
      <c r="D1211" s="2" t="s">
        <v>67</v>
      </c>
      <c r="E1211" s="2" t="s">
        <v>118</v>
      </c>
      <c r="F1211" s="2" t="s">
        <v>39</v>
      </c>
      <c r="G1211">
        <v>84</v>
      </c>
      <c r="H1211">
        <v>590</v>
      </c>
      <c r="I1211">
        <v>35</v>
      </c>
      <c r="J1211" s="3">
        <v>7607000</v>
      </c>
      <c r="K1211" s="3">
        <v>266245000</v>
      </c>
      <c r="L1211" s="2" t="s">
        <v>25</v>
      </c>
      <c r="M1211" s="2" t="s">
        <v>77</v>
      </c>
      <c r="N1211">
        <v>2024</v>
      </c>
      <c r="O1211" s="2" t="s">
        <v>27</v>
      </c>
      <c r="P1211" s="2" t="s">
        <v>139</v>
      </c>
      <c r="Q1211">
        <v>3</v>
      </c>
      <c r="R1211" s="4">
        <v>45352</v>
      </c>
      <c r="S1211" s="3">
        <v>7607000</v>
      </c>
      <c r="T1211" s="3">
        <v>26.62</v>
      </c>
    </row>
    <row r="1212" spans="1:20" x14ac:dyDescent="0.3">
      <c r="A1212" s="1">
        <v>45372</v>
      </c>
      <c r="B1212" s="2" t="s">
        <v>59</v>
      </c>
      <c r="C1212" s="2" t="s">
        <v>60</v>
      </c>
      <c r="D1212" s="2" t="s">
        <v>100</v>
      </c>
      <c r="E1212" s="2" t="s">
        <v>101</v>
      </c>
      <c r="F1212" s="2" t="s">
        <v>24</v>
      </c>
      <c r="G1212">
        <v>3</v>
      </c>
      <c r="H1212">
        <v>150</v>
      </c>
      <c r="I1212">
        <v>142</v>
      </c>
      <c r="J1212" s="3">
        <v>151600</v>
      </c>
      <c r="K1212" s="3">
        <v>21527200</v>
      </c>
      <c r="L1212" s="2" t="s">
        <v>33</v>
      </c>
      <c r="M1212" s="2" t="s">
        <v>26</v>
      </c>
      <c r="N1212">
        <v>2024</v>
      </c>
      <c r="O1212" s="2" t="s">
        <v>27</v>
      </c>
      <c r="P1212" s="2" t="s">
        <v>139</v>
      </c>
      <c r="Q1212">
        <v>3</v>
      </c>
      <c r="R1212" s="4">
        <v>45352</v>
      </c>
      <c r="S1212" s="3">
        <v>151600</v>
      </c>
      <c r="T1212" s="3">
        <v>2.15</v>
      </c>
    </row>
    <row r="1213" spans="1:20" x14ac:dyDescent="0.3">
      <c r="A1213" s="1">
        <v>45372</v>
      </c>
      <c r="B1213" s="2" t="s">
        <v>46</v>
      </c>
      <c r="C1213" s="2" t="s">
        <v>56</v>
      </c>
      <c r="D1213" s="2" t="s">
        <v>50</v>
      </c>
      <c r="E1213" s="2" t="s">
        <v>51</v>
      </c>
      <c r="F1213" s="2" t="s">
        <v>24</v>
      </c>
      <c r="G1213">
        <v>77</v>
      </c>
      <c r="H1213">
        <v>528</v>
      </c>
      <c r="I1213">
        <v>8</v>
      </c>
      <c r="J1213" s="3">
        <v>5630800</v>
      </c>
      <c r="K1213" s="3">
        <v>45046400</v>
      </c>
      <c r="L1213" s="2" t="s">
        <v>33</v>
      </c>
      <c r="M1213" s="2" t="s">
        <v>34</v>
      </c>
      <c r="N1213">
        <v>2024</v>
      </c>
      <c r="O1213" s="2" t="s">
        <v>27</v>
      </c>
      <c r="P1213" s="2" t="s">
        <v>139</v>
      </c>
      <c r="Q1213">
        <v>3</v>
      </c>
      <c r="R1213" s="4">
        <v>45352</v>
      </c>
      <c r="S1213" s="3">
        <v>5630800</v>
      </c>
      <c r="T1213" s="3">
        <v>4.5</v>
      </c>
    </row>
    <row r="1214" spans="1:20" x14ac:dyDescent="0.3">
      <c r="A1214" s="1">
        <v>45372</v>
      </c>
      <c r="B1214" s="2" t="s">
        <v>35</v>
      </c>
      <c r="C1214" s="2" t="s">
        <v>121</v>
      </c>
      <c r="D1214" s="2" t="s">
        <v>79</v>
      </c>
      <c r="E1214" s="2" t="s">
        <v>80</v>
      </c>
      <c r="F1214" s="2" t="s">
        <v>24</v>
      </c>
      <c r="G1214">
        <v>69</v>
      </c>
      <c r="H1214">
        <v>418</v>
      </c>
      <c r="I1214">
        <v>24</v>
      </c>
      <c r="J1214" s="3">
        <v>5753100</v>
      </c>
      <c r="K1214" s="3">
        <v>138074400</v>
      </c>
      <c r="L1214" s="2" t="s">
        <v>33</v>
      </c>
      <c r="M1214" s="2" t="s">
        <v>26</v>
      </c>
      <c r="N1214">
        <v>2024</v>
      </c>
      <c r="O1214" s="2" t="s">
        <v>27</v>
      </c>
      <c r="P1214" s="2" t="s">
        <v>139</v>
      </c>
      <c r="Q1214">
        <v>3</v>
      </c>
      <c r="R1214" s="4">
        <v>45352</v>
      </c>
      <c r="S1214" s="3">
        <v>5753100</v>
      </c>
      <c r="T1214" s="3">
        <v>13.81</v>
      </c>
    </row>
    <row r="1215" spans="1:20" x14ac:dyDescent="0.3">
      <c r="A1215" s="1">
        <v>45373</v>
      </c>
      <c r="B1215" s="2" t="s">
        <v>29</v>
      </c>
      <c r="C1215" s="2" t="s">
        <v>65</v>
      </c>
      <c r="D1215" s="2" t="s">
        <v>57</v>
      </c>
      <c r="E1215" s="2" t="s">
        <v>58</v>
      </c>
      <c r="F1215" s="2" t="s">
        <v>24</v>
      </c>
      <c r="G1215">
        <v>72</v>
      </c>
      <c r="H1215">
        <v>488</v>
      </c>
      <c r="I1215">
        <v>118</v>
      </c>
      <c r="J1215" s="3">
        <v>4694200</v>
      </c>
      <c r="K1215" s="3">
        <v>553915600</v>
      </c>
      <c r="L1215" s="2" t="s">
        <v>33</v>
      </c>
      <c r="M1215" s="2" t="s">
        <v>26</v>
      </c>
      <c r="N1215">
        <v>2024</v>
      </c>
      <c r="O1215" s="2" t="s">
        <v>27</v>
      </c>
      <c r="P1215" s="2" t="s">
        <v>139</v>
      </c>
      <c r="Q1215">
        <v>3</v>
      </c>
      <c r="R1215" s="4">
        <v>45352</v>
      </c>
      <c r="S1215" s="3">
        <v>4694200</v>
      </c>
      <c r="T1215" s="3">
        <v>55.39</v>
      </c>
    </row>
    <row r="1216" spans="1:20" x14ac:dyDescent="0.3">
      <c r="A1216" s="1">
        <v>45374</v>
      </c>
      <c r="B1216" s="2" t="s">
        <v>84</v>
      </c>
      <c r="C1216" s="2" t="s">
        <v>113</v>
      </c>
      <c r="D1216" s="2" t="s">
        <v>82</v>
      </c>
      <c r="E1216" s="2" t="s">
        <v>141</v>
      </c>
      <c r="F1216" s="2" t="s">
        <v>39</v>
      </c>
      <c r="G1216">
        <v>59</v>
      </c>
      <c r="H1216">
        <v>55</v>
      </c>
      <c r="I1216">
        <v>167</v>
      </c>
      <c r="J1216" s="3">
        <v>2296300</v>
      </c>
      <c r="K1216" s="3">
        <v>383482100</v>
      </c>
      <c r="L1216" s="2" t="s">
        <v>33</v>
      </c>
      <c r="M1216" s="2" t="s">
        <v>26</v>
      </c>
      <c r="N1216">
        <v>2024</v>
      </c>
      <c r="O1216" s="2" t="s">
        <v>27</v>
      </c>
      <c r="P1216" s="2" t="s">
        <v>139</v>
      </c>
      <c r="Q1216">
        <v>3</v>
      </c>
      <c r="R1216" s="4">
        <v>45352</v>
      </c>
      <c r="S1216" s="3">
        <v>2296300</v>
      </c>
      <c r="T1216" s="3">
        <v>38.35</v>
      </c>
    </row>
    <row r="1217" spans="1:20" x14ac:dyDescent="0.3">
      <c r="A1217" s="1">
        <v>45374</v>
      </c>
      <c r="B1217" s="2" t="s">
        <v>20</v>
      </c>
      <c r="C1217" s="2" t="s">
        <v>112</v>
      </c>
      <c r="D1217" s="2" t="s">
        <v>67</v>
      </c>
      <c r="E1217" s="2" t="s">
        <v>118</v>
      </c>
      <c r="F1217" s="2" t="s">
        <v>72</v>
      </c>
      <c r="G1217">
        <v>84</v>
      </c>
      <c r="H1217">
        <v>590</v>
      </c>
      <c r="I1217">
        <v>75</v>
      </c>
      <c r="J1217" s="3">
        <v>7329200</v>
      </c>
      <c r="K1217" s="3">
        <v>549690000</v>
      </c>
      <c r="L1217" s="2" t="s">
        <v>33</v>
      </c>
      <c r="M1217" s="2" t="s">
        <v>97</v>
      </c>
      <c r="N1217">
        <v>2024</v>
      </c>
      <c r="O1217" s="2" t="s">
        <v>27</v>
      </c>
      <c r="P1217" s="2" t="s">
        <v>139</v>
      </c>
      <c r="Q1217">
        <v>3</v>
      </c>
      <c r="R1217" s="4">
        <v>45352</v>
      </c>
      <c r="S1217" s="3">
        <v>7329200</v>
      </c>
      <c r="T1217" s="3">
        <v>54.97</v>
      </c>
    </row>
    <row r="1218" spans="1:20" x14ac:dyDescent="0.3">
      <c r="A1218" s="1">
        <v>45374</v>
      </c>
      <c r="B1218" s="2" t="s">
        <v>35</v>
      </c>
      <c r="C1218" s="2" t="s">
        <v>36</v>
      </c>
      <c r="D1218" s="2" t="s">
        <v>42</v>
      </c>
      <c r="E1218" s="2" t="s">
        <v>43</v>
      </c>
      <c r="F1218" s="2" t="s">
        <v>24</v>
      </c>
      <c r="G1218">
        <v>3</v>
      </c>
      <c r="H1218">
        <v>135</v>
      </c>
      <c r="I1218">
        <v>34</v>
      </c>
      <c r="J1218" s="3">
        <v>122300</v>
      </c>
      <c r="K1218" s="3">
        <v>4158200</v>
      </c>
      <c r="L1218" s="2" t="s">
        <v>33</v>
      </c>
      <c r="M1218" s="2" t="s">
        <v>97</v>
      </c>
      <c r="N1218">
        <v>2024</v>
      </c>
      <c r="O1218" s="2" t="s">
        <v>27</v>
      </c>
      <c r="P1218" s="2" t="s">
        <v>139</v>
      </c>
      <c r="Q1218">
        <v>3</v>
      </c>
      <c r="R1218" s="4">
        <v>45352</v>
      </c>
      <c r="S1218" s="3">
        <v>122300</v>
      </c>
      <c r="T1218" s="3">
        <v>0.42</v>
      </c>
    </row>
    <row r="1219" spans="1:20" x14ac:dyDescent="0.3">
      <c r="A1219" s="1">
        <v>45374</v>
      </c>
      <c r="B1219" s="2" t="s">
        <v>75</v>
      </c>
      <c r="C1219" s="2" t="s">
        <v>134</v>
      </c>
      <c r="D1219" s="2" t="s">
        <v>31</v>
      </c>
      <c r="E1219" s="2" t="s">
        <v>124</v>
      </c>
      <c r="F1219" s="2" t="s">
        <v>24</v>
      </c>
      <c r="G1219">
        <v>3</v>
      </c>
      <c r="H1219">
        <v>151</v>
      </c>
      <c r="I1219">
        <v>128</v>
      </c>
      <c r="J1219" s="3">
        <v>92800</v>
      </c>
      <c r="K1219" s="3">
        <v>11878400</v>
      </c>
      <c r="L1219" s="2" t="s">
        <v>33</v>
      </c>
      <c r="M1219" s="2" t="s">
        <v>26</v>
      </c>
      <c r="N1219">
        <v>2024</v>
      </c>
      <c r="O1219" s="2" t="s">
        <v>27</v>
      </c>
      <c r="P1219" s="2" t="s">
        <v>139</v>
      </c>
      <c r="Q1219">
        <v>3</v>
      </c>
      <c r="R1219" s="4">
        <v>45352</v>
      </c>
      <c r="S1219" s="3">
        <v>92800</v>
      </c>
      <c r="T1219" s="3">
        <v>1.19</v>
      </c>
    </row>
    <row r="1220" spans="1:20" x14ac:dyDescent="0.3">
      <c r="A1220" s="1">
        <v>45375</v>
      </c>
      <c r="B1220" s="2" t="s">
        <v>20</v>
      </c>
      <c r="C1220" s="2" t="s">
        <v>125</v>
      </c>
      <c r="D1220" s="2" t="s">
        <v>102</v>
      </c>
      <c r="E1220" s="2" t="s">
        <v>103</v>
      </c>
      <c r="F1220" s="2" t="s">
        <v>24</v>
      </c>
      <c r="G1220">
        <v>5</v>
      </c>
      <c r="H1220">
        <v>150</v>
      </c>
      <c r="I1220">
        <v>156</v>
      </c>
      <c r="J1220" s="3">
        <v>184100</v>
      </c>
      <c r="K1220" s="3">
        <v>28719600</v>
      </c>
      <c r="L1220" s="2" t="s">
        <v>25</v>
      </c>
      <c r="M1220" s="2" t="s">
        <v>77</v>
      </c>
      <c r="N1220">
        <v>2024</v>
      </c>
      <c r="O1220" s="2" t="s">
        <v>27</v>
      </c>
      <c r="P1220" s="2" t="s">
        <v>139</v>
      </c>
      <c r="Q1220">
        <v>3</v>
      </c>
      <c r="R1220" s="4">
        <v>45352</v>
      </c>
      <c r="S1220" s="3">
        <v>184100</v>
      </c>
      <c r="T1220" s="3">
        <v>2.87</v>
      </c>
    </row>
    <row r="1221" spans="1:20" x14ac:dyDescent="0.3">
      <c r="A1221" s="1">
        <v>45375</v>
      </c>
      <c r="B1221" s="2" t="s">
        <v>40</v>
      </c>
      <c r="C1221" s="2" t="s">
        <v>41</v>
      </c>
      <c r="D1221" s="2" t="s">
        <v>31</v>
      </c>
      <c r="E1221" s="2" t="s">
        <v>32</v>
      </c>
      <c r="F1221" s="2" t="s">
        <v>24</v>
      </c>
      <c r="G1221">
        <v>4</v>
      </c>
      <c r="H1221">
        <v>195</v>
      </c>
      <c r="I1221">
        <v>25</v>
      </c>
      <c r="J1221" s="3">
        <v>159000</v>
      </c>
      <c r="K1221" s="3">
        <v>3975000</v>
      </c>
      <c r="L1221" s="2" t="s">
        <v>25</v>
      </c>
      <c r="M1221" s="2" t="s">
        <v>26</v>
      </c>
      <c r="N1221">
        <v>2024</v>
      </c>
      <c r="O1221" s="2" t="s">
        <v>27</v>
      </c>
      <c r="P1221" s="2" t="s">
        <v>139</v>
      </c>
      <c r="Q1221">
        <v>3</v>
      </c>
      <c r="R1221" s="4">
        <v>45352</v>
      </c>
      <c r="S1221" s="3">
        <v>159000</v>
      </c>
      <c r="T1221" s="3">
        <v>0.4</v>
      </c>
    </row>
    <row r="1222" spans="1:20" x14ac:dyDescent="0.3">
      <c r="A1222" s="1">
        <v>45375</v>
      </c>
      <c r="B1222" s="2" t="s">
        <v>46</v>
      </c>
      <c r="C1222" s="2" t="s">
        <v>137</v>
      </c>
      <c r="D1222" s="2" t="s">
        <v>57</v>
      </c>
      <c r="E1222" s="2" t="s">
        <v>58</v>
      </c>
      <c r="F1222" s="2" t="s">
        <v>24</v>
      </c>
      <c r="G1222">
        <v>72</v>
      </c>
      <c r="H1222">
        <v>488</v>
      </c>
      <c r="I1222">
        <v>64</v>
      </c>
      <c r="J1222" s="3">
        <v>4915500</v>
      </c>
      <c r="K1222" s="3">
        <v>314592000</v>
      </c>
      <c r="L1222" s="2" t="s">
        <v>33</v>
      </c>
      <c r="M1222" s="2" t="s">
        <v>77</v>
      </c>
      <c r="N1222">
        <v>2024</v>
      </c>
      <c r="O1222" s="2" t="s">
        <v>27</v>
      </c>
      <c r="P1222" s="2" t="s">
        <v>139</v>
      </c>
      <c r="Q1222">
        <v>3</v>
      </c>
      <c r="R1222" s="4">
        <v>45352</v>
      </c>
      <c r="S1222" s="3">
        <v>4915500</v>
      </c>
      <c r="T1222" s="3">
        <v>31.46</v>
      </c>
    </row>
    <row r="1223" spans="1:20" x14ac:dyDescent="0.3">
      <c r="A1223" s="1">
        <v>45376</v>
      </c>
      <c r="B1223" s="2" t="s">
        <v>106</v>
      </c>
      <c r="C1223" s="2" t="s">
        <v>107</v>
      </c>
      <c r="D1223" s="2" t="s">
        <v>42</v>
      </c>
      <c r="E1223" s="2" t="s">
        <v>43</v>
      </c>
      <c r="F1223" s="2" t="s">
        <v>24</v>
      </c>
      <c r="G1223">
        <v>3</v>
      </c>
      <c r="H1223">
        <v>135</v>
      </c>
      <c r="I1223">
        <v>60</v>
      </c>
      <c r="J1223" s="3">
        <v>100400</v>
      </c>
      <c r="K1223" s="3">
        <v>6024000</v>
      </c>
      <c r="L1223" s="2" t="s">
        <v>25</v>
      </c>
      <c r="M1223" s="2" t="s">
        <v>77</v>
      </c>
      <c r="N1223">
        <v>2024</v>
      </c>
      <c r="O1223" s="2" t="s">
        <v>27</v>
      </c>
      <c r="P1223" s="2" t="s">
        <v>139</v>
      </c>
      <c r="Q1223">
        <v>3</v>
      </c>
      <c r="R1223" s="4">
        <v>45352</v>
      </c>
      <c r="S1223" s="3">
        <v>100400</v>
      </c>
      <c r="T1223" s="3">
        <v>0.6</v>
      </c>
    </row>
    <row r="1224" spans="1:20" x14ac:dyDescent="0.3">
      <c r="A1224" s="1">
        <v>45376</v>
      </c>
      <c r="B1224" s="2" t="s">
        <v>40</v>
      </c>
      <c r="C1224" s="2" t="s">
        <v>41</v>
      </c>
      <c r="D1224" s="2" t="s">
        <v>79</v>
      </c>
      <c r="E1224" s="2" t="s">
        <v>80</v>
      </c>
      <c r="F1224" s="2" t="s">
        <v>24</v>
      </c>
      <c r="G1224">
        <v>69</v>
      </c>
      <c r="H1224">
        <v>418</v>
      </c>
      <c r="I1224">
        <v>3</v>
      </c>
      <c r="J1224" s="3">
        <v>5432800</v>
      </c>
      <c r="K1224" s="3">
        <v>16298400</v>
      </c>
      <c r="L1224" s="2" t="s">
        <v>33</v>
      </c>
      <c r="M1224" s="2" t="s">
        <v>77</v>
      </c>
      <c r="N1224">
        <v>2024</v>
      </c>
      <c r="O1224" s="2" t="s">
        <v>27</v>
      </c>
      <c r="P1224" s="2" t="s">
        <v>139</v>
      </c>
      <c r="Q1224">
        <v>3</v>
      </c>
      <c r="R1224" s="4">
        <v>45352</v>
      </c>
      <c r="S1224" s="3">
        <v>5432800</v>
      </c>
      <c r="T1224" s="3">
        <v>1.63</v>
      </c>
    </row>
    <row r="1225" spans="1:20" x14ac:dyDescent="0.3">
      <c r="A1225" s="1">
        <v>45376</v>
      </c>
      <c r="B1225" s="2" t="s">
        <v>84</v>
      </c>
      <c r="C1225" s="2" t="s">
        <v>113</v>
      </c>
      <c r="D1225" s="2" t="s">
        <v>63</v>
      </c>
      <c r="E1225" s="2" t="s">
        <v>64</v>
      </c>
      <c r="F1225" s="2" t="s">
        <v>24</v>
      </c>
      <c r="G1225">
        <v>3</v>
      </c>
      <c r="H1225">
        <v>127</v>
      </c>
      <c r="I1225">
        <v>165</v>
      </c>
      <c r="J1225" s="3">
        <v>149400</v>
      </c>
      <c r="K1225" s="3">
        <v>24651000</v>
      </c>
      <c r="L1225" s="2" t="s">
        <v>33</v>
      </c>
      <c r="M1225" s="2" t="s">
        <v>26</v>
      </c>
      <c r="N1225">
        <v>2024</v>
      </c>
      <c r="O1225" s="2" t="s">
        <v>27</v>
      </c>
      <c r="P1225" s="2" t="s">
        <v>139</v>
      </c>
      <c r="Q1225">
        <v>3</v>
      </c>
      <c r="R1225" s="4">
        <v>45352</v>
      </c>
      <c r="S1225" s="3">
        <v>149400</v>
      </c>
      <c r="T1225" s="3">
        <v>2.4700000000000002</v>
      </c>
    </row>
    <row r="1226" spans="1:20" x14ac:dyDescent="0.3">
      <c r="A1226" s="1">
        <v>45376</v>
      </c>
      <c r="B1226" s="2" t="s">
        <v>35</v>
      </c>
      <c r="C1226" s="2" t="s">
        <v>132</v>
      </c>
      <c r="D1226" s="2" t="s">
        <v>37</v>
      </c>
      <c r="E1226" s="2" t="s">
        <v>38</v>
      </c>
      <c r="F1226" s="2" t="s">
        <v>72</v>
      </c>
      <c r="G1226">
        <v>66</v>
      </c>
      <c r="H1226">
        <v>423</v>
      </c>
      <c r="I1226">
        <v>54</v>
      </c>
      <c r="J1226" s="3">
        <v>8597300</v>
      </c>
      <c r="K1226" s="3">
        <v>464254200</v>
      </c>
      <c r="L1226" s="2" t="s">
        <v>33</v>
      </c>
      <c r="M1226" s="2" t="s">
        <v>26</v>
      </c>
      <c r="N1226">
        <v>2024</v>
      </c>
      <c r="O1226" s="2" t="s">
        <v>27</v>
      </c>
      <c r="P1226" s="2" t="s">
        <v>139</v>
      </c>
      <c r="Q1226">
        <v>3</v>
      </c>
      <c r="R1226" s="4">
        <v>45352</v>
      </c>
      <c r="S1226" s="3">
        <v>8597300</v>
      </c>
      <c r="T1226" s="3">
        <v>46.43</v>
      </c>
    </row>
    <row r="1227" spans="1:20" x14ac:dyDescent="0.3">
      <c r="A1227" s="1">
        <v>45378</v>
      </c>
      <c r="B1227" s="2" t="s">
        <v>108</v>
      </c>
      <c r="C1227" s="2" t="s">
        <v>133</v>
      </c>
      <c r="D1227" s="2" t="s">
        <v>63</v>
      </c>
      <c r="E1227" s="2" t="s">
        <v>64</v>
      </c>
      <c r="F1227" s="2" t="s">
        <v>24</v>
      </c>
      <c r="G1227">
        <v>3</v>
      </c>
      <c r="H1227">
        <v>127</v>
      </c>
      <c r="I1227">
        <v>93</v>
      </c>
      <c r="J1227" s="3">
        <v>153400</v>
      </c>
      <c r="K1227" s="3">
        <v>14266200</v>
      </c>
      <c r="L1227" s="2" t="s">
        <v>25</v>
      </c>
      <c r="M1227" s="2" t="s">
        <v>77</v>
      </c>
      <c r="N1227">
        <v>2024</v>
      </c>
      <c r="O1227" s="2" t="s">
        <v>27</v>
      </c>
      <c r="P1227" s="2" t="s">
        <v>139</v>
      </c>
      <c r="Q1227">
        <v>3</v>
      </c>
      <c r="R1227" s="4">
        <v>45352</v>
      </c>
      <c r="S1227" s="3">
        <v>153400</v>
      </c>
      <c r="T1227" s="3">
        <v>1.43</v>
      </c>
    </row>
    <row r="1228" spans="1:20" x14ac:dyDescent="0.3">
      <c r="A1228" s="1">
        <v>45378</v>
      </c>
      <c r="B1228" s="2" t="s">
        <v>52</v>
      </c>
      <c r="C1228" s="2" t="s">
        <v>66</v>
      </c>
      <c r="D1228" s="2" t="s">
        <v>70</v>
      </c>
      <c r="E1228" s="2" t="s">
        <v>74</v>
      </c>
      <c r="F1228" s="2" t="s">
        <v>24</v>
      </c>
      <c r="G1228">
        <v>25</v>
      </c>
      <c r="H1228">
        <v>32</v>
      </c>
      <c r="I1228">
        <v>24</v>
      </c>
      <c r="J1228" s="3">
        <v>1133100</v>
      </c>
      <c r="K1228" s="3">
        <v>27194400</v>
      </c>
      <c r="L1228" s="2" t="s">
        <v>33</v>
      </c>
      <c r="M1228" s="2" t="s">
        <v>26</v>
      </c>
      <c r="N1228">
        <v>2024</v>
      </c>
      <c r="O1228" s="2" t="s">
        <v>27</v>
      </c>
      <c r="P1228" s="2" t="s">
        <v>139</v>
      </c>
      <c r="Q1228">
        <v>3</v>
      </c>
      <c r="R1228" s="4">
        <v>45352</v>
      </c>
      <c r="S1228" s="3">
        <v>1133100</v>
      </c>
      <c r="T1228" s="3">
        <v>2.72</v>
      </c>
    </row>
    <row r="1229" spans="1:20" x14ac:dyDescent="0.3">
      <c r="A1229" s="1">
        <v>45378</v>
      </c>
      <c r="B1229" s="2" t="s">
        <v>90</v>
      </c>
      <c r="C1229" s="2" t="s">
        <v>128</v>
      </c>
      <c r="D1229" s="2" t="s">
        <v>42</v>
      </c>
      <c r="E1229" s="2" t="s">
        <v>43</v>
      </c>
      <c r="F1229" s="2" t="s">
        <v>24</v>
      </c>
      <c r="G1229">
        <v>3</v>
      </c>
      <c r="H1229">
        <v>135</v>
      </c>
      <c r="I1229">
        <v>69</v>
      </c>
      <c r="J1229" s="3">
        <v>119000</v>
      </c>
      <c r="K1229" s="3">
        <v>8211000</v>
      </c>
      <c r="L1229" s="2" t="s">
        <v>33</v>
      </c>
      <c r="M1229" s="2" t="s">
        <v>34</v>
      </c>
      <c r="N1229">
        <v>2024</v>
      </c>
      <c r="O1229" s="2" t="s">
        <v>27</v>
      </c>
      <c r="P1229" s="2" t="s">
        <v>139</v>
      </c>
      <c r="Q1229">
        <v>3</v>
      </c>
      <c r="R1229" s="4">
        <v>45352</v>
      </c>
      <c r="S1229" s="3">
        <v>119000</v>
      </c>
      <c r="T1229" s="3">
        <v>0.82</v>
      </c>
    </row>
    <row r="1230" spans="1:20" x14ac:dyDescent="0.3">
      <c r="A1230" s="1">
        <v>45379</v>
      </c>
      <c r="B1230" s="2" t="s">
        <v>59</v>
      </c>
      <c r="C1230" s="2" t="s">
        <v>129</v>
      </c>
      <c r="D1230" s="2" t="s">
        <v>31</v>
      </c>
      <c r="E1230" s="2" t="s">
        <v>124</v>
      </c>
      <c r="F1230" s="2" t="s">
        <v>24</v>
      </c>
      <c r="G1230">
        <v>3</v>
      </c>
      <c r="H1230">
        <v>151</v>
      </c>
      <c r="I1230">
        <v>10</v>
      </c>
      <c r="J1230" s="3">
        <v>99800</v>
      </c>
      <c r="K1230" s="3">
        <v>998000</v>
      </c>
      <c r="L1230" s="2" t="s">
        <v>25</v>
      </c>
      <c r="M1230" s="2" t="s">
        <v>26</v>
      </c>
      <c r="N1230">
        <v>2024</v>
      </c>
      <c r="O1230" s="2" t="s">
        <v>27</v>
      </c>
      <c r="P1230" s="2" t="s">
        <v>139</v>
      </c>
      <c r="Q1230">
        <v>3</v>
      </c>
      <c r="R1230" s="4">
        <v>45352</v>
      </c>
      <c r="S1230" s="3">
        <v>99800</v>
      </c>
      <c r="T1230" s="3">
        <v>0.1</v>
      </c>
    </row>
    <row r="1231" spans="1:20" x14ac:dyDescent="0.3">
      <c r="A1231" s="1">
        <v>45379</v>
      </c>
      <c r="B1231" s="2" t="s">
        <v>84</v>
      </c>
      <c r="C1231" s="2" t="s">
        <v>93</v>
      </c>
      <c r="D1231" s="2" t="s">
        <v>70</v>
      </c>
      <c r="E1231" s="2" t="s">
        <v>74</v>
      </c>
      <c r="F1231" s="2" t="s">
        <v>24</v>
      </c>
      <c r="G1231">
        <v>25</v>
      </c>
      <c r="H1231">
        <v>32</v>
      </c>
      <c r="I1231">
        <v>44</v>
      </c>
      <c r="J1231" s="3">
        <v>1223100</v>
      </c>
      <c r="K1231" s="3">
        <v>53816400</v>
      </c>
      <c r="L1231" s="2" t="s">
        <v>33</v>
      </c>
      <c r="M1231" s="2" t="s">
        <v>26</v>
      </c>
      <c r="N1231">
        <v>2024</v>
      </c>
      <c r="O1231" s="2" t="s">
        <v>27</v>
      </c>
      <c r="P1231" s="2" t="s">
        <v>139</v>
      </c>
      <c r="Q1231">
        <v>3</v>
      </c>
      <c r="R1231" s="4">
        <v>45352</v>
      </c>
      <c r="S1231" s="3">
        <v>1223100</v>
      </c>
      <c r="T1231" s="3">
        <v>5.38</v>
      </c>
    </row>
    <row r="1232" spans="1:20" x14ac:dyDescent="0.3">
      <c r="A1232" s="1">
        <v>45379</v>
      </c>
      <c r="B1232" s="2" t="s">
        <v>48</v>
      </c>
      <c r="C1232" s="2" t="s">
        <v>73</v>
      </c>
      <c r="D1232" s="2" t="s">
        <v>31</v>
      </c>
      <c r="E1232" s="2" t="s">
        <v>124</v>
      </c>
      <c r="F1232" s="2" t="s">
        <v>24</v>
      </c>
      <c r="G1232">
        <v>3</v>
      </c>
      <c r="H1232">
        <v>151</v>
      </c>
      <c r="I1232">
        <v>137</v>
      </c>
      <c r="J1232" s="3">
        <v>104100</v>
      </c>
      <c r="K1232" s="3">
        <v>14261700</v>
      </c>
      <c r="L1232" s="2" t="s">
        <v>33</v>
      </c>
      <c r="M1232" s="2" t="s">
        <v>26</v>
      </c>
      <c r="N1232">
        <v>2024</v>
      </c>
      <c r="O1232" s="2" t="s">
        <v>27</v>
      </c>
      <c r="P1232" s="2" t="s">
        <v>139</v>
      </c>
      <c r="Q1232">
        <v>3</v>
      </c>
      <c r="R1232" s="4">
        <v>45352</v>
      </c>
      <c r="S1232" s="3">
        <v>104100</v>
      </c>
      <c r="T1232" s="3">
        <v>1.43</v>
      </c>
    </row>
    <row r="1233" spans="1:20" x14ac:dyDescent="0.3">
      <c r="A1233" s="1">
        <v>45380</v>
      </c>
      <c r="B1233" s="2" t="s">
        <v>106</v>
      </c>
      <c r="C1233" s="2" t="s">
        <v>120</v>
      </c>
      <c r="D1233" s="2" t="s">
        <v>102</v>
      </c>
      <c r="E1233" s="2" t="s">
        <v>103</v>
      </c>
      <c r="F1233" s="2" t="s">
        <v>24</v>
      </c>
      <c r="G1233">
        <v>5</v>
      </c>
      <c r="H1233">
        <v>150</v>
      </c>
      <c r="I1233">
        <v>32</v>
      </c>
      <c r="J1233" s="3">
        <v>155400</v>
      </c>
      <c r="K1233" s="3">
        <v>4972800</v>
      </c>
      <c r="L1233" s="2" t="s">
        <v>33</v>
      </c>
      <c r="M1233" s="2" t="s">
        <v>77</v>
      </c>
      <c r="N1233">
        <v>2024</v>
      </c>
      <c r="O1233" s="2" t="s">
        <v>27</v>
      </c>
      <c r="P1233" s="2" t="s">
        <v>139</v>
      </c>
      <c r="Q1233">
        <v>3</v>
      </c>
      <c r="R1233" s="4">
        <v>45352</v>
      </c>
      <c r="S1233" s="3">
        <v>155400</v>
      </c>
      <c r="T1233" s="3">
        <v>0.5</v>
      </c>
    </row>
    <row r="1234" spans="1:20" x14ac:dyDescent="0.3">
      <c r="A1234" s="1">
        <v>45380</v>
      </c>
      <c r="B1234" s="2" t="s">
        <v>48</v>
      </c>
      <c r="C1234" s="2" t="s">
        <v>73</v>
      </c>
      <c r="D1234" s="2" t="s">
        <v>54</v>
      </c>
      <c r="E1234" s="2" t="s">
        <v>55</v>
      </c>
      <c r="F1234" s="2" t="s">
        <v>24</v>
      </c>
      <c r="G1234">
        <v>30</v>
      </c>
      <c r="H1234">
        <v>320</v>
      </c>
      <c r="I1234">
        <v>75</v>
      </c>
      <c r="J1234" s="3">
        <v>1333000</v>
      </c>
      <c r="K1234" s="3">
        <v>99975000</v>
      </c>
      <c r="L1234" s="2" t="s">
        <v>33</v>
      </c>
      <c r="M1234" s="2" t="s">
        <v>34</v>
      </c>
      <c r="N1234">
        <v>2024</v>
      </c>
      <c r="O1234" s="2" t="s">
        <v>27</v>
      </c>
      <c r="P1234" s="2" t="s">
        <v>139</v>
      </c>
      <c r="Q1234">
        <v>3</v>
      </c>
      <c r="R1234" s="4">
        <v>45352</v>
      </c>
      <c r="S1234" s="3">
        <v>1333000</v>
      </c>
      <c r="T1234" s="3">
        <v>10</v>
      </c>
    </row>
    <row r="1235" spans="1:20" x14ac:dyDescent="0.3">
      <c r="A1235" s="1">
        <v>45380</v>
      </c>
      <c r="B1235" s="2" t="s">
        <v>108</v>
      </c>
      <c r="C1235" s="2" t="s">
        <v>133</v>
      </c>
      <c r="D1235" s="2" t="s">
        <v>57</v>
      </c>
      <c r="E1235" s="2" t="s">
        <v>58</v>
      </c>
      <c r="F1235" s="2" t="s">
        <v>24</v>
      </c>
      <c r="G1235">
        <v>72</v>
      </c>
      <c r="H1235">
        <v>488</v>
      </c>
      <c r="I1235">
        <v>89</v>
      </c>
      <c r="J1235" s="3">
        <v>5040800</v>
      </c>
      <c r="K1235" s="3">
        <v>448631200</v>
      </c>
      <c r="L1235" s="2" t="s">
        <v>92</v>
      </c>
      <c r="M1235" s="2" t="s">
        <v>77</v>
      </c>
      <c r="N1235">
        <v>2024</v>
      </c>
      <c r="O1235" s="2" t="s">
        <v>27</v>
      </c>
      <c r="P1235" s="2" t="s">
        <v>139</v>
      </c>
      <c r="Q1235">
        <v>3</v>
      </c>
      <c r="R1235" s="4">
        <v>45352</v>
      </c>
      <c r="S1235" s="3">
        <v>5040800</v>
      </c>
      <c r="T1235" s="3">
        <v>44.86</v>
      </c>
    </row>
    <row r="1236" spans="1:20" x14ac:dyDescent="0.3">
      <c r="A1236" s="1">
        <v>45381</v>
      </c>
      <c r="B1236" s="2" t="s">
        <v>46</v>
      </c>
      <c r="C1236" s="2" t="s">
        <v>137</v>
      </c>
      <c r="D1236" s="2" t="s">
        <v>57</v>
      </c>
      <c r="E1236" s="2" t="s">
        <v>58</v>
      </c>
      <c r="F1236" s="2" t="s">
        <v>24</v>
      </c>
      <c r="G1236">
        <v>72</v>
      </c>
      <c r="H1236">
        <v>488</v>
      </c>
      <c r="I1236">
        <v>41</v>
      </c>
      <c r="J1236" s="3">
        <v>5294400</v>
      </c>
      <c r="K1236" s="3">
        <v>217070400</v>
      </c>
      <c r="L1236" s="2" t="s">
        <v>33</v>
      </c>
      <c r="M1236" s="2" t="s">
        <v>26</v>
      </c>
      <c r="N1236">
        <v>2024</v>
      </c>
      <c r="O1236" s="2" t="s">
        <v>27</v>
      </c>
      <c r="P1236" s="2" t="s">
        <v>139</v>
      </c>
      <c r="Q1236">
        <v>3</v>
      </c>
      <c r="R1236" s="4">
        <v>45352</v>
      </c>
      <c r="S1236" s="3">
        <v>5294400</v>
      </c>
      <c r="T1236" s="3">
        <v>21.71</v>
      </c>
    </row>
    <row r="1237" spans="1:20" x14ac:dyDescent="0.3">
      <c r="A1237" s="1">
        <v>45381</v>
      </c>
      <c r="B1237" s="2" t="s">
        <v>84</v>
      </c>
      <c r="C1237" s="2" t="s">
        <v>93</v>
      </c>
      <c r="D1237" s="2" t="s">
        <v>31</v>
      </c>
      <c r="E1237" s="2" t="s">
        <v>32</v>
      </c>
      <c r="F1237" s="2" t="s">
        <v>24</v>
      </c>
      <c r="G1237">
        <v>4</v>
      </c>
      <c r="H1237">
        <v>195</v>
      </c>
      <c r="I1237">
        <v>162</v>
      </c>
      <c r="J1237" s="3">
        <v>135600</v>
      </c>
      <c r="K1237" s="3">
        <v>21967200</v>
      </c>
      <c r="L1237" s="2" t="s">
        <v>92</v>
      </c>
      <c r="M1237" s="2" t="s">
        <v>26</v>
      </c>
      <c r="N1237">
        <v>2024</v>
      </c>
      <c r="O1237" s="2" t="s">
        <v>27</v>
      </c>
      <c r="P1237" s="2" t="s">
        <v>139</v>
      </c>
      <c r="Q1237">
        <v>3</v>
      </c>
      <c r="R1237" s="4">
        <v>45352</v>
      </c>
      <c r="S1237" s="3">
        <v>135600</v>
      </c>
      <c r="T1237" s="3">
        <v>2.2000000000000002</v>
      </c>
    </row>
    <row r="1238" spans="1:20" x14ac:dyDescent="0.3">
      <c r="A1238" s="1">
        <v>45381</v>
      </c>
      <c r="B1238" s="2" t="s">
        <v>61</v>
      </c>
      <c r="C1238" s="2" t="s">
        <v>62</v>
      </c>
      <c r="D1238" s="2" t="s">
        <v>50</v>
      </c>
      <c r="E1238" s="2" t="s">
        <v>51</v>
      </c>
      <c r="F1238" s="2" t="s">
        <v>24</v>
      </c>
      <c r="G1238">
        <v>77</v>
      </c>
      <c r="H1238">
        <v>528</v>
      </c>
      <c r="I1238">
        <v>10</v>
      </c>
      <c r="J1238" s="3">
        <v>4450900</v>
      </c>
      <c r="K1238" s="3">
        <v>44509000</v>
      </c>
      <c r="L1238" s="2" t="s">
        <v>33</v>
      </c>
      <c r="M1238" s="2" t="s">
        <v>77</v>
      </c>
      <c r="N1238">
        <v>2024</v>
      </c>
      <c r="O1238" s="2" t="s">
        <v>27</v>
      </c>
      <c r="P1238" s="2" t="s">
        <v>139</v>
      </c>
      <c r="Q1238">
        <v>3</v>
      </c>
      <c r="R1238" s="4">
        <v>45352</v>
      </c>
      <c r="S1238" s="3">
        <v>4450900</v>
      </c>
      <c r="T1238" s="3">
        <v>4.45</v>
      </c>
    </row>
    <row r="1239" spans="1:20" x14ac:dyDescent="0.3">
      <c r="A1239" s="1">
        <v>45381</v>
      </c>
      <c r="B1239" s="2" t="s">
        <v>52</v>
      </c>
      <c r="C1239" s="2" t="s">
        <v>116</v>
      </c>
      <c r="D1239" s="2" t="s">
        <v>94</v>
      </c>
      <c r="E1239" s="2" t="s">
        <v>115</v>
      </c>
      <c r="F1239" s="2" t="s">
        <v>24</v>
      </c>
      <c r="G1239">
        <v>24</v>
      </c>
      <c r="H1239">
        <v>24</v>
      </c>
      <c r="I1239">
        <v>15</v>
      </c>
      <c r="J1239" s="3">
        <v>1536000</v>
      </c>
      <c r="K1239" s="3">
        <v>23040000</v>
      </c>
      <c r="L1239" s="2" t="s">
        <v>33</v>
      </c>
      <c r="M1239" s="2" t="s">
        <v>26</v>
      </c>
      <c r="N1239">
        <v>2024</v>
      </c>
      <c r="O1239" s="2" t="s">
        <v>27</v>
      </c>
      <c r="P1239" s="2" t="s">
        <v>139</v>
      </c>
      <c r="Q1239">
        <v>3</v>
      </c>
      <c r="R1239" s="4">
        <v>45352</v>
      </c>
      <c r="S1239" s="3">
        <v>1536000</v>
      </c>
      <c r="T1239" s="3">
        <v>2.2999999999999998</v>
      </c>
    </row>
    <row r="1240" spans="1:20" x14ac:dyDescent="0.3">
      <c r="A1240" s="1">
        <v>45381</v>
      </c>
      <c r="B1240" s="2" t="s">
        <v>59</v>
      </c>
      <c r="C1240" s="2" t="s">
        <v>129</v>
      </c>
      <c r="D1240" s="2" t="s">
        <v>70</v>
      </c>
      <c r="E1240" s="2" t="s">
        <v>71</v>
      </c>
      <c r="F1240" s="2" t="s">
        <v>39</v>
      </c>
      <c r="G1240">
        <v>50</v>
      </c>
      <c r="H1240">
        <v>46</v>
      </c>
      <c r="I1240">
        <v>40</v>
      </c>
      <c r="J1240" s="3">
        <v>2657700</v>
      </c>
      <c r="K1240" s="3">
        <v>106308000</v>
      </c>
      <c r="L1240" s="2" t="s">
        <v>33</v>
      </c>
      <c r="M1240" s="2" t="s">
        <v>26</v>
      </c>
      <c r="N1240">
        <v>2024</v>
      </c>
      <c r="O1240" s="2" t="s">
        <v>27</v>
      </c>
      <c r="P1240" s="2" t="s">
        <v>139</v>
      </c>
      <c r="Q1240">
        <v>3</v>
      </c>
      <c r="R1240" s="4">
        <v>45352</v>
      </c>
      <c r="S1240" s="3">
        <v>2657700</v>
      </c>
      <c r="T1240" s="3">
        <v>10.63</v>
      </c>
    </row>
    <row r="1241" spans="1:20" x14ac:dyDescent="0.3">
      <c r="A1241" s="1">
        <v>45381</v>
      </c>
      <c r="B1241" s="2" t="s">
        <v>20</v>
      </c>
      <c r="C1241" s="2" t="s">
        <v>21</v>
      </c>
      <c r="D1241" s="2" t="s">
        <v>54</v>
      </c>
      <c r="E1241" s="2" t="s">
        <v>55</v>
      </c>
      <c r="F1241" s="2" t="s">
        <v>24</v>
      </c>
      <c r="G1241">
        <v>30</v>
      </c>
      <c r="H1241">
        <v>320</v>
      </c>
      <c r="I1241">
        <v>32</v>
      </c>
      <c r="J1241" s="3">
        <v>1441200</v>
      </c>
      <c r="K1241" s="3">
        <v>46118400</v>
      </c>
      <c r="L1241" s="2" t="s">
        <v>25</v>
      </c>
      <c r="M1241" s="2" t="s">
        <v>77</v>
      </c>
      <c r="N1241">
        <v>2024</v>
      </c>
      <c r="O1241" s="2" t="s">
        <v>27</v>
      </c>
      <c r="P1241" s="2" t="s">
        <v>139</v>
      </c>
      <c r="Q1241">
        <v>3</v>
      </c>
      <c r="R1241" s="4">
        <v>45352</v>
      </c>
      <c r="S1241" s="3">
        <v>1441200</v>
      </c>
      <c r="T1241" s="3">
        <v>4.6100000000000003</v>
      </c>
    </row>
    <row r="1242" spans="1:20" x14ac:dyDescent="0.3">
      <c r="A1242" s="1">
        <v>45382</v>
      </c>
      <c r="B1242" s="2" t="s">
        <v>48</v>
      </c>
      <c r="C1242" s="2" t="s">
        <v>98</v>
      </c>
      <c r="D1242" s="2" t="s">
        <v>50</v>
      </c>
      <c r="E1242" s="2" t="s">
        <v>51</v>
      </c>
      <c r="F1242" s="2" t="s">
        <v>24</v>
      </c>
      <c r="G1242">
        <v>77</v>
      </c>
      <c r="H1242">
        <v>528</v>
      </c>
      <c r="I1242">
        <v>43</v>
      </c>
      <c r="J1242" s="3">
        <v>5333200</v>
      </c>
      <c r="K1242" s="3">
        <v>229327600</v>
      </c>
      <c r="L1242" s="2" t="s">
        <v>25</v>
      </c>
      <c r="M1242" s="2" t="s">
        <v>26</v>
      </c>
      <c r="N1242">
        <v>2024</v>
      </c>
      <c r="O1242" s="2" t="s">
        <v>27</v>
      </c>
      <c r="P1242" s="2" t="s">
        <v>139</v>
      </c>
      <c r="Q1242">
        <v>3</v>
      </c>
      <c r="R1242" s="4">
        <v>45352</v>
      </c>
      <c r="S1242" s="3">
        <v>5333200</v>
      </c>
      <c r="T1242" s="3">
        <v>22.93</v>
      </c>
    </row>
    <row r="1243" spans="1:20" x14ac:dyDescent="0.3">
      <c r="A1243" s="1">
        <v>45382</v>
      </c>
      <c r="B1243" s="2" t="s">
        <v>29</v>
      </c>
      <c r="C1243" s="2" t="s">
        <v>96</v>
      </c>
      <c r="D1243" s="2" t="s">
        <v>67</v>
      </c>
      <c r="E1243" s="2" t="s">
        <v>68</v>
      </c>
      <c r="F1243" s="2" t="s">
        <v>39</v>
      </c>
      <c r="G1243">
        <v>66</v>
      </c>
      <c r="H1243">
        <v>440</v>
      </c>
      <c r="I1243">
        <v>19</v>
      </c>
      <c r="J1243" s="3">
        <v>6117800</v>
      </c>
      <c r="K1243" s="3">
        <v>116238200</v>
      </c>
      <c r="L1243" s="2" t="s">
        <v>33</v>
      </c>
      <c r="M1243" s="2" t="s">
        <v>34</v>
      </c>
      <c r="N1243">
        <v>2024</v>
      </c>
      <c r="O1243" s="2" t="s">
        <v>27</v>
      </c>
      <c r="P1243" s="2" t="s">
        <v>139</v>
      </c>
      <c r="Q1243">
        <v>3</v>
      </c>
      <c r="R1243" s="4">
        <v>45352</v>
      </c>
      <c r="S1243" s="3">
        <v>6117800</v>
      </c>
      <c r="T1243" s="3">
        <v>11.62</v>
      </c>
    </row>
    <row r="1244" spans="1:20" x14ac:dyDescent="0.3">
      <c r="A1244" s="1">
        <v>45382</v>
      </c>
      <c r="B1244" s="2" t="s">
        <v>106</v>
      </c>
      <c r="C1244" s="2" t="s">
        <v>107</v>
      </c>
      <c r="D1244" s="2" t="s">
        <v>70</v>
      </c>
      <c r="E1244" s="2" t="s">
        <v>74</v>
      </c>
      <c r="F1244" s="2" t="s">
        <v>24</v>
      </c>
      <c r="G1244">
        <v>25</v>
      </c>
      <c r="H1244">
        <v>32</v>
      </c>
      <c r="I1244">
        <v>114</v>
      </c>
      <c r="J1244" s="3">
        <v>1127200</v>
      </c>
      <c r="K1244" s="3">
        <v>128500800</v>
      </c>
      <c r="L1244" s="2" t="s">
        <v>33</v>
      </c>
      <c r="M1244" s="2" t="s">
        <v>26</v>
      </c>
      <c r="N1244">
        <v>2024</v>
      </c>
      <c r="O1244" s="2" t="s">
        <v>27</v>
      </c>
      <c r="P1244" s="2" t="s">
        <v>139</v>
      </c>
      <c r="Q1244">
        <v>3</v>
      </c>
      <c r="R1244" s="4">
        <v>45352</v>
      </c>
      <c r="S1244" s="3">
        <v>1127200</v>
      </c>
      <c r="T1244" s="3">
        <v>12.85</v>
      </c>
    </row>
    <row r="1245" spans="1:20" x14ac:dyDescent="0.3">
      <c r="A1245" s="1">
        <v>45382</v>
      </c>
      <c r="B1245" s="2" t="s">
        <v>48</v>
      </c>
      <c r="C1245" s="2" t="s">
        <v>73</v>
      </c>
      <c r="D1245" s="2" t="s">
        <v>37</v>
      </c>
      <c r="E1245" s="2" t="s">
        <v>38</v>
      </c>
      <c r="F1245" s="2" t="s">
        <v>24</v>
      </c>
      <c r="G1245">
        <v>66</v>
      </c>
      <c r="H1245">
        <v>423</v>
      </c>
      <c r="I1245">
        <v>30</v>
      </c>
      <c r="J1245" s="3">
        <v>7676000</v>
      </c>
      <c r="K1245" s="3">
        <v>230280000</v>
      </c>
      <c r="L1245" s="2" t="s">
        <v>33</v>
      </c>
      <c r="M1245" s="2" t="s">
        <v>26</v>
      </c>
      <c r="N1245">
        <v>2024</v>
      </c>
      <c r="O1245" s="2" t="s">
        <v>27</v>
      </c>
      <c r="P1245" s="2" t="s">
        <v>139</v>
      </c>
      <c r="Q1245">
        <v>3</v>
      </c>
      <c r="R1245" s="4">
        <v>45352</v>
      </c>
      <c r="S1245" s="3">
        <v>7676000</v>
      </c>
      <c r="T1245" s="3">
        <v>23.03</v>
      </c>
    </row>
    <row r="1246" spans="1:20" x14ac:dyDescent="0.3">
      <c r="A1246" s="1">
        <v>45383</v>
      </c>
      <c r="B1246" s="2" t="s">
        <v>48</v>
      </c>
      <c r="C1246" s="2" t="s">
        <v>69</v>
      </c>
      <c r="D1246" s="2" t="s">
        <v>79</v>
      </c>
      <c r="E1246" s="2" t="s">
        <v>80</v>
      </c>
      <c r="F1246" s="2" t="s">
        <v>24</v>
      </c>
      <c r="G1246">
        <v>69</v>
      </c>
      <c r="H1246">
        <v>418</v>
      </c>
      <c r="I1246">
        <v>75</v>
      </c>
      <c r="J1246" s="3">
        <v>5056000</v>
      </c>
      <c r="K1246" s="3">
        <v>379200000</v>
      </c>
      <c r="L1246" s="2" t="s">
        <v>25</v>
      </c>
      <c r="M1246" s="2" t="s">
        <v>26</v>
      </c>
      <c r="N1246">
        <v>2024</v>
      </c>
      <c r="O1246" s="2" t="s">
        <v>143</v>
      </c>
      <c r="P1246" s="2" t="s">
        <v>144</v>
      </c>
      <c r="Q1246">
        <v>4</v>
      </c>
      <c r="R1246" s="4">
        <v>45383</v>
      </c>
      <c r="S1246" s="3">
        <v>5056000</v>
      </c>
      <c r="T1246" s="3">
        <v>37.92</v>
      </c>
    </row>
    <row r="1247" spans="1:20" x14ac:dyDescent="0.3">
      <c r="A1247" s="1">
        <v>45384</v>
      </c>
      <c r="B1247" s="2" t="s">
        <v>106</v>
      </c>
      <c r="C1247" s="2" t="s">
        <v>120</v>
      </c>
      <c r="D1247" s="2" t="s">
        <v>70</v>
      </c>
      <c r="E1247" s="2" t="s">
        <v>74</v>
      </c>
      <c r="F1247" s="2" t="s">
        <v>24</v>
      </c>
      <c r="G1247">
        <v>25</v>
      </c>
      <c r="H1247">
        <v>32</v>
      </c>
      <c r="I1247">
        <v>64</v>
      </c>
      <c r="J1247" s="3">
        <v>1240200</v>
      </c>
      <c r="K1247" s="3">
        <v>79372800</v>
      </c>
      <c r="L1247" s="2" t="s">
        <v>33</v>
      </c>
      <c r="M1247" s="2" t="s">
        <v>77</v>
      </c>
      <c r="N1247">
        <v>2024</v>
      </c>
      <c r="O1247" s="2" t="s">
        <v>143</v>
      </c>
      <c r="P1247" s="2" t="s">
        <v>144</v>
      </c>
      <c r="Q1247">
        <v>4</v>
      </c>
      <c r="R1247" s="4">
        <v>45383</v>
      </c>
      <c r="S1247" s="3">
        <v>1240200</v>
      </c>
      <c r="T1247" s="3">
        <v>7.94</v>
      </c>
    </row>
    <row r="1248" spans="1:20" x14ac:dyDescent="0.3">
      <c r="A1248" s="1">
        <v>45384</v>
      </c>
      <c r="B1248" s="2" t="s">
        <v>35</v>
      </c>
      <c r="C1248" s="2" t="s">
        <v>132</v>
      </c>
      <c r="D1248" s="2" t="s">
        <v>70</v>
      </c>
      <c r="E1248" s="2" t="s">
        <v>71</v>
      </c>
      <c r="F1248" s="2" t="s">
        <v>24</v>
      </c>
      <c r="G1248">
        <v>50</v>
      </c>
      <c r="H1248">
        <v>46</v>
      </c>
      <c r="I1248">
        <v>176</v>
      </c>
      <c r="J1248" s="3">
        <v>2624800</v>
      </c>
      <c r="K1248" s="3">
        <v>461964800</v>
      </c>
      <c r="L1248" s="2" t="s">
        <v>25</v>
      </c>
      <c r="M1248" s="2" t="s">
        <v>34</v>
      </c>
      <c r="N1248">
        <v>2024</v>
      </c>
      <c r="O1248" s="2" t="s">
        <v>143</v>
      </c>
      <c r="P1248" s="2" t="s">
        <v>144</v>
      </c>
      <c r="Q1248">
        <v>4</v>
      </c>
      <c r="R1248" s="4">
        <v>45383</v>
      </c>
      <c r="S1248" s="3">
        <v>2624800</v>
      </c>
      <c r="T1248" s="3">
        <v>46.2</v>
      </c>
    </row>
    <row r="1249" spans="1:20" x14ac:dyDescent="0.3">
      <c r="A1249" s="1">
        <v>45384</v>
      </c>
      <c r="B1249" s="2" t="s">
        <v>48</v>
      </c>
      <c r="C1249" s="2" t="s">
        <v>73</v>
      </c>
      <c r="D1249" s="2" t="s">
        <v>102</v>
      </c>
      <c r="E1249" s="2" t="s">
        <v>103</v>
      </c>
      <c r="F1249" s="2" t="s">
        <v>24</v>
      </c>
      <c r="G1249">
        <v>5</v>
      </c>
      <c r="H1249">
        <v>150</v>
      </c>
      <c r="I1249">
        <v>132</v>
      </c>
      <c r="J1249" s="3">
        <v>188900</v>
      </c>
      <c r="K1249" s="3">
        <v>24934800</v>
      </c>
      <c r="L1249" s="2" t="s">
        <v>33</v>
      </c>
      <c r="M1249" s="2" t="s">
        <v>26</v>
      </c>
      <c r="N1249">
        <v>2024</v>
      </c>
      <c r="O1249" s="2" t="s">
        <v>143</v>
      </c>
      <c r="P1249" s="2" t="s">
        <v>144</v>
      </c>
      <c r="Q1249">
        <v>4</v>
      </c>
      <c r="R1249" s="4">
        <v>45383</v>
      </c>
      <c r="S1249" s="3">
        <v>188900</v>
      </c>
      <c r="T1249" s="3">
        <v>2.4900000000000002</v>
      </c>
    </row>
    <row r="1250" spans="1:20" x14ac:dyDescent="0.3">
      <c r="A1250" s="1">
        <v>45384</v>
      </c>
      <c r="B1250" s="2" t="s">
        <v>35</v>
      </c>
      <c r="C1250" s="2" t="s">
        <v>132</v>
      </c>
      <c r="D1250" s="2" t="s">
        <v>67</v>
      </c>
      <c r="E1250" s="2" t="s">
        <v>118</v>
      </c>
      <c r="F1250" s="2" t="s">
        <v>24</v>
      </c>
      <c r="G1250">
        <v>84</v>
      </c>
      <c r="H1250">
        <v>590</v>
      </c>
      <c r="I1250">
        <v>70</v>
      </c>
      <c r="J1250" s="3">
        <v>8080100</v>
      </c>
      <c r="K1250" s="3">
        <v>565607000</v>
      </c>
      <c r="L1250" s="2" t="s">
        <v>33</v>
      </c>
      <c r="M1250" s="2" t="s">
        <v>26</v>
      </c>
      <c r="N1250">
        <v>2024</v>
      </c>
      <c r="O1250" s="2" t="s">
        <v>143</v>
      </c>
      <c r="P1250" s="2" t="s">
        <v>144</v>
      </c>
      <c r="Q1250">
        <v>4</v>
      </c>
      <c r="R1250" s="4">
        <v>45383</v>
      </c>
      <c r="S1250" s="3">
        <v>8080100</v>
      </c>
      <c r="T1250" s="3">
        <v>56.56</v>
      </c>
    </row>
    <row r="1251" spans="1:20" x14ac:dyDescent="0.3">
      <c r="A1251" s="1">
        <v>45384</v>
      </c>
      <c r="B1251" s="2" t="s">
        <v>106</v>
      </c>
      <c r="C1251" s="2" t="s">
        <v>119</v>
      </c>
      <c r="D1251" s="2" t="s">
        <v>70</v>
      </c>
      <c r="E1251" s="2" t="s">
        <v>74</v>
      </c>
      <c r="F1251" s="2" t="s">
        <v>24</v>
      </c>
      <c r="G1251">
        <v>25</v>
      </c>
      <c r="H1251">
        <v>32</v>
      </c>
      <c r="I1251">
        <v>110</v>
      </c>
      <c r="J1251" s="3">
        <v>1085500</v>
      </c>
      <c r="K1251" s="3">
        <v>119405000</v>
      </c>
      <c r="L1251" s="2" t="s">
        <v>25</v>
      </c>
      <c r="M1251" s="2" t="s">
        <v>26</v>
      </c>
      <c r="N1251">
        <v>2024</v>
      </c>
      <c r="O1251" s="2" t="s">
        <v>143</v>
      </c>
      <c r="P1251" s="2" t="s">
        <v>144</v>
      </c>
      <c r="Q1251">
        <v>4</v>
      </c>
      <c r="R1251" s="4">
        <v>45383</v>
      </c>
      <c r="S1251" s="3">
        <v>1085500</v>
      </c>
      <c r="T1251" s="3">
        <v>11.94</v>
      </c>
    </row>
    <row r="1252" spans="1:20" x14ac:dyDescent="0.3">
      <c r="A1252" s="1">
        <v>45385</v>
      </c>
      <c r="B1252" s="2" t="s">
        <v>106</v>
      </c>
      <c r="C1252" s="2" t="s">
        <v>107</v>
      </c>
      <c r="D1252" s="2" t="s">
        <v>102</v>
      </c>
      <c r="E1252" s="2" t="s">
        <v>103</v>
      </c>
      <c r="F1252" s="2" t="s">
        <v>24</v>
      </c>
      <c r="G1252">
        <v>5</v>
      </c>
      <c r="H1252">
        <v>150</v>
      </c>
      <c r="I1252">
        <v>116</v>
      </c>
      <c r="J1252" s="3">
        <v>189100</v>
      </c>
      <c r="K1252" s="3">
        <v>21935600</v>
      </c>
      <c r="L1252" s="2" t="s">
        <v>33</v>
      </c>
      <c r="M1252" s="2" t="s">
        <v>34</v>
      </c>
      <c r="N1252">
        <v>2024</v>
      </c>
      <c r="O1252" s="2" t="s">
        <v>143</v>
      </c>
      <c r="P1252" s="2" t="s">
        <v>144</v>
      </c>
      <c r="Q1252">
        <v>4</v>
      </c>
      <c r="R1252" s="4">
        <v>45383</v>
      </c>
      <c r="S1252" s="3">
        <v>189100</v>
      </c>
      <c r="T1252" s="3">
        <v>2.19</v>
      </c>
    </row>
    <row r="1253" spans="1:20" x14ac:dyDescent="0.3">
      <c r="A1253" s="1">
        <v>45385</v>
      </c>
      <c r="B1253" s="2" t="s">
        <v>108</v>
      </c>
      <c r="C1253" s="2" t="s">
        <v>131</v>
      </c>
      <c r="D1253" s="2" t="s">
        <v>70</v>
      </c>
      <c r="E1253" s="2" t="s">
        <v>74</v>
      </c>
      <c r="F1253" s="2" t="s">
        <v>24</v>
      </c>
      <c r="G1253">
        <v>25</v>
      </c>
      <c r="H1253">
        <v>32</v>
      </c>
      <c r="I1253">
        <v>43</v>
      </c>
      <c r="J1253" s="3">
        <v>1126900</v>
      </c>
      <c r="K1253" s="3">
        <v>48456700</v>
      </c>
      <c r="L1253" s="2" t="s">
        <v>33</v>
      </c>
      <c r="M1253" s="2" t="s">
        <v>97</v>
      </c>
      <c r="N1253">
        <v>2024</v>
      </c>
      <c r="O1253" s="2" t="s">
        <v>143</v>
      </c>
      <c r="P1253" s="2" t="s">
        <v>144</v>
      </c>
      <c r="Q1253">
        <v>4</v>
      </c>
      <c r="R1253" s="4">
        <v>45383</v>
      </c>
      <c r="S1253" s="3">
        <v>1126900</v>
      </c>
      <c r="T1253" s="3">
        <v>4.8499999999999996</v>
      </c>
    </row>
    <row r="1254" spans="1:20" x14ac:dyDescent="0.3">
      <c r="A1254" s="1">
        <v>45385</v>
      </c>
      <c r="B1254" s="2" t="s">
        <v>90</v>
      </c>
      <c r="C1254" s="2" t="s">
        <v>99</v>
      </c>
      <c r="D1254" s="2" t="s">
        <v>31</v>
      </c>
      <c r="E1254" s="2" t="s">
        <v>124</v>
      </c>
      <c r="F1254" s="2" t="s">
        <v>24</v>
      </c>
      <c r="G1254">
        <v>3</v>
      </c>
      <c r="H1254">
        <v>151</v>
      </c>
      <c r="I1254">
        <v>38</v>
      </c>
      <c r="J1254" s="3">
        <v>100900</v>
      </c>
      <c r="K1254" s="3">
        <v>3834200</v>
      </c>
      <c r="L1254" s="2" t="s">
        <v>92</v>
      </c>
      <c r="M1254" s="2" t="s">
        <v>26</v>
      </c>
      <c r="N1254">
        <v>2024</v>
      </c>
      <c r="O1254" s="2" t="s">
        <v>143</v>
      </c>
      <c r="P1254" s="2" t="s">
        <v>144</v>
      </c>
      <c r="Q1254">
        <v>4</v>
      </c>
      <c r="R1254" s="4">
        <v>45383</v>
      </c>
      <c r="S1254" s="3">
        <v>100900</v>
      </c>
      <c r="T1254" s="3">
        <v>0.38</v>
      </c>
    </row>
    <row r="1255" spans="1:20" x14ac:dyDescent="0.3">
      <c r="A1255" s="1">
        <v>45386</v>
      </c>
      <c r="B1255" s="2" t="s">
        <v>59</v>
      </c>
      <c r="C1255" s="2" t="s">
        <v>81</v>
      </c>
      <c r="D1255" s="2" t="s">
        <v>70</v>
      </c>
      <c r="E1255" s="2" t="s">
        <v>71</v>
      </c>
      <c r="F1255" s="2" t="s">
        <v>24</v>
      </c>
      <c r="G1255">
        <v>50</v>
      </c>
      <c r="H1255">
        <v>46</v>
      </c>
      <c r="I1255">
        <v>160</v>
      </c>
      <c r="J1255" s="3">
        <v>2028900</v>
      </c>
      <c r="K1255" s="3">
        <v>324624000</v>
      </c>
      <c r="L1255" s="2" t="s">
        <v>33</v>
      </c>
      <c r="M1255" s="2" t="s">
        <v>26</v>
      </c>
      <c r="N1255">
        <v>2024</v>
      </c>
      <c r="O1255" s="2" t="s">
        <v>143</v>
      </c>
      <c r="P1255" s="2" t="s">
        <v>144</v>
      </c>
      <c r="Q1255">
        <v>4</v>
      </c>
      <c r="R1255" s="4">
        <v>45383</v>
      </c>
      <c r="S1255" s="3">
        <v>2028900</v>
      </c>
      <c r="T1255" s="3">
        <v>32.46</v>
      </c>
    </row>
    <row r="1256" spans="1:20" x14ac:dyDescent="0.3">
      <c r="A1256" s="1">
        <v>45386</v>
      </c>
      <c r="B1256" s="2" t="s">
        <v>46</v>
      </c>
      <c r="C1256" s="2" t="s">
        <v>56</v>
      </c>
      <c r="D1256" s="2" t="s">
        <v>79</v>
      </c>
      <c r="E1256" s="2" t="s">
        <v>80</v>
      </c>
      <c r="F1256" s="2" t="s">
        <v>39</v>
      </c>
      <c r="G1256">
        <v>69</v>
      </c>
      <c r="H1256">
        <v>418</v>
      </c>
      <c r="I1256">
        <v>79</v>
      </c>
      <c r="J1256" s="3">
        <v>6219200</v>
      </c>
      <c r="K1256" s="3">
        <v>491316800</v>
      </c>
      <c r="L1256" s="2" t="s">
        <v>25</v>
      </c>
      <c r="M1256" s="2" t="s">
        <v>77</v>
      </c>
      <c r="N1256">
        <v>2024</v>
      </c>
      <c r="O1256" s="2" t="s">
        <v>143</v>
      </c>
      <c r="P1256" s="2" t="s">
        <v>144</v>
      </c>
      <c r="Q1256">
        <v>4</v>
      </c>
      <c r="R1256" s="4">
        <v>45383</v>
      </c>
      <c r="S1256" s="3">
        <v>6219200</v>
      </c>
      <c r="T1256" s="3">
        <v>49.13</v>
      </c>
    </row>
    <row r="1257" spans="1:20" x14ac:dyDescent="0.3">
      <c r="A1257" s="1">
        <v>45386</v>
      </c>
      <c r="B1257" s="2" t="s">
        <v>29</v>
      </c>
      <c r="C1257" s="2" t="s">
        <v>96</v>
      </c>
      <c r="D1257" s="2" t="s">
        <v>22</v>
      </c>
      <c r="E1257" s="2" t="s">
        <v>23</v>
      </c>
      <c r="F1257" s="2" t="s">
        <v>24</v>
      </c>
      <c r="G1257">
        <v>82</v>
      </c>
      <c r="H1257">
        <v>520</v>
      </c>
      <c r="I1257">
        <v>40</v>
      </c>
      <c r="J1257" s="3">
        <v>6705600</v>
      </c>
      <c r="K1257" s="3">
        <v>268224000</v>
      </c>
      <c r="L1257" s="2" t="s">
        <v>33</v>
      </c>
      <c r="M1257" s="2" t="s">
        <v>26</v>
      </c>
      <c r="N1257">
        <v>2024</v>
      </c>
      <c r="O1257" s="2" t="s">
        <v>143</v>
      </c>
      <c r="P1257" s="2" t="s">
        <v>144</v>
      </c>
      <c r="Q1257">
        <v>4</v>
      </c>
      <c r="R1257" s="4">
        <v>45383</v>
      </c>
      <c r="S1257" s="3">
        <v>6705600</v>
      </c>
      <c r="T1257" s="3">
        <v>26.82</v>
      </c>
    </row>
    <row r="1258" spans="1:20" x14ac:dyDescent="0.3">
      <c r="A1258" s="1">
        <v>45388</v>
      </c>
      <c r="B1258" s="2" t="s">
        <v>90</v>
      </c>
      <c r="C1258" s="2" t="s">
        <v>128</v>
      </c>
      <c r="D1258" s="2" t="s">
        <v>57</v>
      </c>
      <c r="E1258" s="2" t="s">
        <v>86</v>
      </c>
      <c r="F1258" s="2" t="s">
        <v>138</v>
      </c>
      <c r="G1258">
        <v>48</v>
      </c>
      <c r="H1258">
        <v>39</v>
      </c>
      <c r="I1258">
        <v>107</v>
      </c>
      <c r="J1258" s="3">
        <v>1967200</v>
      </c>
      <c r="K1258" s="3">
        <v>210490400</v>
      </c>
      <c r="L1258" s="2" t="s">
        <v>25</v>
      </c>
      <c r="M1258" s="2" t="s">
        <v>26</v>
      </c>
      <c r="N1258">
        <v>2024</v>
      </c>
      <c r="O1258" s="2" t="s">
        <v>143</v>
      </c>
      <c r="P1258" s="2" t="s">
        <v>144</v>
      </c>
      <c r="Q1258">
        <v>4</v>
      </c>
      <c r="R1258" s="4">
        <v>45383</v>
      </c>
      <c r="S1258" s="3">
        <v>1967200</v>
      </c>
      <c r="T1258" s="3">
        <v>21.05</v>
      </c>
    </row>
    <row r="1259" spans="1:20" x14ac:dyDescent="0.3">
      <c r="A1259" s="1">
        <v>45388</v>
      </c>
      <c r="B1259" s="2" t="s">
        <v>40</v>
      </c>
      <c r="C1259" s="2" t="s">
        <v>136</v>
      </c>
      <c r="D1259" s="2" t="s">
        <v>79</v>
      </c>
      <c r="E1259" s="2" t="s">
        <v>80</v>
      </c>
      <c r="F1259" s="2" t="s">
        <v>24</v>
      </c>
      <c r="G1259">
        <v>69</v>
      </c>
      <c r="H1259">
        <v>418</v>
      </c>
      <c r="I1259">
        <v>73</v>
      </c>
      <c r="J1259" s="3">
        <v>6027300</v>
      </c>
      <c r="K1259" s="3">
        <v>439992900</v>
      </c>
      <c r="L1259" s="2" t="s">
        <v>33</v>
      </c>
      <c r="M1259" s="2" t="s">
        <v>26</v>
      </c>
      <c r="N1259">
        <v>2024</v>
      </c>
      <c r="O1259" s="2" t="s">
        <v>143</v>
      </c>
      <c r="P1259" s="2" t="s">
        <v>144</v>
      </c>
      <c r="Q1259">
        <v>4</v>
      </c>
      <c r="R1259" s="4">
        <v>45383</v>
      </c>
      <c r="S1259" s="3">
        <v>6027300</v>
      </c>
      <c r="T1259" s="3">
        <v>44</v>
      </c>
    </row>
    <row r="1260" spans="1:20" x14ac:dyDescent="0.3">
      <c r="A1260" s="1">
        <v>45389</v>
      </c>
      <c r="B1260" s="2" t="s">
        <v>29</v>
      </c>
      <c r="C1260" s="2" t="s">
        <v>96</v>
      </c>
      <c r="D1260" s="2" t="s">
        <v>94</v>
      </c>
      <c r="E1260" s="2" t="s">
        <v>115</v>
      </c>
      <c r="F1260" s="2" t="s">
        <v>24</v>
      </c>
      <c r="G1260">
        <v>24</v>
      </c>
      <c r="H1260">
        <v>24</v>
      </c>
      <c r="I1260">
        <v>142</v>
      </c>
      <c r="J1260" s="3">
        <v>1348200</v>
      </c>
      <c r="K1260" s="3">
        <v>191444400</v>
      </c>
      <c r="L1260" s="2" t="s">
        <v>92</v>
      </c>
      <c r="M1260" s="2" t="s">
        <v>26</v>
      </c>
      <c r="N1260">
        <v>2024</v>
      </c>
      <c r="O1260" s="2" t="s">
        <v>143</v>
      </c>
      <c r="P1260" s="2" t="s">
        <v>144</v>
      </c>
      <c r="Q1260">
        <v>4</v>
      </c>
      <c r="R1260" s="4">
        <v>45383</v>
      </c>
      <c r="S1260" s="3">
        <v>1348200</v>
      </c>
      <c r="T1260" s="3">
        <v>19.14</v>
      </c>
    </row>
    <row r="1261" spans="1:20" x14ac:dyDescent="0.3">
      <c r="A1261" s="1">
        <v>45390</v>
      </c>
      <c r="B1261" s="2" t="s">
        <v>40</v>
      </c>
      <c r="C1261" s="2" t="s">
        <v>78</v>
      </c>
      <c r="D1261" s="2" t="s">
        <v>22</v>
      </c>
      <c r="E1261" s="2" t="s">
        <v>23</v>
      </c>
      <c r="F1261" s="2" t="s">
        <v>24</v>
      </c>
      <c r="G1261">
        <v>82</v>
      </c>
      <c r="H1261">
        <v>520</v>
      </c>
      <c r="I1261">
        <v>43</v>
      </c>
      <c r="J1261" s="3">
        <v>7082000</v>
      </c>
      <c r="K1261" s="3">
        <v>304526000</v>
      </c>
      <c r="L1261" s="2" t="s">
        <v>33</v>
      </c>
      <c r="M1261" s="2" t="s">
        <v>26</v>
      </c>
      <c r="N1261">
        <v>2024</v>
      </c>
      <c r="O1261" s="2" t="s">
        <v>143</v>
      </c>
      <c r="P1261" s="2" t="s">
        <v>144</v>
      </c>
      <c r="Q1261">
        <v>4</v>
      </c>
      <c r="R1261" s="4">
        <v>45383</v>
      </c>
      <c r="S1261" s="3">
        <v>7082000</v>
      </c>
      <c r="T1261" s="3">
        <v>30.45</v>
      </c>
    </row>
    <row r="1262" spans="1:20" x14ac:dyDescent="0.3">
      <c r="A1262" s="1">
        <v>45390</v>
      </c>
      <c r="B1262" s="2" t="s">
        <v>35</v>
      </c>
      <c r="C1262" s="2" t="s">
        <v>132</v>
      </c>
      <c r="D1262" s="2" t="s">
        <v>67</v>
      </c>
      <c r="E1262" s="2" t="s">
        <v>118</v>
      </c>
      <c r="F1262" s="2" t="s">
        <v>24</v>
      </c>
      <c r="G1262">
        <v>84</v>
      </c>
      <c r="H1262">
        <v>590</v>
      </c>
      <c r="I1262">
        <v>40</v>
      </c>
      <c r="J1262" s="3">
        <v>8323800</v>
      </c>
      <c r="K1262" s="3">
        <v>332952000</v>
      </c>
      <c r="L1262" s="2" t="s">
        <v>33</v>
      </c>
      <c r="M1262" s="2" t="s">
        <v>26</v>
      </c>
      <c r="N1262">
        <v>2024</v>
      </c>
      <c r="O1262" s="2" t="s">
        <v>143</v>
      </c>
      <c r="P1262" s="2" t="s">
        <v>144</v>
      </c>
      <c r="Q1262">
        <v>4</v>
      </c>
      <c r="R1262" s="4">
        <v>45383</v>
      </c>
      <c r="S1262" s="3">
        <v>8323800</v>
      </c>
      <c r="T1262" s="3">
        <v>33.299999999999997</v>
      </c>
    </row>
    <row r="1263" spans="1:20" x14ac:dyDescent="0.3">
      <c r="A1263" s="1">
        <v>45390</v>
      </c>
      <c r="B1263" s="2" t="s">
        <v>108</v>
      </c>
      <c r="C1263" s="2" t="s">
        <v>109</v>
      </c>
      <c r="D1263" s="2" t="s">
        <v>42</v>
      </c>
      <c r="E1263" s="2" t="s">
        <v>43</v>
      </c>
      <c r="F1263" s="2" t="s">
        <v>24</v>
      </c>
      <c r="G1263">
        <v>3</v>
      </c>
      <c r="H1263">
        <v>135</v>
      </c>
      <c r="I1263">
        <v>89</v>
      </c>
      <c r="J1263" s="3">
        <v>111600</v>
      </c>
      <c r="K1263" s="3">
        <v>9932400</v>
      </c>
      <c r="L1263" s="2" t="s">
        <v>33</v>
      </c>
      <c r="M1263" s="2" t="s">
        <v>26</v>
      </c>
      <c r="N1263">
        <v>2024</v>
      </c>
      <c r="O1263" s="2" t="s">
        <v>143</v>
      </c>
      <c r="P1263" s="2" t="s">
        <v>144</v>
      </c>
      <c r="Q1263">
        <v>4</v>
      </c>
      <c r="R1263" s="4">
        <v>45383</v>
      </c>
      <c r="S1263" s="3">
        <v>111600</v>
      </c>
      <c r="T1263" s="3">
        <v>0.99</v>
      </c>
    </row>
    <row r="1264" spans="1:20" x14ac:dyDescent="0.3">
      <c r="A1264" s="1">
        <v>45390</v>
      </c>
      <c r="B1264" s="2" t="s">
        <v>29</v>
      </c>
      <c r="C1264" s="2" t="s">
        <v>96</v>
      </c>
      <c r="D1264" s="2" t="s">
        <v>57</v>
      </c>
      <c r="E1264" s="2" t="s">
        <v>86</v>
      </c>
      <c r="F1264" s="2" t="s">
        <v>24</v>
      </c>
      <c r="G1264">
        <v>48</v>
      </c>
      <c r="H1264">
        <v>39</v>
      </c>
      <c r="I1264">
        <v>90</v>
      </c>
      <c r="J1264" s="3">
        <v>2387000</v>
      </c>
      <c r="K1264" s="3">
        <v>214830000</v>
      </c>
      <c r="L1264" s="2" t="s">
        <v>92</v>
      </c>
      <c r="M1264" s="2" t="s">
        <v>26</v>
      </c>
      <c r="N1264">
        <v>2024</v>
      </c>
      <c r="O1264" s="2" t="s">
        <v>143</v>
      </c>
      <c r="P1264" s="2" t="s">
        <v>144</v>
      </c>
      <c r="Q1264">
        <v>4</v>
      </c>
      <c r="R1264" s="4">
        <v>45383</v>
      </c>
      <c r="S1264" s="3">
        <v>2387000</v>
      </c>
      <c r="T1264" s="3">
        <v>21.48</v>
      </c>
    </row>
    <row r="1265" spans="1:20" x14ac:dyDescent="0.3">
      <c r="A1265" s="1">
        <v>45390</v>
      </c>
      <c r="B1265" s="2" t="s">
        <v>44</v>
      </c>
      <c r="C1265" s="2" t="s">
        <v>45</v>
      </c>
      <c r="D1265" s="2" t="s">
        <v>57</v>
      </c>
      <c r="E1265" s="2" t="s">
        <v>86</v>
      </c>
      <c r="F1265" s="2" t="s">
        <v>24</v>
      </c>
      <c r="G1265">
        <v>48</v>
      </c>
      <c r="H1265">
        <v>39</v>
      </c>
      <c r="I1265">
        <v>159</v>
      </c>
      <c r="J1265" s="3">
        <v>2581900</v>
      </c>
      <c r="K1265" s="3">
        <v>410522100</v>
      </c>
      <c r="L1265" s="2" t="s">
        <v>33</v>
      </c>
      <c r="M1265" s="2" t="s">
        <v>26</v>
      </c>
      <c r="N1265">
        <v>2024</v>
      </c>
      <c r="O1265" s="2" t="s">
        <v>143</v>
      </c>
      <c r="P1265" s="2" t="s">
        <v>144</v>
      </c>
      <c r="Q1265">
        <v>4</v>
      </c>
      <c r="R1265" s="4">
        <v>45383</v>
      </c>
      <c r="S1265" s="3">
        <v>2581900</v>
      </c>
      <c r="T1265" s="3">
        <v>41.05</v>
      </c>
    </row>
    <row r="1266" spans="1:20" x14ac:dyDescent="0.3">
      <c r="A1266" s="1">
        <v>45390</v>
      </c>
      <c r="B1266" s="2" t="s">
        <v>29</v>
      </c>
      <c r="C1266" s="2" t="s">
        <v>30</v>
      </c>
      <c r="D1266" s="2" t="s">
        <v>94</v>
      </c>
      <c r="E1266" s="2" t="s">
        <v>95</v>
      </c>
      <c r="F1266" s="2" t="s">
        <v>24</v>
      </c>
      <c r="G1266">
        <v>40</v>
      </c>
      <c r="H1266">
        <v>30</v>
      </c>
      <c r="I1266">
        <v>62</v>
      </c>
      <c r="J1266" s="3">
        <v>2015800</v>
      </c>
      <c r="K1266" s="3">
        <v>124979600</v>
      </c>
      <c r="L1266" s="2" t="s">
        <v>33</v>
      </c>
      <c r="M1266" s="2" t="s">
        <v>26</v>
      </c>
      <c r="N1266">
        <v>2024</v>
      </c>
      <c r="O1266" s="2" t="s">
        <v>143</v>
      </c>
      <c r="P1266" s="2" t="s">
        <v>144</v>
      </c>
      <c r="Q1266">
        <v>4</v>
      </c>
      <c r="R1266" s="4">
        <v>45383</v>
      </c>
      <c r="S1266" s="3">
        <v>2015800</v>
      </c>
      <c r="T1266" s="3">
        <v>12.5</v>
      </c>
    </row>
    <row r="1267" spans="1:20" x14ac:dyDescent="0.3">
      <c r="A1267" s="1">
        <v>45391</v>
      </c>
      <c r="B1267" s="2" t="s">
        <v>46</v>
      </c>
      <c r="C1267" s="2" t="s">
        <v>137</v>
      </c>
      <c r="D1267" s="2" t="s">
        <v>57</v>
      </c>
      <c r="E1267" s="2" t="s">
        <v>86</v>
      </c>
      <c r="F1267" s="2" t="s">
        <v>72</v>
      </c>
      <c r="G1267">
        <v>48</v>
      </c>
      <c r="H1267">
        <v>39</v>
      </c>
      <c r="I1267">
        <v>87</v>
      </c>
      <c r="J1267" s="3">
        <v>1923700</v>
      </c>
      <c r="K1267" s="3">
        <v>167361900</v>
      </c>
      <c r="L1267" s="2" t="s">
        <v>25</v>
      </c>
      <c r="M1267" s="2" t="s">
        <v>77</v>
      </c>
      <c r="N1267">
        <v>2024</v>
      </c>
      <c r="O1267" s="2" t="s">
        <v>143</v>
      </c>
      <c r="P1267" s="2" t="s">
        <v>144</v>
      </c>
      <c r="Q1267">
        <v>4</v>
      </c>
      <c r="R1267" s="4">
        <v>45383</v>
      </c>
      <c r="S1267" s="3">
        <v>1923700</v>
      </c>
      <c r="T1267" s="3">
        <v>16.739999999999998</v>
      </c>
    </row>
    <row r="1268" spans="1:20" x14ac:dyDescent="0.3">
      <c r="A1268" s="1">
        <v>45392</v>
      </c>
      <c r="B1268" s="2" t="s">
        <v>44</v>
      </c>
      <c r="C1268" s="2" t="s">
        <v>117</v>
      </c>
      <c r="D1268" s="2" t="s">
        <v>70</v>
      </c>
      <c r="E1268" s="2" t="s">
        <v>74</v>
      </c>
      <c r="F1268" s="2" t="s">
        <v>24</v>
      </c>
      <c r="G1268">
        <v>25</v>
      </c>
      <c r="H1268">
        <v>32</v>
      </c>
      <c r="I1268">
        <v>34</v>
      </c>
      <c r="J1268" s="3">
        <v>1279800</v>
      </c>
      <c r="K1268" s="3">
        <v>43513200</v>
      </c>
      <c r="L1268" s="2" t="s">
        <v>33</v>
      </c>
      <c r="M1268" s="2" t="s">
        <v>26</v>
      </c>
      <c r="N1268">
        <v>2024</v>
      </c>
      <c r="O1268" s="2" t="s">
        <v>143</v>
      </c>
      <c r="P1268" s="2" t="s">
        <v>144</v>
      </c>
      <c r="Q1268">
        <v>4</v>
      </c>
      <c r="R1268" s="4">
        <v>45383</v>
      </c>
      <c r="S1268" s="3">
        <v>1279800</v>
      </c>
      <c r="T1268" s="3">
        <v>4.3499999999999996</v>
      </c>
    </row>
    <row r="1269" spans="1:20" x14ac:dyDescent="0.3">
      <c r="A1269" s="1">
        <v>45392</v>
      </c>
      <c r="B1269" s="2" t="s">
        <v>40</v>
      </c>
      <c r="C1269" s="2" t="s">
        <v>136</v>
      </c>
      <c r="D1269" s="2" t="s">
        <v>88</v>
      </c>
      <c r="E1269" s="2" t="s">
        <v>111</v>
      </c>
      <c r="F1269" s="2" t="s">
        <v>39</v>
      </c>
      <c r="G1269">
        <v>60</v>
      </c>
      <c r="H1269">
        <v>480</v>
      </c>
      <c r="I1269">
        <v>52</v>
      </c>
      <c r="J1269" s="3">
        <v>2891900</v>
      </c>
      <c r="K1269" s="3">
        <v>150378800</v>
      </c>
      <c r="L1269" s="2" t="s">
        <v>33</v>
      </c>
      <c r="M1269" s="2" t="s">
        <v>26</v>
      </c>
      <c r="N1269">
        <v>2024</v>
      </c>
      <c r="O1269" s="2" t="s">
        <v>143</v>
      </c>
      <c r="P1269" s="2" t="s">
        <v>144</v>
      </c>
      <c r="Q1269">
        <v>4</v>
      </c>
      <c r="R1269" s="4">
        <v>45383</v>
      </c>
      <c r="S1269" s="3">
        <v>2891900</v>
      </c>
      <c r="T1269" s="3">
        <v>15.04</v>
      </c>
    </row>
    <row r="1270" spans="1:20" x14ac:dyDescent="0.3">
      <c r="A1270" s="1">
        <v>45392</v>
      </c>
      <c r="B1270" s="2" t="s">
        <v>59</v>
      </c>
      <c r="C1270" s="2" t="s">
        <v>60</v>
      </c>
      <c r="D1270" s="2" t="s">
        <v>37</v>
      </c>
      <c r="E1270" s="2" t="s">
        <v>38</v>
      </c>
      <c r="F1270" s="2" t="s">
        <v>72</v>
      </c>
      <c r="G1270">
        <v>66</v>
      </c>
      <c r="H1270">
        <v>423</v>
      </c>
      <c r="I1270">
        <v>55</v>
      </c>
      <c r="J1270" s="3">
        <v>8191600</v>
      </c>
      <c r="K1270" s="3">
        <v>450538000</v>
      </c>
      <c r="L1270" s="2" t="s">
        <v>33</v>
      </c>
      <c r="M1270" s="2" t="s">
        <v>26</v>
      </c>
      <c r="N1270">
        <v>2024</v>
      </c>
      <c r="O1270" s="2" t="s">
        <v>143</v>
      </c>
      <c r="P1270" s="2" t="s">
        <v>144</v>
      </c>
      <c r="Q1270">
        <v>4</v>
      </c>
      <c r="R1270" s="4">
        <v>45383</v>
      </c>
      <c r="S1270" s="3">
        <v>8191600</v>
      </c>
      <c r="T1270" s="3">
        <v>45.05</v>
      </c>
    </row>
    <row r="1271" spans="1:20" x14ac:dyDescent="0.3">
      <c r="A1271" s="1">
        <v>45393</v>
      </c>
      <c r="B1271" s="2" t="s">
        <v>40</v>
      </c>
      <c r="C1271" s="2" t="s">
        <v>105</v>
      </c>
      <c r="D1271" s="2" t="s">
        <v>63</v>
      </c>
      <c r="E1271" s="2" t="s">
        <v>64</v>
      </c>
      <c r="F1271" s="2" t="s">
        <v>24</v>
      </c>
      <c r="G1271">
        <v>3</v>
      </c>
      <c r="H1271">
        <v>127</v>
      </c>
      <c r="I1271">
        <v>39</v>
      </c>
      <c r="J1271" s="3">
        <v>148100</v>
      </c>
      <c r="K1271" s="3">
        <v>5775900</v>
      </c>
      <c r="L1271" s="2" t="s">
        <v>33</v>
      </c>
      <c r="M1271" s="2" t="s">
        <v>26</v>
      </c>
      <c r="N1271">
        <v>2024</v>
      </c>
      <c r="O1271" s="2" t="s">
        <v>143</v>
      </c>
      <c r="P1271" s="2" t="s">
        <v>144</v>
      </c>
      <c r="Q1271">
        <v>4</v>
      </c>
      <c r="R1271" s="4">
        <v>45383</v>
      </c>
      <c r="S1271" s="3">
        <v>148100</v>
      </c>
      <c r="T1271" s="3">
        <v>0.57999999999999996</v>
      </c>
    </row>
    <row r="1272" spans="1:20" x14ac:dyDescent="0.3">
      <c r="A1272" s="1">
        <v>45393</v>
      </c>
      <c r="B1272" s="2" t="s">
        <v>48</v>
      </c>
      <c r="C1272" s="2" t="s">
        <v>69</v>
      </c>
      <c r="D1272" s="2" t="s">
        <v>42</v>
      </c>
      <c r="E1272" s="2" t="s">
        <v>43</v>
      </c>
      <c r="F1272" s="2" t="s">
        <v>24</v>
      </c>
      <c r="G1272">
        <v>3</v>
      </c>
      <c r="H1272">
        <v>135</v>
      </c>
      <c r="I1272">
        <v>35</v>
      </c>
      <c r="J1272" s="3">
        <v>127400</v>
      </c>
      <c r="K1272" s="3">
        <v>4459000</v>
      </c>
      <c r="L1272" s="2" t="s">
        <v>33</v>
      </c>
      <c r="M1272" s="2" t="s">
        <v>26</v>
      </c>
      <c r="N1272">
        <v>2024</v>
      </c>
      <c r="O1272" s="2" t="s">
        <v>143</v>
      </c>
      <c r="P1272" s="2" t="s">
        <v>144</v>
      </c>
      <c r="Q1272">
        <v>4</v>
      </c>
      <c r="R1272" s="4">
        <v>45383</v>
      </c>
      <c r="S1272" s="3">
        <v>127400</v>
      </c>
      <c r="T1272" s="3">
        <v>0.45</v>
      </c>
    </row>
    <row r="1273" spans="1:20" x14ac:dyDescent="0.3">
      <c r="A1273" s="1">
        <v>45393</v>
      </c>
      <c r="B1273" s="2" t="s">
        <v>48</v>
      </c>
      <c r="C1273" s="2" t="s">
        <v>69</v>
      </c>
      <c r="D1273" s="2" t="s">
        <v>37</v>
      </c>
      <c r="E1273" s="2" t="s">
        <v>38</v>
      </c>
      <c r="F1273" s="2" t="s">
        <v>24</v>
      </c>
      <c r="G1273">
        <v>66</v>
      </c>
      <c r="H1273">
        <v>423</v>
      </c>
      <c r="I1273">
        <v>77</v>
      </c>
      <c r="J1273" s="3">
        <v>9151800</v>
      </c>
      <c r="K1273" s="3">
        <v>704688600</v>
      </c>
      <c r="L1273" s="2" t="s">
        <v>33</v>
      </c>
      <c r="M1273" s="2" t="s">
        <v>34</v>
      </c>
      <c r="N1273">
        <v>2024</v>
      </c>
      <c r="O1273" s="2" t="s">
        <v>143</v>
      </c>
      <c r="P1273" s="2" t="s">
        <v>144</v>
      </c>
      <c r="Q1273">
        <v>4</v>
      </c>
      <c r="R1273" s="4">
        <v>45383</v>
      </c>
      <c r="S1273" s="3">
        <v>9151800</v>
      </c>
      <c r="T1273" s="3">
        <v>70.47</v>
      </c>
    </row>
    <row r="1274" spans="1:20" x14ac:dyDescent="0.3">
      <c r="A1274" s="1">
        <v>45394</v>
      </c>
      <c r="B1274" s="2" t="s">
        <v>108</v>
      </c>
      <c r="C1274" s="2" t="s">
        <v>123</v>
      </c>
      <c r="D1274" s="2" t="s">
        <v>70</v>
      </c>
      <c r="E1274" s="2" t="s">
        <v>71</v>
      </c>
      <c r="F1274" s="2" t="s">
        <v>24</v>
      </c>
      <c r="G1274">
        <v>50</v>
      </c>
      <c r="H1274">
        <v>46</v>
      </c>
      <c r="I1274">
        <v>156</v>
      </c>
      <c r="J1274" s="3">
        <v>2715200</v>
      </c>
      <c r="K1274" s="3">
        <v>423571200</v>
      </c>
      <c r="L1274" s="2" t="s">
        <v>92</v>
      </c>
      <c r="M1274" s="2" t="s">
        <v>26</v>
      </c>
      <c r="N1274">
        <v>2024</v>
      </c>
      <c r="O1274" s="2" t="s">
        <v>143</v>
      </c>
      <c r="P1274" s="2" t="s">
        <v>144</v>
      </c>
      <c r="Q1274">
        <v>4</v>
      </c>
      <c r="R1274" s="4">
        <v>45383</v>
      </c>
      <c r="S1274" s="3">
        <v>2715200</v>
      </c>
      <c r="T1274" s="3">
        <v>42.36</v>
      </c>
    </row>
    <row r="1275" spans="1:20" x14ac:dyDescent="0.3">
      <c r="A1275" s="1">
        <v>45394</v>
      </c>
      <c r="B1275" s="2" t="s">
        <v>20</v>
      </c>
      <c r="C1275" s="2" t="s">
        <v>125</v>
      </c>
      <c r="D1275" s="2" t="s">
        <v>63</v>
      </c>
      <c r="E1275" s="2" t="s">
        <v>64</v>
      </c>
      <c r="F1275" s="2" t="s">
        <v>24</v>
      </c>
      <c r="G1275">
        <v>3</v>
      </c>
      <c r="H1275">
        <v>127</v>
      </c>
      <c r="I1275">
        <v>163</v>
      </c>
      <c r="J1275" s="3">
        <v>170100</v>
      </c>
      <c r="K1275" s="3">
        <v>27726300</v>
      </c>
      <c r="L1275" s="2" t="s">
        <v>33</v>
      </c>
      <c r="M1275" s="2" t="s">
        <v>34</v>
      </c>
      <c r="N1275">
        <v>2024</v>
      </c>
      <c r="O1275" s="2" t="s">
        <v>143</v>
      </c>
      <c r="P1275" s="2" t="s">
        <v>144</v>
      </c>
      <c r="Q1275">
        <v>4</v>
      </c>
      <c r="R1275" s="4">
        <v>45383</v>
      </c>
      <c r="S1275" s="3">
        <v>170100</v>
      </c>
      <c r="T1275" s="3">
        <v>2.77</v>
      </c>
    </row>
    <row r="1276" spans="1:20" x14ac:dyDescent="0.3">
      <c r="A1276" s="1">
        <v>45394</v>
      </c>
      <c r="B1276" s="2" t="s">
        <v>84</v>
      </c>
      <c r="C1276" s="2" t="s">
        <v>85</v>
      </c>
      <c r="D1276" s="2" t="s">
        <v>42</v>
      </c>
      <c r="E1276" s="2" t="s">
        <v>43</v>
      </c>
      <c r="F1276" s="2" t="s">
        <v>24</v>
      </c>
      <c r="G1276">
        <v>3</v>
      </c>
      <c r="H1276">
        <v>135</v>
      </c>
      <c r="I1276">
        <v>172</v>
      </c>
      <c r="J1276" s="3">
        <v>131400</v>
      </c>
      <c r="K1276" s="3">
        <v>22600800</v>
      </c>
      <c r="L1276" s="2" t="s">
        <v>33</v>
      </c>
      <c r="M1276" s="2" t="s">
        <v>77</v>
      </c>
      <c r="N1276">
        <v>2024</v>
      </c>
      <c r="O1276" s="2" t="s">
        <v>143</v>
      </c>
      <c r="P1276" s="2" t="s">
        <v>144</v>
      </c>
      <c r="Q1276">
        <v>4</v>
      </c>
      <c r="R1276" s="4">
        <v>45383</v>
      </c>
      <c r="S1276" s="3">
        <v>131400</v>
      </c>
      <c r="T1276" s="3">
        <v>2.2599999999999998</v>
      </c>
    </row>
    <row r="1277" spans="1:20" x14ac:dyDescent="0.3">
      <c r="A1277" s="1">
        <v>45394</v>
      </c>
      <c r="B1277" s="2" t="s">
        <v>90</v>
      </c>
      <c r="C1277" s="2" t="s">
        <v>91</v>
      </c>
      <c r="D1277" s="2" t="s">
        <v>67</v>
      </c>
      <c r="E1277" s="2" t="s">
        <v>68</v>
      </c>
      <c r="F1277" s="2" t="s">
        <v>72</v>
      </c>
      <c r="G1277">
        <v>66</v>
      </c>
      <c r="H1277">
        <v>440</v>
      </c>
      <c r="I1277">
        <v>38</v>
      </c>
      <c r="J1277" s="3">
        <v>6121700</v>
      </c>
      <c r="K1277" s="3">
        <v>232624600</v>
      </c>
      <c r="L1277" s="2" t="s">
        <v>33</v>
      </c>
      <c r="M1277" s="2" t="s">
        <v>26</v>
      </c>
      <c r="N1277">
        <v>2024</v>
      </c>
      <c r="O1277" s="2" t="s">
        <v>143</v>
      </c>
      <c r="P1277" s="2" t="s">
        <v>144</v>
      </c>
      <c r="Q1277">
        <v>4</v>
      </c>
      <c r="R1277" s="4">
        <v>45383</v>
      </c>
      <c r="S1277" s="3">
        <v>6121700</v>
      </c>
      <c r="T1277" s="3">
        <v>23.26</v>
      </c>
    </row>
    <row r="1278" spans="1:20" x14ac:dyDescent="0.3">
      <c r="A1278" s="1">
        <v>45394</v>
      </c>
      <c r="B1278" s="2" t="s">
        <v>44</v>
      </c>
      <c r="C1278" s="2" t="s">
        <v>45</v>
      </c>
      <c r="D1278" s="2" t="s">
        <v>63</v>
      </c>
      <c r="E1278" s="2" t="s">
        <v>64</v>
      </c>
      <c r="F1278" s="2" t="s">
        <v>24</v>
      </c>
      <c r="G1278">
        <v>3</v>
      </c>
      <c r="H1278">
        <v>127</v>
      </c>
      <c r="I1278">
        <v>148</v>
      </c>
      <c r="J1278" s="3">
        <v>142700</v>
      </c>
      <c r="K1278" s="3">
        <v>21119600</v>
      </c>
      <c r="L1278" s="2" t="s">
        <v>25</v>
      </c>
      <c r="M1278" s="2" t="s">
        <v>26</v>
      </c>
      <c r="N1278">
        <v>2024</v>
      </c>
      <c r="O1278" s="2" t="s">
        <v>143</v>
      </c>
      <c r="P1278" s="2" t="s">
        <v>144</v>
      </c>
      <c r="Q1278">
        <v>4</v>
      </c>
      <c r="R1278" s="4">
        <v>45383</v>
      </c>
      <c r="S1278" s="3">
        <v>142700</v>
      </c>
      <c r="T1278" s="3">
        <v>2.11</v>
      </c>
    </row>
    <row r="1279" spans="1:20" x14ac:dyDescent="0.3">
      <c r="A1279" s="1">
        <v>45394</v>
      </c>
      <c r="B1279" s="2" t="s">
        <v>84</v>
      </c>
      <c r="C1279" s="2" t="s">
        <v>126</v>
      </c>
      <c r="D1279" s="2" t="s">
        <v>70</v>
      </c>
      <c r="E1279" s="2" t="s">
        <v>71</v>
      </c>
      <c r="F1279" s="2" t="s">
        <v>138</v>
      </c>
      <c r="G1279">
        <v>50</v>
      </c>
      <c r="H1279">
        <v>46</v>
      </c>
      <c r="I1279">
        <v>118</v>
      </c>
      <c r="J1279" s="3">
        <v>2490800</v>
      </c>
      <c r="K1279" s="3">
        <v>293914400</v>
      </c>
      <c r="L1279" s="2" t="s">
        <v>25</v>
      </c>
      <c r="M1279" s="2" t="s">
        <v>26</v>
      </c>
      <c r="N1279">
        <v>2024</v>
      </c>
      <c r="O1279" s="2" t="s">
        <v>143</v>
      </c>
      <c r="P1279" s="2" t="s">
        <v>144</v>
      </c>
      <c r="Q1279">
        <v>4</v>
      </c>
      <c r="R1279" s="4">
        <v>45383</v>
      </c>
      <c r="S1279" s="3">
        <v>2490800</v>
      </c>
      <c r="T1279" s="3">
        <v>29.39</v>
      </c>
    </row>
    <row r="1280" spans="1:20" x14ac:dyDescent="0.3">
      <c r="A1280" s="1">
        <v>45395</v>
      </c>
      <c r="B1280" s="2" t="s">
        <v>106</v>
      </c>
      <c r="C1280" s="2" t="s">
        <v>119</v>
      </c>
      <c r="D1280" s="2" t="s">
        <v>102</v>
      </c>
      <c r="E1280" s="2" t="s">
        <v>103</v>
      </c>
      <c r="F1280" s="2" t="s">
        <v>24</v>
      </c>
      <c r="G1280">
        <v>5</v>
      </c>
      <c r="H1280">
        <v>150</v>
      </c>
      <c r="I1280">
        <v>137</v>
      </c>
      <c r="J1280" s="3">
        <v>185500</v>
      </c>
      <c r="K1280" s="3">
        <v>25413500</v>
      </c>
      <c r="L1280" s="2" t="s">
        <v>25</v>
      </c>
      <c r="M1280" s="2" t="s">
        <v>26</v>
      </c>
      <c r="N1280">
        <v>2024</v>
      </c>
      <c r="O1280" s="2" t="s">
        <v>143</v>
      </c>
      <c r="P1280" s="2" t="s">
        <v>144</v>
      </c>
      <c r="Q1280">
        <v>4</v>
      </c>
      <c r="R1280" s="4">
        <v>45383</v>
      </c>
      <c r="S1280" s="3">
        <v>185500</v>
      </c>
      <c r="T1280" s="3">
        <v>2.54</v>
      </c>
    </row>
    <row r="1281" spans="1:20" x14ac:dyDescent="0.3">
      <c r="A1281" s="1">
        <v>45395</v>
      </c>
      <c r="B1281" s="2" t="s">
        <v>90</v>
      </c>
      <c r="C1281" s="2" t="s">
        <v>99</v>
      </c>
      <c r="D1281" s="2" t="s">
        <v>57</v>
      </c>
      <c r="E1281" s="2" t="s">
        <v>86</v>
      </c>
      <c r="F1281" s="2" t="s">
        <v>24</v>
      </c>
      <c r="G1281">
        <v>48</v>
      </c>
      <c r="H1281">
        <v>39</v>
      </c>
      <c r="I1281">
        <v>62</v>
      </c>
      <c r="J1281" s="3">
        <v>2459800</v>
      </c>
      <c r="K1281" s="3">
        <v>152507600</v>
      </c>
      <c r="L1281" s="2" t="s">
        <v>25</v>
      </c>
      <c r="M1281" s="2" t="s">
        <v>26</v>
      </c>
      <c r="N1281">
        <v>2024</v>
      </c>
      <c r="O1281" s="2" t="s">
        <v>143</v>
      </c>
      <c r="P1281" s="2" t="s">
        <v>144</v>
      </c>
      <c r="Q1281">
        <v>4</v>
      </c>
      <c r="R1281" s="4">
        <v>45383</v>
      </c>
      <c r="S1281" s="3">
        <v>2459800</v>
      </c>
      <c r="T1281" s="3">
        <v>15.25</v>
      </c>
    </row>
    <row r="1282" spans="1:20" x14ac:dyDescent="0.3">
      <c r="A1282" s="1">
        <v>45395</v>
      </c>
      <c r="B1282" s="2" t="s">
        <v>35</v>
      </c>
      <c r="C1282" s="2" t="s">
        <v>121</v>
      </c>
      <c r="D1282" s="2" t="s">
        <v>94</v>
      </c>
      <c r="E1282" s="2" t="s">
        <v>95</v>
      </c>
      <c r="F1282" s="2" t="s">
        <v>24</v>
      </c>
      <c r="G1282">
        <v>40</v>
      </c>
      <c r="H1282">
        <v>30</v>
      </c>
      <c r="I1282">
        <v>123</v>
      </c>
      <c r="J1282" s="3">
        <v>2268000</v>
      </c>
      <c r="K1282" s="3">
        <v>278964000</v>
      </c>
      <c r="L1282" s="2" t="s">
        <v>33</v>
      </c>
      <c r="M1282" s="2" t="s">
        <v>77</v>
      </c>
      <c r="N1282">
        <v>2024</v>
      </c>
      <c r="O1282" s="2" t="s">
        <v>143</v>
      </c>
      <c r="P1282" s="2" t="s">
        <v>144</v>
      </c>
      <c r="Q1282">
        <v>4</v>
      </c>
      <c r="R1282" s="4">
        <v>45383</v>
      </c>
      <c r="S1282" s="3">
        <v>2268000</v>
      </c>
      <c r="T1282" s="3">
        <v>27.9</v>
      </c>
    </row>
    <row r="1283" spans="1:20" x14ac:dyDescent="0.3">
      <c r="A1283" s="1">
        <v>45395</v>
      </c>
      <c r="B1283" s="2" t="s">
        <v>40</v>
      </c>
      <c r="C1283" s="2" t="s">
        <v>41</v>
      </c>
      <c r="D1283" s="2" t="s">
        <v>67</v>
      </c>
      <c r="E1283" s="2" t="s">
        <v>68</v>
      </c>
      <c r="F1283" s="2" t="s">
        <v>24</v>
      </c>
      <c r="G1283">
        <v>66</v>
      </c>
      <c r="H1283">
        <v>440</v>
      </c>
      <c r="I1283">
        <v>48</v>
      </c>
      <c r="J1283" s="3">
        <v>5252300</v>
      </c>
      <c r="K1283" s="3">
        <v>252110400</v>
      </c>
      <c r="L1283" s="2" t="s">
        <v>33</v>
      </c>
      <c r="M1283" s="2" t="s">
        <v>34</v>
      </c>
      <c r="N1283">
        <v>2024</v>
      </c>
      <c r="O1283" s="2" t="s">
        <v>143</v>
      </c>
      <c r="P1283" s="2" t="s">
        <v>144</v>
      </c>
      <c r="Q1283">
        <v>4</v>
      </c>
      <c r="R1283" s="4">
        <v>45383</v>
      </c>
      <c r="S1283" s="3">
        <v>5252300</v>
      </c>
      <c r="T1283" s="3">
        <v>25.21</v>
      </c>
    </row>
    <row r="1284" spans="1:20" x14ac:dyDescent="0.3">
      <c r="A1284" s="1">
        <v>45396</v>
      </c>
      <c r="B1284" s="2" t="s">
        <v>35</v>
      </c>
      <c r="C1284" s="2" t="s">
        <v>87</v>
      </c>
      <c r="D1284" s="2" t="s">
        <v>50</v>
      </c>
      <c r="E1284" s="2" t="s">
        <v>51</v>
      </c>
      <c r="F1284" s="2" t="s">
        <v>39</v>
      </c>
      <c r="G1284">
        <v>77</v>
      </c>
      <c r="H1284">
        <v>528</v>
      </c>
      <c r="I1284">
        <v>38</v>
      </c>
      <c r="J1284" s="3">
        <v>4958500</v>
      </c>
      <c r="K1284" s="3">
        <v>188423000</v>
      </c>
      <c r="L1284" s="2" t="s">
        <v>25</v>
      </c>
      <c r="M1284" s="2" t="s">
        <v>26</v>
      </c>
      <c r="N1284">
        <v>2024</v>
      </c>
      <c r="O1284" s="2" t="s">
        <v>143</v>
      </c>
      <c r="P1284" s="2" t="s">
        <v>144</v>
      </c>
      <c r="Q1284">
        <v>4</v>
      </c>
      <c r="R1284" s="4">
        <v>45383</v>
      </c>
      <c r="S1284" s="3">
        <v>4958500</v>
      </c>
      <c r="T1284" s="3">
        <v>18.84</v>
      </c>
    </row>
    <row r="1285" spans="1:20" x14ac:dyDescent="0.3">
      <c r="A1285" s="1">
        <v>45396</v>
      </c>
      <c r="B1285" s="2" t="s">
        <v>106</v>
      </c>
      <c r="C1285" s="2" t="s">
        <v>119</v>
      </c>
      <c r="D1285" s="2" t="s">
        <v>100</v>
      </c>
      <c r="E1285" s="2" t="s">
        <v>101</v>
      </c>
      <c r="F1285" s="2" t="s">
        <v>24</v>
      </c>
      <c r="G1285">
        <v>3</v>
      </c>
      <c r="H1285">
        <v>150</v>
      </c>
      <c r="I1285">
        <v>178</v>
      </c>
      <c r="J1285" s="3">
        <v>145700</v>
      </c>
      <c r="K1285" s="3">
        <v>25934600</v>
      </c>
      <c r="L1285" s="2" t="s">
        <v>92</v>
      </c>
      <c r="M1285" s="2" t="s">
        <v>77</v>
      </c>
      <c r="N1285">
        <v>2024</v>
      </c>
      <c r="O1285" s="2" t="s">
        <v>143</v>
      </c>
      <c r="P1285" s="2" t="s">
        <v>144</v>
      </c>
      <c r="Q1285">
        <v>4</v>
      </c>
      <c r="R1285" s="4">
        <v>45383</v>
      </c>
      <c r="S1285" s="3">
        <v>145700</v>
      </c>
      <c r="T1285" s="3">
        <v>2.59</v>
      </c>
    </row>
    <row r="1286" spans="1:20" x14ac:dyDescent="0.3">
      <c r="A1286" s="1">
        <v>45397</v>
      </c>
      <c r="B1286" s="2" t="s">
        <v>40</v>
      </c>
      <c r="C1286" s="2" t="s">
        <v>78</v>
      </c>
      <c r="D1286" s="2" t="s">
        <v>70</v>
      </c>
      <c r="E1286" s="2" t="s">
        <v>74</v>
      </c>
      <c r="F1286" s="2" t="s">
        <v>138</v>
      </c>
      <c r="G1286">
        <v>25</v>
      </c>
      <c r="H1286">
        <v>32</v>
      </c>
      <c r="I1286">
        <v>95</v>
      </c>
      <c r="J1286" s="3">
        <v>1131500</v>
      </c>
      <c r="K1286" s="3">
        <v>107492500</v>
      </c>
      <c r="L1286" s="2" t="s">
        <v>33</v>
      </c>
      <c r="M1286" s="2" t="s">
        <v>26</v>
      </c>
      <c r="N1286">
        <v>2024</v>
      </c>
      <c r="O1286" s="2" t="s">
        <v>143</v>
      </c>
      <c r="P1286" s="2" t="s">
        <v>144</v>
      </c>
      <c r="Q1286">
        <v>4</v>
      </c>
      <c r="R1286" s="4">
        <v>45383</v>
      </c>
      <c r="S1286" s="3">
        <v>1131500</v>
      </c>
      <c r="T1286" s="3">
        <v>10.75</v>
      </c>
    </row>
    <row r="1287" spans="1:20" x14ac:dyDescent="0.3">
      <c r="A1287" s="1">
        <v>45397</v>
      </c>
      <c r="B1287" s="2" t="s">
        <v>48</v>
      </c>
      <c r="C1287" s="2" t="s">
        <v>69</v>
      </c>
      <c r="D1287" s="2" t="s">
        <v>63</v>
      </c>
      <c r="E1287" s="2" t="s">
        <v>64</v>
      </c>
      <c r="F1287" s="2" t="s">
        <v>24</v>
      </c>
      <c r="G1287">
        <v>3</v>
      </c>
      <c r="H1287">
        <v>127</v>
      </c>
      <c r="I1287">
        <v>38</v>
      </c>
      <c r="J1287" s="3">
        <v>162000</v>
      </c>
      <c r="K1287" s="3">
        <v>6156000</v>
      </c>
      <c r="L1287" s="2" t="s">
        <v>33</v>
      </c>
      <c r="M1287" s="2" t="s">
        <v>26</v>
      </c>
      <c r="N1287">
        <v>2024</v>
      </c>
      <c r="O1287" s="2" t="s">
        <v>143</v>
      </c>
      <c r="P1287" s="2" t="s">
        <v>144</v>
      </c>
      <c r="Q1287">
        <v>4</v>
      </c>
      <c r="R1287" s="4">
        <v>45383</v>
      </c>
      <c r="S1287" s="3">
        <v>162000</v>
      </c>
      <c r="T1287" s="3">
        <v>0.62</v>
      </c>
    </row>
    <row r="1288" spans="1:20" x14ac:dyDescent="0.3">
      <c r="A1288" s="1">
        <v>45397</v>
      </c>
      <c r="B1288" s="2" t="s">
        <v>46</v>
      </c>
      <c r="C1288" s="2" t="s">
        <v>110</v>
      </c>
      <c r="D1288" s="2" t="s">
        <v>22</v>
      </c>
      <c r="E1288" s="2" t="s">
        <v>23</v>
      </c>
      <c r="F1288" s="2" t="s">
        <v>39</v>
      </c>
      <c r="G1288">
        <v>82</v>
      </c>
      <c r="H1288">
        <v>520</v>
      </c>
      <c r="I1288">
        <v>3</v>
      </c>
      <c r="J1288" s="3">
        <v>7182100</v>
      </c>
      <c r="K1288" s="3">
        <v>21546300</v>
      </c>
      <c r="L1288" s="2" t="s">
        <v>33</v>
      </c>
      <c r="M1288" s="2" t="s">
        <v>77</v>
      </c>
      <c r="N1288">
        <v>2024</v>
      </c>
      <c r="O1288" s="2" t="s">
        <v>143</v>
      </c>
      <c r="P1288" s="2" t="s">
        <v>144</v>
      </c>
      <c r="Q1288">
        <v>4</v>
      </c>
      <c r="R1288" s="4">
        <v>45383</v>
      </c>
      <c r="S1288" s="3">
        <v>7182100</v>
      </c>
      <c r="T1288" s="3">
        <v>2.15</v>
      </c>
    </row>
    <row r="1289" spans="1:20" x14ac:dyDescent="0.3">
      <c r="A1289" s="1">
        <v>45398</v>
      </c>
      <c r="B1289" s="2" t="s">
        <v>52</v>
      </c>
      <c r="C1289" s="2" t="s">
        <v>53</v>
      </c>
      <c r="D1289" s="2" t="s">
        <v>42</v>
      </c>
      <c r="E1289" s="2" t="s">
        <v>43</v>
      </c>
      <c r="F1289" s="2" t="s">
        <v>24</v>
      </c>
      <c r="G1289">
        <v>3</v>
      </c>
      <c r="H1289">
        <v>135</v>
      </c>
      <c r="I1289">
        <v>105</v>
      </c>
      <c r="J1289" s="3">
        <v>134700</v>
      </c>
      <c r="K1289" s="3">
        <v>14143500</v>
      </c>
      <c r="L1289" s="2" t="s">
        <v>33</v>
      </c>
      <c r="M1289" s="2" t="s">
        <v>26</v>
      </c>
      <c r="N1289">
        <v>2024</v>
      </c>
      <c r="O1289" s="2" t="s">
        <v>143</v>
      </c>
      <c r="P1289" s="2" t="s">
        <v>144</v>
      </c>
      <c r="Q1289">
        <v>4</v>
      </c>
      <c r="R1289" s="4">
        <v>45383</v>
      </c>
      <c r="S1289" s="3">
        <v>134700</v>
      </c>
      <c r="T1289" s="3">
        <v>1.41</v>
      </c>
    </row>
    <row r="1290" spans="1:20" x14ac:dyDescent="0.3">
      <c r="A1290" s="1">
        <v>45399</v>
      </c>
      <c r="B1290" s="2" t="s">
        <v>29</v>
      </c>
      <c r="C1290" s="2" t="s">
        <v>96</v>
      </c>
      <c r="D1290" s="2" t="s">
        <v>54</v>
      </c>
      <c r="E1290" s="2" t="s">
        <v>55</v>
      </c>
      <c r="F1290" s="2" t="s">
        <v>24</v>
      </c>
      <c r="G1290">
        <v>30</v>
      </c>
      <c r="H1290">
        <v>320</v>
      </c>
      <c r="I1290">
        <v>9</v>
      </c>
      <c r="J1290" s="3">
        <v>1638700</v>
      </c>
      <c r="K1290" s="3">
        <v>14748300</v>
      </c>
      <c r="L1290" s="2" t="s">
        <v>33</v>
      </c>
      <c r="M1290" s="2" t="s">
        <v>34</v>
      </c>
      <c r="N1290">
        <v>2024</v>
      </c>
      <c r="O1290" s="2" t="s">
        <v>143</v>
      </c>
      <c r="P1290" s="2" t="s">
        <v>144</v>
      </c>
      <c r="Q1290">
        <v>4</v>
      </c>
      <c r="R1290" s="4">
        <v>45383</v>
      </c>
      <c r="S1290" s="3">
        <v>1638700</v>
      </c>
      <c r="T1290" s="3">
        <v>1.47</v>
      </c>
    </row>
    <row r="1291" spans="1:20" x14ac:dyDescent="0.3">
      <c r="A1291" s="1">
        <v>45399</v>
      </c>
      <c r="B1291" s="2" t="s">
        <v>90</v>
      </c>
      <c r="C1291" s="2" t="s">
        <v>91</v>
      </c>
      <c r="D1291" s="2" t="s">
        <v>79</v>
      </c>
      <c r="E1291" s="2" t="s">
        <v>80</v>
      </c>
      <c r="F1291" s="2" t="s">
        <v>39</v>
      </c>
      <c r="G1291">
        <v>69</v>
      </c>
      <c r="H1291">
        <v>418</v>
      </c>
      <c r="I1291">
        <v>20</v>
      </c>
      <c r="J1291" s="3">
        <v>4886900</v>
      </c>
      <c r="K1291" s="3">
        <v>97738000</v>
      </c>
      <c r="L1291" s="2" t="s">
        <v>33</v>
      </c>
      <c r="M1291" s="2" t="s">
        <v>26</v>
      </c>
      <c r="N1291">
        <v>2024</v>
      </c>
      <c r="O1291" s="2" t="s">
        <v>143</v>
      </c>
      <c r="P1291" s="2" t="s">
        <v>144</v>
      </c>
      <c r="Q1291">
        <v>4</v>
      </c>
      <c r="R1291" s="4">
        <v>45383</v>
      </c>
      <c r="S1291" s="3">
        <v>4886900</v>
      </c>
      <c r="T1291" s="3">
        <v>9.77</v>
      </c>
    </row>
    <row r="1292" spans="1:20" x14ac:dyDescent="0.3">
      <c r="A1292" s="1">
        <v>45399</v>
      </c>
      <c r="B1292" s="2" t="s">
        <v>29</v>
      </c>
      <c r="C1292" s="2" t="s">
        <v>30</v>
      </c>
      <c r="D1292" s="2" t="s">
        <v>88</v>
      </c>
      <c r="E1292" s="2" t="s">
        <v>89</v>
      </c>
      <c r="F1292" s="2" t="s">
        <v>39</v>
      </c>
      <c r="G1292">
        <v>82</v>
      </c>
      <c r="H1292">
        <v>580</v>
      </c>
      <c r="I1292">
        <v>13</v>
      </c>
      <c r="J1292" s="3">
        <v>4614800</v>
      </c>
      <c r="K1292" s="3">
        <v>59992400</v>
      </c>
      <c r="L1292" s="2" t="s">
        <v>92</v>
      </c>
      <c r="M1292" s="2" t="s">
        <v>77</v>
      </c>
      <c r="N1292">
        <v>2024</v>
      </c>
      <c r="O1292" s="2" t="s">
        <v>143</v>
      </c>
      <c r="P1292" s="2" t="s">
        <v>144</v>
      </c>
      <c r="Q1292">
        <v>4</v>
      </c>
      <c r="R1292" s="4">
        <v>45383</v>
      </c>
      <c r="S1292" s="3">
        <v>4614800</v>
      </c>
      <c r="T1292" s="3">
        <v>6</v>
      </c>
    </row>
    <row r="1293" spans="1:20" x14ac:dyDescent="0.3">
      <c r="A1293" s="1">
        <v>45400</v>
      </c>
      <c r="B1293" s="2" t="s">
        <v>40</v>
      </c>
      <c r="C1293" s="2" t="s">
        <v>41</v>
      </c>
      <c r="D1293" s="2" t="s">
        <v>82</v>
      </c>
      <c r="E1293" s="2" t="s">
        <v>141</v>
      </c>
      <c r="F1293" s="2" t="s">
        <v>24</v>
      </c>
      <c r="G1293">
        <v>59</v>
      </c>
      <c r="H1293">
        <v>55</v>
      </c>
      <c r="I1293">
        <v>89</v>
      </c>
      <c r="J1293" s="3">
        <v>2674600</v>
      </c>
      <c r="K1293" s="3">
        <v>238039400</v>
      </c>
      <c r="L1293" s="2" t="s">
        <v>33</v>
      </c>
      <c r="M1293" s="2" t="s">
        <v>77</v>
      </c>
      <c r="N1293">
        <v>2024</v>
      </c>
      <c r="O1293" s="2" t="s">
        <v>143</v>
      </c>
      <c r="P1293" s="2" t="s">
        <v>144</v>
      </c>
      <c r="Q1293">
        <v>4</v>
      </c>
      <c r="R1293" s="4">
        <v>45383</v>
      </c>
      <c r="S1293" s="3">
        <v>2674600</v>
      </c>
      <c r="T1293" s="3">
        <v>23.8</v>
      </c>
    </row>
    <row r="1294" spans="1:20" x14ac:dyDescent="0.3">
      <c r="A1294" s="1">
        <v>45400</v>
      </c>
      <c r="B1294" s="2" t="s">
        <v>84</v>
      </c>
      <c r="C1294" s="2" t="s">
        <v>113</v>
      </c>
      <c r="D1294" s="2" t="s">
        <v>102</v>
      </c>
      <c r="E1294" s="2" t="s">
        <v>103</v>
      </c>
      <c r="F1294" s="2" t="s">
        <v>24</v>
      </c>
      <c r="G1294">
        <v>5</v>
      </c>
      <c r="H1294">
        <v>150</v>
      </c>
      <c r="I1294">
        <v>172</v>
      </c>
      <c r="J1294" s="3">
        <v>168200</v>
      </c>
      <c r="K1294" s="3">
        <v>28930400</v>
      </c>
      <c r="L1294" s="2" t="s">
        <v>33</v>
      </c>
      <c r="M1294" s="2" t="s">
        <v>26</v>
      </c>
      <c r="N1294">
        <v>2024</v>
      </c>
      <c r="O1294" s="2" t="s">
        <v>143</v>
      </c>
      <c r="P1294" s="2" t="s">
        <v>144</v>
      </c>
      <c r="Q1294">
        <v>4</v>
      </c>
      <c r="R1294" s="4">
        <v>45383</v>
      </c>
      <c r="S1294" s="3">
        <v>168200</v>
      </c>
      <c r="T1294" s="3">
        <v>2.89</v>
      </c>
    </row>
    <row r="1295" spans="1:20" x14ac:dyDescent="0.3">
      <c r="A1295" s="1">
        <v>45400</v>
      </c>
      <c r="B1295" s="2" t="s">
        <v>84</v>
      </c>
      <c r="C1295" s="2" t="s">
        <v>93</v>
      </c>
      <c r="D1295" s="2" t="s">
        <v>67</v>
      </c>
      <c r="E1295" s="2" t="s">
        <v>68</v>
      </c>
      <c r="F1295" s="2" t="s">
        <v>24</v>
      </c>
      <c r="G1295">
        <v>66</v>
      </c>
      <c r="H1295">
        <v>440</v>
      </c>
      <c r="I1295">
        <v>34</v>
      </c>
      <c r="J1295" s="3">
        <v>6921700</v>
      </c>
      <c r="K1295" s="3">
        <v>235337800</v>
      </c>
      <c r="L1295" s="2" t="s">
        <v>33</v>
      </c>
      <c r="M1295" s="2" t="s">
        <v>77</v>
      </c>
      <c r="N1295">
        <v>2024</v>
      </c>
      <c r="O1295" s="2" t="s">
        <v>143</v>
      </c>
      <c r="P1295" s="2" t="s">
        <v>144</v>
      </c>
      <c r="Q1295">
        <v>4</v>
      </c>
      <c r="R1295" s="4">
        <v>45383</v>
      </c>
      <c r="S1295" s="3">
        <v>6921700</v>
      </c>
      <c r="T1295" s="3">
        <v>23.53</v>
      </c>
    </row>
    <row r="1296" spans="1:20" x14ac:dyDescent="0.3">
      <c r="A1296" s="1">
        <v>45400</v>
      </c>
      <c r="B1296" s="2" t="s">
        <v>52</v>
      </c>
      <c r="C1296" s="2" t="s">
        <v>66</v>
      </c>
      <c r="D1296" s="2" t="s">
        <v>67</v>
      </c>
      <c r="E1296" s="2" t="s">
        <v>68</v>
      </c>
      <c r="F1296" s="2" t="s">
        <v>24</v>
      </c>
      <c r="G1296">
        <v>66</v>
      </c>
      <c r="H1296">
        <v>440</v>
      </c>
      <c r="I1296">
        <v>3</v>
      </c>
      <c r="J1296" s="3">
        <v>6452800</v>
      </c>
      <c r="K1296" s="3">
        <v>19358400</v>
      </c>
      <c r="L1296" s="2" t="s">
        <v>33</v>
      </c>
      <c r="M1296" s="2" t="s">
        <v>26</v>
      </c>
      <c r="N1296">
        <v>2024</v>
      </c>
      <c r="O1296" s="2" t="s">
        <v>143</v>
      </c>
      <c r="P1296" s="2" t="s">
        <v>144</v>
      </c>
      <c r="Q1296">
        <v>4</v>
      </c>
      <c r="R1296" s="4">
        <v>45383</v>
      </c>
      <c r="S1296" s="3">
        <v>6452800</v>
      </c>
      <c r="T1296" s="3">
        <v>1.94</v>
      </c>
    </row>
    <row r="1297" spans="1:20" x14ac:dyDescent="0.3">
      <c r="A1297" s="1">
        <v>45400</v>
      </c>
      <c r="B1297" s="2" t="s">
        <v>20</v>
      </c>
      <c r="C1297" s="2" t="s">
        <v>125</v>
      </c>
      <c r="D1297" s="2" t="s">
        <v>54</v>
      </c>
      <c r="E1297" s="2" t="s">
        <v>55</v>
      </c>
      <c r="F1297" s="2" t="s">
        <v>24</v>
      </c>
      <c r="G1297">
        <v>30</v>
      </c>
      <c r="H1297">
        <v>320</v>
      </c>
      <c r="I1297">
        <v>29</v>
      </c>
      <c r="J1297" s="3">
        <v>1558700</v>
      </c>
      <c r="K1297" s="3">
        <v>45202300</v>
      </c>
      <c r="L1297" s="2" t="s">
        <v>33</v>
      </c>
      <c r="M1297" s="2" t="s">
        <v>26</v>
      </c>
      <c r="N1297">
        <v>2024</v>
      </c>
      <c r="O1297" s="2" t="s">
        <v>143</v>
      </c>
      <c r="P1297" s="2" t="s">
        <v>144</v>
      </c>
      <c r="Q1297">
        <v>4</v>
      </c>
      <c r="R1297" s="4">
        <v>45383</v>
      </c>
      <c r="S1297" s="3">
        <v>1558700</v>
      </c>
      <c r="T1297" s="3">
        <v>4.5199999999999996</v>
      </c>
    </row>
    <row r="1298" spans="1:20" x14ac:dyDescent="0.3">
      <c r="A1298" s="1">
        <v>45401</v>
      </c>
      <c r="B1298" s="2" t="s">
        <v>46</v>
      </c>
      <c r="C1298" s="2" t="s">
        <v>47</v>
      </c>
      <c r="D1298" s="2" t="s">
        <v>102</v>
      </c>
      <c r="E1298" s="2" t="s">
        <v>103</v>
      </c>
      <c r="F1298" s="2" t="s">
        <v>24</v>
      </c>
      <c r="G1298">
        <v>5</v>
      </c>
      <c r="H1298">
        <v>150</v>
      </c>
      <c r="I1298">
        <v>149</v>
      </c>
      <c r="J1298" s="3">
        <v>181100</v>
      </c>
      <c r="K1298" s="3">
        <v>26983900</v>
      </c>
      <c r="L1298" s="2" t="s">
        <v>25</v>
      </c>
      <c r="M1298" s="2" t="s">
        <v>34</v>
      </c>
      <c r="N1298">
        <v>2024</v>
      </c>
      <c r="O1298" s="2" t="s">
        <v>143</v>
      </c>
      <c r="P1298" s="2" t="s">
        <v>144</v>
      </c>
      <c r="Q1298">
        <v>4</v>
      </c>
      <c r="R1298" s="4">
        <v>45383</v>
      </c>
      <c r="S1298" s="3">
        <v>181100</v>
      </c>
      <c r="T1298" s="3">
        <v>2.7</v>
      </c>
    </row>
    <row r="1299" spans="1:20" x14ac:dyDescent="0.3">
      <c r="A1299" s="1">
        <v>45401</v>
      </c>
      <c r="B1299" s="2" t="s">
        <v>52</v>
      </c>
      <c r="C1299" s="2" t="s">
        <v>116</v>
      </c>
      <c r="D1299" s="2" t="s">
        <v>22</v>
      </c>
      <c r="E1299" s="2" t="s">
        <v>23</v>
      </c>
      <c r="F1299" s="2" t="s">
        <v>24</v>
      </c>
      <c r="G1299">
        <v>82</v>
      </c>
      <c r="H1299">
        <v>520</v>
      </c>
      <c r="I1299">
        <v>43</v>
      </c>
      <c r="J1299" s="3">
        <v>7065500</v>
      </c>
      <c r="K1299" s="3">
        <v>303816500</v>
      </c>
      <c r="L1299" s="2" t="s">
        <v>33</v>
      </c>
      <c r="M1299" s="2" t="s">
        <v>77</v>
      </c>
      <c r="N1299">
        <v>2024</v>
      </c>
      <c r="O1299" s="2" t="s">
        <v>143</v>
      </c>
      <c r="P1299" s="2" t="s">
        <v>144</v>
      </c>
      <c r="Q1299">
        <v>4</v>
      </c>
      <c r="R1299" s="4">
        <v>45383</v>
      </c>
      <c r="S1299" s="3">
        <v>7065500</v>
      </c>
      <c r="T1299" s="3">
        <v>30.38</v>
      </c>
    </row>
    <row r="1300" spans="1:20" x14ac:dyDescent="0.3">
      <c r="A1300" s="1">
        <v>45402</v>
      </c>
      <c r="B1300" s="2" t="s">
        <v>84</v>
      </c>
      <c r="C1300" s="2" t="s">
        <v>85</v>
      </c>
      <c r="D1300" s="2" t="s">
        <v>94</v>
      </c>
      <c r="E1300" s="2" t="s">
        <v>95</v>
      </c>
      <c r="F1300" s="2" t="s">
        <v>39</v>
      </c>
      <c r="G1300">
        <v>40</v>
      </c>
      <c r="H1300">
        <v>30</v>
      </c>
      <c r="I1300">
        <v>127</v>
      </c>
      <c r="J1300" s="3">
        <v>2788900</v>
      </c>
      <c r="K1300" s="3">
        <v>354190300</v>
      </c>
      <c r="L1300" s="2" t="s">
        <v>33</v>
      </c>
      <c r="M1300" s="2" t="s">
        <v>34</v>
      </c>
      <c r="N1300">
        <v>2024</v>
      </c>
      <c r="O1300" s="2" t="s">
        <v>143</v>
      </c>
      <c r="P1300" s="2" t="s">
        <v>144</v>
      </c>
      <c r="Q1300">
        <v>4</v>
      </c>
      <c r="R1300" s="4">
        <v>45383</v>
      </c>
      <c r="S1300" s="3">
        <v>2788900</v>
      </c>
      <c r="T1300" s="3">
        <v>35.42</v>
      </c>
    </row>
    <row r="1301" spans="1:20" x14ac:dyDescent="0.3">
      <c r="A1301" s="1">
        <v>45402</v>
      </c>
      <c r="B1301" s="2" t="s">
        <v>108</v>
      </c>
      <c r="C1301" s="2" t="s">
        <v>109</v>
      </c>
      <c r="D1301" s="2" t="s">
        <v>88</v>
      </c>
      <c r="E1301" s="2" t="s">
        <v>111</v>
      </c>
      <c r="F1301" s="2" t="s">
        <v>24</v>
      </c>
      <c r="G1301">
        <v>60</v>
      </c>
      <c r="H1301">
        <v>480</v>
      </c>
      <c r="I1301">
        <v>11</v>
      </c>
      <c r="J1301" s="3">
        <v>3112300</v>
      </c>
      <c r="K1301" s="3">
        <v>34235300</v>
      </c>
      <c r="L1301" s="2" t="s">
        <v>33</v>
      </c>
      <c r="M1301" s="2" t="s">
        <v>34</v>
      </c>
      <c r="N1301">
        <v>2024</v>
      </c>
      <c r="O1301" s="2" t="s">
        <v>143</v>
      </c>
      <c r="P1301" s="2" t="s">
        <v>144</v>
      </c>
      <c r="Q1301">
        <v>4</v>
      </c>
      <c r="R1301" s="4">
        <v>45383</v>
      </c>
      <c r="S1301" s="3">
        <v>3112300</v>
      </c>
      <c r="T1301" s="3">
        <v>3.42</v>
      </c>
    </row>
    <row r="1302" spans="1:20" x14ac:dyDescent="0.3">
      <c r="A1302" s="1">
        <v>45403</v>
      </c>
      <c r="B1302" s="2" t="s">
        <v>75</v>
      </c>
      <c r="C1302" s="2" t="s">
        <v>122</v>
      </c>
      <c r="D1302" s="2" t="s">
        <v>31</v>
      </c>
      <c r="E1302" s="2" t="s">
        <v>124</v>
      </c>
      <c r="F1302" s="2" t="s">
        <v>24</v>
      </c>
      <c r="G1302">
        <v>3</v>
      </c>
      <c r="H1302">
        <v>151</v>
      </c>
      <c r="I1302">
        <v>146</v>
      </c>
      <c r="J1302" s="3">
        <v>101100</v>
      </c>
      <c r="K1302" s="3">
        <v>14760600</v>
      </c>
      <c r="L1302" s="2" t="s">
        <v>33</v>
      </c>
      <c r="M1302" s="2" t="s">
        <v>97</v>
      </c>
      <c r="N1302">
        <v>2024</v>
      </c>
      <c r="O1302" s="2" t="s">
        <v>143</v>
      </c>
      <c r="P1302" s="2" t="s">
        <v>144</v>
      </c>
      <c r="Q1302">
        <v>4</v>
      </c>
      <c r="R1302" s="4">
        <v>45383</v>
      </c>
      <c r="S1302" s="3">
        <v>101100</v>
      </c>
      <c r="T1302" s="3">
        <v>1.48</v>
      </c>
    </row>
    <row r="1303" spans="1:20" x14ac:dyDescent="0.3">
      <c r="A1303" s="1">
        <v>45403</v>
      </c>
      <c r="B1303" s="2" t="s">
        <v>75</v>
      </c>
      <c r="C1303" s="2" t="s">
        <v>134</v>
      </c>
      <c r="D1303" s="2" t="s">
        <v>94</v>
      </c>
      <c r="E1303" s="2" t="s">
        <v>140</v>
      </c>
      <c r="F1303" s="2" t="s">
        <v>39</v>
      </c>
      <c r="G1303">
        <v>35</v>
      </c>
      <c r="H1303">
        <v>32</v>
      </c>
      <c r="I1303">
        <v>30</v>
      </c>
      <c r="J1303" s="3">
        <v>2196600</v>
      </c>
      <c r="K1303" s="3">
        <v>65898000</v>
      </c>
      <c r="L1303" s="2" t="s">
        <v>33</v>
      </c>
      <c r="M1303" s="2" t="s">
        <v>26</v>
      </c>
      <c r="N1303">
        <v>2024</v>
      </c>
      <c r="O1303" s="2" t="s">
        <v>143</v>
      </c>
      <c r="P1303" s="2" t="s">
        <v>144</v>
      </c>
      <c r="Q1303">
        <v>4</v>
      </c>
      <c r="R1303" s="4">
        <v>45383</v>
      </c>
      <c r="S1303" s="3">
        <v>2196600</v>
      </c>
      <c r="T1303" s="3">
        <v>6.59</v>
      </c>
    </row>
    <row r="1304" spans="1:20" x14ac:dyDescent="0.3">
      <c r="A1304" s="1">
        <v>45403</v>
      </c>
      <c r="B1304" s="2" t="s">
        <v>75</v>
      </c>
      <c r="C1304" s="2" t="s">
        <v>134</v>
      </c>
      <c r="D1304" s="2" t="s">
        <v>82</v>
      </c>
      <c r="E1304" s="2" t="s">
        <v>83</v>
      </c>
      <c r="F1304" s="2" t="s">
        <v>24</v>
      </c>
      <c r="G1304">
        <v>40</v>
      </c>
      <c r="H1304">
        <v>39</v>
      </c>
      <c r="I1304">
        <v>79</v>
      </c>
      <c r="J1304" s="3">
        <v>2532800</v>
      </c>
      <c r="K1304" s="3">
        <v>200091200</v>
      </c>
      <c r="L1304" s="2" t="s">
        <v>92</v>
      </c>
      <c r="M1304" s="2" t="s">
        <v>26</v>
      </c>
      <c r="N1304">
        <v>2024</v>
      </c>
      <c r="O1304" s="2" t="s">
        <v>143</v>
      </c>
      <c r="P1304" s="2" t="s">
        <v>144</v>
      </c>
      <c r="Q1304">
        <v>4</v>
      </c>
      <c r="R1304" s="4">
        <v>45383</v>
      </c>
      <c r="S1304" s="3">
        <v>2532800</v>
      </c>
      <c r="T1304" s="3">
        <v>20.010000000000002</v>
      </c>
    </row>
    <row r="1305" spans="1:20" x14ac:dyDescent="0.3">
      <c r="A1305" s="1">
        <v>45404</v>
      </c>
      <c r="B1305" s="2" t="s">
        <v>75</v>
      </c>
      <c r="C1305" s="2" t="s">
        <v>76</v>
      </c>
      <c r="D1305" s="2" t="s">
        <v>54</v>
      </c>
      <c r="E1305" s="2" t="s">
        <v>55</v>
      </c>
      <c r="F1305" s="2" t="s">
        <v>39</v>
      </c>
      <c r="G1305">
        <v>30</v>
      </c>
      <c r="H1305">
        <v>320</v>
      </c>
      <c r="I1305">
        <v>11</v>
      </c>
      <c r="J1305" s="3">
        <v>1624400</v>
      </c>
      <c r="K1305" s="3">
        <v>17868400</v>
      </c>
      <c r="L1305" s="2" t="s">
        <v>33</v>
      </c>
      <c r="M1305" s="2" t="s">
        <v>26</v>
      </c>
      <c r="N1305">
        <v>2024</v>
      </c>
      <c r="O1305" s="2" t="s">
        <v>143</v>
      </c>
      <c r="P1305" s="2" t="s">
        <v>144</v>
      </c>
      <c r="Q1305">
        <v>4</v>
      </c>
      <c r="R1305" s="4">
        <v>45383</v>
      </c>
      <c r="S1305" s="3">
        <v>1624400</v>
      </c>
      <c r="T1305" s="3">
        <v>1.79</v>
      </c>
    </row>
    <row r="1306" spans="1:20" x14ac:dyDescent="0.3">
      <c r="A1306" s="1">
        <v>45404</v>
      </c>
      <c r="B1306" s="2" t="s">
        <v>44</v>
      </c>
      <c r="C1306" s="2" t="s">
        <v>142</v>
      </c>
      <c r="D1306" s="2" t="s">
        <v>37</v>
      </c>
      <c r="E1306" s="2" t="s">
        <v>38</v>
      </c>
      <c r="F1306" s="2" t="s">
        <v>72</v>
      </c>
      <c r="G1306">
        <v>66</v>
      </c>
      <c r="H1306">
        <v>423</v>
      </c>
      <c r="I1306">
        <v>34</v>
      </c>
      <c r="J1306" s="3">
        <v>7691100</v>
      </c>
      <c r="K1306" s="3">
        <v>261497400</v>
      </c>
      <c r="L1306" s="2" t="s">
        <v>92</v>
      </c>
      <c r="M1306" s="2" t="s">
        <v>34</v>
      </c>
      <c r="N1306">
        <v>2024</v>
      </c>
      <c r="O1306" s="2" t="s">
        <v>143</v>
      </c>
      <c r="P1306" s="2" t="s">
        <v>144</v>
      </c>
      <c r="Q1306">
        <v>4</v>
      </c>
      <c r="R1306" s="4">
        <v>45383</v>
      </c>
      <c r="S1306" s="3">
        <v>7691100</v>
      </c>
      <c r="T1306" s="3">
        <v>26.15</v>
      </c>
    </row>
    <row r="1307" spans="1:20" x14ac:dyDescent="0.3">
      <c r="A1307" s="1">
        <v>45405</v>
      </c>
      <c r="B1307" s="2" t="s">
        <v>40</v>
      </c>
      <c r="C1307" s="2" t="s">
        <v>136</v>
      </c>
      <c r="D1307" s="2" t="s">
        <v>100</v>
      </c>
      <c r="E1307" s="2" t="s">
        <v>101</v>
      </c>
      <c r="F1307" s="2" t="s">
        <v>24</v>
      </c>
      <c r="G1307">
        <v>3</v>
      </c>
      <c r="H1307">
        <v>150</v>
      </c>
      <c r="I1307">
        <v>171</v>
      </c>
      <c r="J1307" s="3">
        <v>147100</v>
      </c>
      <c r="K1307" s="3">
        <v>25154100</v>
      </c>
      <c r="L1307" s="2" t="s">
        <v>25</v>
      </c>
      <c r="M1307" s="2" t="s">
        <v>26</v>
      </c>
      <c r="N1307">
        <v>2024</v>
      </c>
      <c r="O1307" s="2" t="s">
        <v>143</v>
      </c>
      <c r="P1307" s="2" t="s">
        <v>144</v>
      </c>
      <c r="Q1307">
        <v>4</v>
      </c>
      <c r="R1307" s="4">
        <v>45383</v>
      </c>
      <c r="S1307" s="3">
        <v>147100</v>
      </c>
      <c r="T1307" s="3">
        <v>2.52</v>
      </c>
    </row>
    <row r="1308" spans="1:20" x14ac:dyDescent="0.3">
      <c r="A1308" s="1">
        <v>45405</v>
      </c>
      <c r="B1308" s="2" t="s">
        <v>84</v>
      </c>
      <c r="C1308" s="2" t="s">
        <v>85</v>
      </c>
      <c r="D1308" s="2" t="s">
        <v>57</v>
      </c>
      <c r="E1308" s="2" t="s">
        <v>58</v>
      </c>
      <c r="F1308" s="2" t="s">
        <v>138</v>
      </c>
      <c r="G1308">
        <v>72</v>
      </c>
      <c r="H1308">
        <v>488</v>
      </c>
      <c r="I1308">
        <v>157</v>
      </c>
      <c r="J1308" s="3">
        <v>5163300</v>
      </c>
      <c r="K1308" s="3">
        <v>810638100</v>
      </c>
      <c r="L1308" s="2" t="s">
        <v>25</v>
      </c>
      <c r="M1308" s="2" t="s">
        <v>77</v>
      </c>
      <c r="N1308">
        <v>2024</v>
      </c>
      <c r="O1308" s="2" t="s">
        <v>143</v>
      </c>
      <c r="P1308" s="2" t="s">
        <v>144</v>
      </c>
      <c r="Q1308">
        <v>4</v>
      </c>
      <c r="R1308" s="4">
        <v>45383</v>
      </c>
      <c r="S1308" s="3">
        <v>5163300</v>
      </c>
      <c r="T1308" s="3">
        <v>81.06</v>
      </c>
    </row>
    <row r="1309" spans="1:20" x14ac:dyDescent="0.3">
      <c r="A1309" s="1">
        <v>45405</v>
      </c>
      <c r="B1309" s="2" t="s">
        <v>29</v>
      </c>
      <c r="C1309" s="2" t="s">
        <v>96</v>
      </c>
      <c r="D1309" s="2" t="s">
        <v>22</v>
      </c>
      <c r="E1309" s="2" t="s">
        <v>23</v>
      </c>
      <c r="F1309" s="2" t="s">
        <v>138</v>
      </c>
      <c r="G1309">
        <v>82</v>
      </c>
      <c r="H1309">
        <v>520</v>
      </c>
      <c r="I1309">
        <v>35</v>
      </c>
      <c r="J1309" s="3">
        <v>5869800</v>
      </c>
      <c r="K1309" s="3">
        <v>205443000</v>
      </c>
      <c r="L1309" s="2" t="s">
        <v>25</v>
      </c>
      <c r="M1309" s="2" t="s">
        <v>34</v>
      </c>
      <c r="N1309">
        <v>2024</v>
      </c>
      <c r="O1309" s="2" t="s">
        <v>143</v>
      </c>
      <c r="P1309" s="2" t="s">
        <v>144</v>
      </c>
      <c r="Q1309">
        <v>4</v>
      </c>
      <c r="R1309" s="4">
        <v>45383</v>
      </c>
      <c r="S1309" s="3">
        <v>5869800</v>
      </c>
      <c r="T1309" s="3">
        <v>20.54</v>
      </c>
    </row>
    <row r="1310" spans="1:20" x14ac:dyDescent="0.3">
      <c r="A1310" s="1">
        <v>45405</v>
      </c>
      <c r="B1310" s="2" t="s">
        <v>29</v>
      </c>
      <c r="C1310" s="2" t="s">
        <v>104</v>
      </c>
      <c r="D1310" s="2" t="s">
        <v>37</v>
      </c>
      <c r="E1310" s="2" t="s">
        <v>38</v>
      </c>
      <c r="F1310" s="2" t="s">
        <v>24</v>
      </c>
      <c r="G1310">
        <v>66</v>
      </c>
      <c r="H1310">
        <v>423</v>
      </c>
      <c r="I1310">
        <v>53</v>
      </c>
      <c r="J1310" s="3">
        <v>7994500</v>
      </c>
      <c r="K1310" s="3">
        <v>423708500</v>
      </c>
      <c r="L1310" s="2" t="s">
        <v>33</v>
      </c>
      <c r="M1310" s="2" t="s">
        <v>77</v>
      </c>
      <c r="N1310">
        <v>2024</v>
      </c>
      <c r="O1310" s="2" t="s">
        <v>143</v>
      </c>
      <c r="P1310" s="2" t="s">
        <v>144</v>
      </c>
      <c r="Q1310">
        <v>4</v>
      </c>
      <c r="R1310" s="4">
        <v>45383</v>
      </c>
      <c r="S1310" s="3">
        <v>7994500</v>
      </c>
      <c r="T1310" s="3">
        <v>42.37</v>
      </c>
    </row>
    <row r="1311" spans="1:20" x14ac:dyDescent="0.3">
      <c r="A1311" s="1">
        <v>45406</v>
      </c>
      <c r="B1311" s="2" t="s">
        <v>84</v>
      </c>
      <c r="C1311" s="2" t="s">
        <v>113</v>
      </c>
      <c r="D1311" s="2" t="s">
        <v>94</v>
      </c>
      <c r="E1311" s="2" t="s">
        <v>115</v>
      </c>
      <c r="F1311" s="2" t="s">
        <v>24</v>
      </c>
      <c r="G1311">
        <v>24</v>
      </c>
      <c r="H1311">
        <v>24</v>
      </c>
      <c r="I1311">
        <v>53</v>
      </c>
      <c r="J1311" s="3">
        <v>1535600</v>
      </c>
      <c r="K1311" s="3">
        <v>81386800</v>
      </c>
      <c r="L1311" s="2" t="s">
        <v>25</v>
      </c>
      <c r="M1311" s="2" t="s">
        <v>26</v>
      </c>
      <c r="N1311">
        <v>2024</v>
      </c>
      <c r="O1311" s="2" t="s">
        <v>143</v>
      </c>
      <c r="P1311" s="2" t="s">
        <v>144</v>
      </c>
      <c r="Q1311">
        <v>4</v>
      </c>
      <c r="R1311" s="4">
        <v>45383</v>
      </c>
      <c r="S1311" s="3">
        <v>1535600</v>
      </c>
      <c r="T1311" s="3">
        <v>8.14</v>
      </c>
    </row>
    <row r="1312" spans="1:20" x14ac:dyDescent="0.3">
      <c r="A1312" s="1">
        <v>45406</v>
      </c>
      <c r="B1312" s="2" t="s">
        <v>40</v>
      </c>
      <c r="C1312" s="2" t="s">
        <v>78</v>
      </c>
      <c r="D1312" s="2" t="s">
        <v>79</v>
      </c>
      <c r="E1312" s="2" t="s">
        <v>80</v>
      </c>
      <c r="F1312" s="2" t="s">
        <v>72</v>
      </c>
      <c r="G1312">
        <v>69</v>
      </c>
      <c r="H1312">
        <v>418</v>
      </c>
      <c r="I1312">
        <v>50</v>
      </c>
      <c r="J1312" s="3">
        <v>5451100</v>
      </c>
      <c r="K1312" s="3">
        <v>272555000</v>
      </c>
      <c r="L1312" s="2" t="s">
        <v>33</v>
      </c>
      <c r="M1312" s="2" t="s">
        <v>77</v>
      </c>
      <c r="N1312">
        <v>2024</v>
      </c>
      <c r="O1312" s="2" t="s">
        <v>143</v>
      </c>
      <c r="P1312" s="2" t="s">
        <v>144</v>
      </c>
      <c r="Q1312">
        <v>4</v>
      </c>
      <c r="R1312" s="4">
        <v>45383</v>
      </c>
      <c r="S1312" s="3">
        <v>5451100</v>
      </c>
      <c r="T1312" s="3">
        <v>27.26</v>
      </c>
    </row>
    <row r="1313" spans="1:20" x14ac:dyDescent="0.3">
      <c r="A1313" s="1">
        <v>45406</v>
      </c>
      <c r="B1313" s="2" t="s">
        <v>46</v>
      </c>
      <c r="C1313" s="2" t="s">
        <v>110</v>
      </c>
      <c r="D1313" s="2" t="s">
        <v>42</v>
      </c>
      <c r="E1313" s="2" t="s">
        <v>43</v>
      </c>
      <c r="F1313" s="2" t="s">
        <v>24</v>
      </c>
      <c r="G1313">
        <v>3</v>
      </c>
      <c r="H1313">
        <v>135</v>
      </c>
      <c r="I1313">
        <v>87</v>
      </c>
      <c r="J1313" s="3">
        <v>135500</v>
      </c>
      <c r="K1313" s="3">
        <v>11788500</v>
      </c>
      <c r="L1313" s="2" t="s">
        <v>33</v>
      </c>
      <c r="M1313" s="2" t="s">
        <v>26</v>
      </c>
      <c r="N1313">
        <v>2024</v>
      </c>
      <c r="O1313" s="2" t="s">
        <v>143</v>
      </c>
      <c r="P1313" s="2" t="s">
        <v>144</v>
      </c>
      <c r="Q1313">
        <v>4</v>
      </c>
      <c r="R1313" s="4">
        <v>45383</v>
      </c>
      <c r="S1313" s="3">
        <v>135500</v>
      </c>
      <c r="T1313" s="3">
        <v>1.18</v>
      </c>
    </row>
    <row r="1314" spans="1:20" x14ac:dyDescent="0.3">
      <c r="A1314" s="1">
        <v>45406</v>
      </c>
      <c r="B1314" s="2" t="s">
        <v>35</v>
      </c>
      <c r="C1314" s="2" t="s">
        <v>132</v>
      </c>
      <c r="D1314" s="2" t="s">
        <v>50</v>
      </c>
      <c r="E1314" s="2" t="s">
        <v>51</v>
      </c>
      <c r="F1314" s="2" t="s">
        <v>39</v>
      </c>
      <c r="G1314">
        <v>77</v>
      </c>
      <c r="H1314">
        <v>528</v>
      </c>
      <c r="I1314">
        <v>33</v>
      </c>
      <c r="J1314" s="3">
        <v>4794800</v>
      </c>
      <c r="K1314" s="3">
        <v>158228400</v>
      </c>
      <c r="L1314" s="2" t="s">
        <v>92</v>
      </c>
      <c r="M1314" s="2" t="s">
        <v>26</v>
      </c>
      <c r="N1314">
        <v>2024</v>
      </c>
      <c r="O1314" s="2" t="s">
        <v>143</v>
      </c>
      <c r="P1314" s="2" t="s">
        <v>144</v>
      </c>
      <c r="Q1314">
        <v>4</v>
      </c>
      <c r="R1314" s="4">
        <v>45383</v>
      </c>
      <c r="S1314" s="3">
        <v>4794800</v>
      </c>
      <c r="T1314" s="3">
        <v>15.82</v>
      </c>
    </row>
    <row r="1315" spans="1:20" x14ac:dyDescent="0.3">
      <c r="A1315" s="1">
        <v>45407</v>
      </c>
      <c r="B1315" s="2" t="s">
        <v>40</v>
      </c>
      <c r="C1315" s="2" t="s">
        <v>41</v>
      </c>
      <c r="D1315" s="2" t="s">
        <v>63</v>
      </c>
      <c r="E1315" s="2" t="s">
        <v>64</v>
      </c>
      <c r="F1315" s="2" t="s">
        <v>24</v>
      </c>
      <c r="G1315">
        <v>3</v>
      </c>
      <c r="H1315">
        <v>127</v>
      </c>
      <c r="I1315">
        <v>83</v>
      </c>
      <c r="J1315" s="3">
        <v>150000</v>
      </c>
      <c r="K1315" s="3">
        <v>12450000</v>
      </c>
      <c r="L1315" s="2" t="s">
        <v>33</v>
      </c>
      <c r="M1315" s="2" t="s">
        <v>26</v>
      </c>
      <c r="N1315">
        <v>2024</v>
      </c>
      <c r="O1315" s="2" t="s">
        <v>143</v>
      </c>
      <c r="P1315" s="2" t="s">
        <v>144</v>
      </c>
      <c r="Q1315">
        <v>4</v>
      </c>
      <c r="R1315" s="4">
        <v>45383</v>
      </c>
      <c r="S1315" s="3">
        <v>150000</v>
      </c>
      <c r="T1315" s="3">
        <v>1.24</v>
      </c>
    </row>
    <row r="1316" spans="1:20" x14ac:dyDescent="0.3">
      <c r="A1316" s="1">
        <v>45408</v>
      </c>
      <c r="B1316" s="2" t="s">
        <v>46</v>
      </c>
      <c r="C1316" s="2" t="s">
        <v>47</v>
      </c>
      <c r="D1316" s="2" t="s">
        <v>63</v>
      </c>
      <c r="E1316" s="2" t="s">
        <v>64</v>
      </c>
      <c r="F1316" s="2" t="s">
        <v>24</v>
      </c>
      <c r="G1316">
        <v>3</v>
      </c>
      <c r="H1316">
        <v>127</v>
      </c>
      <c r="I1316">
        <v>135</v>
      </c>
      <c r="J1316" s="3">
        <v>165400</v>
      </c>
      <c r="K1316" s="3">
        <v>22329000</v>
      </c>
      <c r="L1316" s="2" t="s">
        <v>33</v>
      </c>
      <c r="M1316" s="2" t="s">
        <v>26</v>
      </c>
      <c r="N1316">
        <v>2024</v>
      </c>
      <c r="O1316" s="2" t="s">
        <v>143</v>
      </c>
      <c r="P1316" s="2" t="s">
        <v>144</v>
      </c>
      <c r="Q1316">
        <v>4</v>
      </c>
      <c r="R1316" s="4">
        <v>45383</v>
      </c>
      <c r="S1316" s="3">
        <v>165400</v>
      </c>
      <c r="T1316" s="3">
        <v>2.23</v>
      </c>
    </row>
    <row r="1317" spans="1:20" x14ac:dyDescent="0.3">
      <c r="A1317" s="1">
        <v>45408</v>
      </c>
      <c r="B1317" s="2" t="s">
        <v>59</v>
      </c>
      <c r="C1317" s="2" t="s">
        <v>60</v>
      </c>
      <c r="D1317" s="2" t="s">
        <v>54</v>
      </c>
      <c r="E1317" s="2" t="s">
        <v>55</v>
      </c>
      <c r="F1317" s="2" t="s">
        <v>72</v>
      </c>
      <c r="G1317">
        <v>30</v>
      </c>
      <c r="H1317">
        <v>320</v>
      </c>
      <c r="I1317">
        <v>38</v>
      </c>
      <c r="J1317" s="3">
        <v>1224300</v>
      </c>
      <c r="K1317" s="3">
        <v>46523400</v>
      </c>
      <c r="L1317" s="2" t="s">
        <v>25</v>
      </c>
      <c r="M1317" s="2" t="s">
        <v>77</v>
      </c>
      <c r="N1317">
        <v>2024</v>
      </c>
      <c r="O1317" s="2" t="s">
        <v>143</v>
      </c>
      <c r="P1317" s="2" t="s">
        <v>144</v>
      </c>
      <c r="Q1317">
        <v>4</v>
      </c>
      <c r="R1317" s="4">
        <v>45383</v>
      </c>
      <c r="S1317" s="3">
        <v>1224300</v>
      </c>
      <c r="T1317" s="3">
        <v>4.6500000000000004</v>
      </c>
    </row>
    <row r="1318" spans="1:20" x14ac:dyDescent="0.3">
      <c r="A1318" s="1">
        <v>45408</v>
      </c>
      <c r="B1318" s="2" t="s">
        <v>106</v>
      </c>
      <c r="C1318" s="2" t="s">
        <v>119</v>
      </c>
      <c r="D1318" s="2" t="s">
        <v>42</v>
      </c>
      <c r="E1318" s="2" t="s">
        <v>43</v>
      </c>
      <c r="F1318" s="2" t="s">
        <v>24</v>
      </c>
      <c r="G1318">
        <v>3</v>
      </c>
      <c r="H1318">
        <v>135</v>
      </c>
      <c r="I1318">
        <v>94</v>
      </c>
      <c r="J1318" s="3">
        <v>101700</v>
      </c>
      <c r="K1318" s="3">
        <v>9559800</v>
      </c>
      <c r="L1318" s="2" t="s">
        <v>33</v>
      </c>
      <c r="M1318" s="2" t="s">
        <v>26</v>
      </c>
      <c r="N1318">
        <v>2024</v>
      </c>
      <c r="O1318" s="2" t="s">
        <v>143</v>
      </c>
      <c r="P1318" s="2" t="s">
        <v>144</v>
      </c>
      <c r="Q1318">
        <v>4</v>
      </c>
      <c r="R1318" s="4">
        <v>45383</v>
      </c>
      <c r="S1318" s="3">
        <v>101700</v>
      </c>
      <c r="T1318" s="3">
        <v>0.96</v>
      </c>
    </row>
    <row r="1319" spans="1:20" x14ac:dyDescent="0.3">
      <c r="A1319" s="1">
        <v>45409</v>
      </c>
      <c r="B1319" s="2" t="s">
        <v>48</v>
      </c>
      <c r="C1319" s="2" t="s">
        <v>49</v>
      </c>
      <c r="D1319" s="2" t="s">
        <v>79</v>
      </c>
      <c r="E1319" s="2" t="s">
        <v>80</v>
      </c>
      <c r="F1319" s="2" t="s">
        <v>24</v>
      </c>
      <c r="G1319">
        <v>69</v>
      </c>
      <c r="H1319">
        <v>418</v>
      </c>
      <c r="I1319">
        <v>52</v>
      </c>
      <c r="J1319" s="3">
        <v>5682800</v>
      </c>
      <c r="K1319" s="3">
        <v>295505600</v>
      </c>
      <c r="L1319" s="2" t="s">
        <v>25</v>
      </c>
      <c r="M1319" s="2" t="s">
        <v>26</v>
      </c>
      <c r="N1319">
        <v>2024</v>
      </c>
      <c r="O1319" s="2" t="s">
        <v>143</v>
      </c>
      <c r="P1319" s="2" t="s">
        <v>144</v>
      </c>
      <c r="Q1319">
        <v>4</v>
      </c>
      <c r="R1319" s="4">
        <v>45383</v>
      </c>
      <c r="S1319" s="3">
        <v>5682800</v>
      </c>
      <c r="T1319" s="3">
        <v>29.55</v>
      </c>
    </row>
    <row r="1320" spans="1:20" x14ac:dyDescent="0.3">
      <c r="A1320" s="1">
        <v>45410</v>
      </c>
      <c r="B1320" s="2" t="s">
        <v>108</v>
      </c>
      <c r="C1320" s="2" t="s">
        <v>109</v>
      </c>
      <c r="D1320" s="2" t="s">
        <v>50</v>
      </c>
      <c r="E1320" s="2" t="s">
        <v>51</v>
      </c>
      <c r="F1320" s="2" t="s">
        <v>24</v>
      </c>
      <c r="G1320">
        <v>77</v>
      </c>
      <c r="H1320">
        <v>528</v>
      </c>
      <c r="I1320">
        <v>48</v>
      </c>
      <c r="J1320" s="3">
        <v>5844800</v>
      </c>
      <c r="K1320" s="3">
        <v>280550400</v>
      </c>
      <c r="L1320" s="2" t="s">
        <v>33</v>
      </c>
      <c r="M1320" s="2" t="s">
        <v>26</v>
      </c>
      <c r="N1320">
        <v>2024</v>
      </c>
      <c r="O1320" s="2" t="s">
        <v>143</v>
      </c>
      <c r="P1320" s="2" t="s">
        <v>144</v>
      </c>
      <c r="Q1320">
        <v>4</v>
      </c>
      <c r="R1320" s="4">
        <v>45383</v>
      </c>
      <c r="S1320" s="3">
        <v>5844800</v>
      </c>
      <c r="T1320" s="3">
        <v>28.06</v>
      </c>
    </row>
    <row r="1321" spans="1:20" x14ac:dyDescent="0.3">
      <c r="A1321" s="1">
        <v>45410</v>
      </c>
      <c r="B1321" s="2" t="s">
        <v>59</v>
      </c>
      <c r="C1321" s="2" t="s">
        <v>129</v>
      </c>
      <c r="D1321" s="2" t="s">
        <v>50</v>
      </c>
      <c r="E1321" s="2" t="s">
        <v>51</v>
      </c>
      <c r="F1321" s="2" t="s">
        <v>24</v>
      </c>
      <c r="G1321">
        <v>77</v>
      </c>
      <c r="H1321">
        <v>528</v>
      </c>
      <c r="I1321">
        <v>26</v>
      </c>
      <c r="J1321" s="3">
        <v>4912100</v>
      </c>
      <c r="K1321" s="3">
        <v>127714600</v>
      </c>
      <c r="L1321" s="2" t="s">
        <v>92</v>
      </c>
      <c r="M1321" s="2" t="s">
        <v>26</v>
      </c>
      <c r="N1321">
        <v>2024</v>
      </c>
      <c r="O1321" s="2" t="s">
        <v>143</v>
      </c>
      <c r="P1321" s="2" t="s">
        <v>144</v>
      </c>
      <c r="Q1321">
        <v>4</v>
      </c>
      <c r="R1321" s="4">
        <v>45383</v>
      </c>
      <c r="S1321" s="3">
        <v>4912100</v>
      </c>
      <c r="T1321" s="3">
        <v>12.77</v>
      </c>
    </row>
    <row r="1322" spans="1:20" x14ac:dyDescent="0.3">
      <c r="A1322" s="1">
        <v>45410</v>
      </c>
      <c r="B1322" s="2" t="s">
        <v>84</v>
      </c>
      <c r="C1322" s="2" t="s">
        <v>85</v>
      </c>
      <c r="D1322" s="2" t="s">
        <v>79</v>
      </c>
      <c r="E1322" s="2" t="s">
        <v>80</v>
      </c>
      <c r="F1322" s="2" t="s">
        <v>24</v>
      </c>
      <c r="G1322">
        <v>69</v>
      </c>
      <c r="H1322">
        <v>418</v>
      </c>
      <c r="I1322">
        <v>48</v>
      </c>
      <c r="J1322" s="3">
        <v>5014600</v>
      </c>
      <c r="K1322" s="3">
        <v>240700800</v>
      </c>
      <c r="L1322" s="2" t="s">
        <v>33</v>
      </c>
      <c r="M1322" s="2" t="s">
        <v>77</v>
      </c>
      <c r="N1322">
        <v>2024</v>
      </c>
      <c r="O1322" s="2" t="s">
        <v>143</v>
      </c>
      <c r="P1322" s="2" t="s">
        <v>144</v>
      </c>
      <c r="Q1322">
        <v>4</v>
      </c>
      <c r="R1322" s="4">
        <v>45383</v>
      </c>
      <c r="S1322" s="3">
        <v>5014600</v>
      </c>
      <c r="T1322" s="3">
        <v>24.07</v>
      </c>
    </row>
    <row r="1323" spans="1:20" x14ac:dyDescent="0.3">
      <c r="A1323" s="1">
        <v>45410</v>
      </c>
      <c r="B1323" s="2" t="s">
        <v>46</v>
      </c>
      <c r="C1323" s="2" t="s">
        <v>110</v>
      </c>
      <c r="D1323" s="2" t="s">
        <v>100</v>
      </c>
      <c r="E1323" s="2" t="s">
        <v>101</v>
      </c>
      <c r="F1323" s="2" t="s">
        <v>24</v>
      </c>
      <c r="G1323">
        <v>3</v>
      </c>
      <c r="H1323">
        <v>150</v>
      </c>
      <c r="I1323">
        <v>169</v>
      </c>
      <c r="J1323" s="3">
        <v>179300</v>
      </c>
      <c r="K1323" s="3">
        <v>30301700</v>
      </c>
      <c r="L1323" s="2" t="s">
        <v>25</v>
      </c>
      <c r="M1323" s="2" t="s">
        <v>26</v>
      </c>
      <c r="N1323">
        <v>2024</v>
      </c>
      <c r="O1323" s="2" t="s">
        <v>143</v>
      </c>
      <c r="P1323" s="2" t="s">
        <v>144</v>
      </c>
      <c r="Q1323">
        <v>4</v>
      </c>
      <c r="R1323" s="4">
        <v>45383</v>
      </c>
      <c r="S1323" s="3">
        <v>179300</v>
      </c>
      <c r="T1323" s="3">
        <v>3.03</v>
      </c>
    </row>
    <row r="1324" spans="1:20" x14ac:dyDescent="0.3">
      <c r="A1324" s="1">
        <v>45410</v>
      </c>
      <c r="B1324" s="2" t="s">
        <v>20</v>
      </c>
      <c r="C1324" s="2" t="s">
        <v>21</v>
      </c>
      <c r="D1324" s="2" t="s">
        <v>67</v>
      </c>
      <c r="E1324" s="2" t="s">
        <v>118</v>
      </c>
      <c r="F1324" s="2" t="s">
        <v>24</v>
      </c>
      <c r="G1324">
        <v>84</v>
      </c>
      <c r="H1324">
        <v>590</v>
      </c>
      <c r="I1324">
        <v>54</v>
      </c>
      <c r="J1324" s="3">
        <v>7634800</v>
      </c>
      <c r="K1324" s="3">
        <v>412279200</v>
      </c>
      <c r="L1324" s="2" t="s">
        <v>33</v>
      </c>
      <c r="M1324" s="2" t="s">
        <v>34</v>
      </c>
      <c r="N1324">
        <v>2024</v>
      </c>
      <c r="O1324" s="2" t="s">
        <v>143</v>
      </c>
      <c r="P1324" s="2" t="s">
        <v>144</v>
      </c>
      <c r="Q1324">
        <v>4</v>
      </c>
      <c r="R1324" s="4">
        <v>45383</v>
      </c>
      <c r="S1324" s="3">
        <v>7634800</v>
      </c>
      <c r="T1324" s="3">
        <v>41.23</v>
      </c>
    </row>
    <row r="1325" spans="1:20" x14ac:dyDescent="0.3">
      <c r="A1325" s="1">
        <v>45411</v>
      </c>
      <c r="B1325" s="2" t="s">
        <v>35</v>
      </c>
      <c r="C1325" s="2" t="s">
        <v>87</v>
      </c>
      <c r="D1325" s="2" t="s">
        <v>31</v>
      </c>
      <c r="E1325" s="2" t="s">
        <v>32</v>
      </c>
      <c r="F1325" s="2" t="s">
        <v>24</v>
      </c>
      <c r="G1325">
        <v>4</v>
      </c>
      <c r="H1325">
        <v>195</v>
      </c>
      <c r="I1325">
        <v>170</v>
      </c>
      <c r="J1325" s="3">
        <v>142000</v>
      </c>
      <c r="K1325" s="3">
        <v>24140000</v>
      </c>
      <c r="L1325" s="2" t="s">
        <v>33</v>
      </c>
      <c r="M1325" s="2" t="s">
        <v>34</v>
      </c>
      <c r="N1325">
        <v>2024</v>
      </c>
      <c r="O1325" s="2" t="s">
        <v>143</v>
      </c>
      <c r="P1325" s="2" t="s">
        <v>144</v>
      </c>
      <c r="Q1325">
        <v>4</v>
      </c>
      <c r="R1325" s="4">
        <v>45383</v>
      </c>
      <c r="S1325" s="3">
        <v>142000</v>
      </c>
      <c r="T1325" s="3">
        <v>2.41</v>
      </c>
    </row>
    <row r="1326" spans="1:20" x14ac:dyDescent="0.3">
      <c r="A1326" s="1">
        <v>45411</v>
      </c>
      <c r="B1326" s="2" t="s">
        <v>40</v>
      </c>
      <c r="C1326" s="2" t="s">
        <v>78</v>
      </c>
      <c r="D1326" s="2" t="s">
        <v>88</v>
      </c>
      <c r="E1326" s="2" t="s">
        <v>111</v>
      </c>
      <c r="F1326" s="2" t="s">
        <v>72</v>
      </c>
      <c r="G1326">
        <v>60</v>
      </c>
      <c r="H1326">
        <v>480</v>
      </c>
      <c r="I1326">
        <v>23</v>
      </c>
      <c r="J1326" s="3">
        <v>3168300</v>
      </c>
      <c r="K1326" s="3">
        <v>72870900</v>
      </c>
      <c r="L1326" s="2" t="s">
        <v>33</v>
      </c>
      <c r="M1326" s="2" t="s">
        <v>26</v>
      </c>
      <c r="N1326">
        <v>2024</v>
      </c>
      <c r="O1326" s="2" t="s">
        <v>143</v>
      </c>
      <c r="P1326" s="2" t="s">
        <v>144</v>
      </c>
      <c r="Q1326">
        <v>4</v>
      </c>
      <c r="R1326" s="4">
        <v>45383</v>
      </c>
      <c r="S1326" s="3">
        <v>3168300</v>
      </c>
      <c r="T1326" s="3">
        <v>7.29</v>
      </c>
    </row>
    <row r="1327" spans="1:20" x14ac:dyDescent="0.3">
      <c r="A1327" s="1">
        <v>45411</v>
      </c>
      <c r="B1327" s="2" t="s">
        <v>84</v>
      </c>
      <c r="C1327" s="2" t="s">
        <v>85</v>
      </c>
      <c r="D1327" s="2" t="s">
        <v>88</v>
      </c>
      <c r="E1327" s="2" t="s">
        <v>89</v>
      </c>
      <c r="F1327" s="2" t="s">
        <v>72</v>
      </c>
      <c r="G1327">
        <v>82</v>
      </c>
      <c r="H1327">
        <v>580</v>
      </c>
      <c r="I1327">
        <v>74</v>
      </c>
      <c r="J1327" s="3">
        <v>4782200</v>
      </c>
      <c r="K1327" s="3">
        <v>353882800</v>
      </c>
      <c r="L1327" s="2" t="s">
        <v>33</v>
      </c>
      <c r="M1327" s="2" t="s">
        <v>26</v>
      </c>
      <c r="N1327">
        <v>2024</v>
      </c>
      <c r="O1327" s="2" t="s">
        <v>143</v>
      </c>
      <c r="P1327" s="2" t="s">
        <v>144</v>
      </c>
      <c r="Q1327">
        <v>4</v>
      </c>
      <c r="R1327" s="4">
        <v>45383</v>
      </c>
      <c r="S1327" s="3">
        <v>4782200</v>
      </c>
      <c r="T1327" s="3">
        <v>35.39</v>
      </c>
    </row>
    <row r="1328" spans="1:20" x14ac:dyDescent="0.3">
      <c r="A1328" s="1">
        <v>45411</v>
      </c>
      <c r="B1328" s="2" t="s">
        <v>40</v>
      </c>
      <c r="C1328" s="2" t="s">
        <v>136</v>
      </c>
      <c r="D1328" s="2" t="s">
        <v>82</v>
      </c>
      <c r="E1328" s="2" t="s">
        <v>141</v>
      </c>
      <c r="F1328" s="2" t="s">
        <v>24</v>
      </c>
      <c r="G1328">
        <v>59</v>
      </c>
      <c r="H1328">
        <v>55</v>
      </c>
      <c r="I1328">
        <v>165</v>
      </c>
      <c r="J1328" s="3">
        <v>2911800</v>
      </c>
      <c r="K1328" s="3">
        <v>480447000</v>
      </c>
      <c r="L1328" s="2" t="s">
        <v>92</v>
      </c>
      <c r="M1328" s="2" t="s">
        <v>26</v>
      </c>
      <c r="N1328">
        <v>2024</v>
      </c>
      <c r="O1328" s="2" t="s">
        <v>143</v>
      </c>
      <c r="P1328" s="2" t="s">
        <v>144</v>
      </c>
      <c r="Q1328">
        <v>4</v>
      </c>
      <c r="R1328" s="4">
        <v>45383</v>
      </c>
      <c r="S1328" s="3">
        <v>2911800</v>
      </c>
      <c r="T1328" s="3">
        <v>48.04</v>
      </c>
    </row>
    <row r="1329" spans="1:20" x14ac:dyDescent="0.3">
      <c r="A1329" s="1">
        <v>45412</v>
      </c>
      <c r="B1329" s="2" t="s">
        <v>29</v>
      </c>
      <c r="C1329" s="2" t="s">
        <v>65</v>
      </c>
      <c r="D1329" s="2" t="s">
        <v>37</v>
      </c>
      <c r="E1329" s="2" t="s">
        <v>38</v>
      </c>
      <c r="F1329" s="2" t="s">
        <v>39</v>
      </c>
      <c r="G1329">
        <v>66</v>
      </c>
      <c r="H1329">
        <v>423</v>
      </c>
      <c r="I1329">
        <v>69</v>
      </c>
      <c r="J1329" s="3">
        <v>7444600</v>
      </c>
      <c r="K1329" s="3">
        <v>513677400</v>
      </c>
      <c r="L1329" s="2" t="s">
        <v>33</v>
      </c>
      <c r="M1329" s="2" t="s">
        <v>26</v>
      </c>
      <c r="N1329">
        <v>2024</v>
      </c>
      <c r="O1329" s="2" t="s">
        <v>143</v>
      </c>
      <c r="P1329" s="2" t="s">
        <v>144</v>
      </c>
      <c r="Q1329">
        <v>4</v>
      </c>
      <c r="R1329" s="4">
        <v>45383</v>
      </c>
      <c r="S1329" s="3">
        <v>7444600</v>
      </c>
      <c r="T1329" s="3">
        <v>51.37</v>
      </c>
    </row>
    <row r="1330" spans="1:20" x14ac:dyDescent="0.3">
      <c r="A1330" s="1">
        <v>45413</v>
      </c>
      <c r="B1330" s="2" t="s">
        <v>75</v>
      </c>
      <c r="C1330" s="2" t="s">
        <v>76</v>
      </c>
      <c r="D1330" s="2" t="s">
        <v>50</v>
      </c>
      <c r="E1330" s="2" t="s">
        <v>51</v>
      </c>
      <c r="F1330" s="2" t="s">
        <v>24</v>
      </c>
      <c r="G1330">
        <v>77</v>
      </c>
      <c r="H1330">
        <v>528</v>
      </c>
      <c r="I1330">
        <v>49</v>
      </c>
      <c r="J1330" s="3">
        <v>5108000</v>
      </c>
      <c r="K1330" s="3">
        <v>250292000</v>
      </c>
      <c r="L1330" s="2" t="s">
        <v>33</v>
      </c>
      <c r="M1330" s="2" t="s">
        <v>34</v>
      </c>
      <c r="N1330">
        <v>2024</v>
      </c>
      <c r="O1330" s="2" t="s">
        <v>143</v>
      </c>
      <c r="P1330" s="2" t="s">
        <v>145</v>
      </c>
      <c r="Q1330">
        <v>5</v>
      </c>
      <c r="R1330" s="4">
        <v>45413</v>
      </c>
      <c r="S1330" s="3">
        <v>5108000</v>
      </c>
      <c r="T1330" s="3">
        <v>25.03</v>
      </c>
    </row>
    <row r="1331" spans="1:20" x14ac:dyDescent="0.3">
      <c r="A1331" s="1">
        <v>45413</v>
      </c>
      <c r="B1331" s="2" t="s">
        <v>29</v>
      </c>
      <c r="C1331" s="2" t="s">
        <v>96</v>
      </c>
      <c r="D1331" s="2" t="s">
        <v>31</v>
      </c>
      <c r="E1331" s="2" t="s">
        <v>32</v>
      </c>
      <c r="F1331" s="2" t="s">
        <v>24</v>
      </c>
      <c r="G1331">
        <v>4</v>
      </c>
      <c r="H1331">
        <v>195</v>
      </c>
      <c r="I1331">
        <v>103</v>
      </c>
      <c r="J1331" s="3">
        <v>142200</v>
      </c>
      <c r="K1331" s="3">
        <v>14646600</v>
      </c>
      <c r="L1331" s="2" t="s">
        <v>33</v>
      </c>
      <c r="M1331" s="2" t="s">
        <v>77</v>
      </c>
      <c r="N1331">
        <v>2024</v>
      </c>
      <c r="O1331" s="2" t="s">
        <v>143</v>
      </c>
      <c r="P1331" s="2" t="s">
        <v>145</v>
      </c>
      <c r="Q1331">
        <v>5</v>
      </c>
      <c r="R1331" s="4">
        <v>45413</v>
      </c>
      <c r="S1331" s="3">
        <v>142200</v>
      </c>
      <c r="T1331" s="3">
        <v>1.46</v>
      </c>
    </row>
    <row r="1332" spans="1:20" x14ac:dyDescent="0.3">
      <c r="A1332" s="1">
        <v>45414</v>
      </c>
      <c r="B1332" s="2" t="s">
        <v>75</v>
      </c>
      <c r="C1332" s="2" t="s">
        <v>134</v>
      </c>
      <c r="D1332" s="2" t="s">
        <v>100</v>
      </c>
      <c r="E1332" s="2" t="s">
        <v>101</v>
      </c>
      <c r="F1332" s="2" t="s">
        <v>24</v>
      </c>
      <c r="G1332">
        <v>3</v>
      </c>
      <c r="H1332">
        <v>150</v>
      </c>
      <c r="I1332">
        <v>58</v>
      </c>
      <c r="J1332" s="3">
        <v>157000</v>
      </c>
      <c r="K1332" s="3">
        <v>9106000</v>
      </c>
      <c r="L1332" s="2" t="s">
        <v>25</v>
      </c>
      <c r="M1332" s="2" t="s">
        <v>26</v>
      </c>
      <c r="N1332">
        <v>2024</v>
      </c>
      <c r="O1332" s="2" t="s">
        <v>143</v>
      </c>
      <c r="P1332" s="2" t="s">
        <v>145</v>
      </c>
      <c r="Q1332">
        <v>5</v>
      </c>
      <c r="R1332" s="4">
        <v>45413</v>
      </c>
      <c r="S1332" s="3">
        <v>157000</v>
      </c>
      <c r="T1332" s="3">
        <v>0.91</v>
      </c>
    </row>
    <row r="1333" spans="1:20" x14ac:dyDescent="0.3">
      <c r="A1333" s="1">
        <v>45414</v>
      </c>
      <c r="B1333" s="2" t="s">
        <v>40</v>
      </c>
      <c r="C1333" s="2" t="s">
        <v>105</v>
      </c>
      <c r="D1333" s="2" t="s">
        <v>63</v>
      </c>
      <c r="E1333" s="2" t="s">
        <v>64</v>
      </c>
      <c r="F1333" s="2" t="s">
        <v>24</v>
      </c>
      <c r="G1333">
        <v>3</v>
      </c>
      <c r="H1333">
        <v>127</v>
      </c>
      <c r="I1333">
        <v>109</v>
      </c>
      <c r="J1333" s="3">
        <v>146300</v>
      </c>
      <c r="K1333" s="3">
        <v>15946700</v>
      </c>
      <c r="L1333" s="2" t="s">
        <v>33</v>
      </c>
      <c r="M1333" s="2" t="s">
        <v>26</v>
      </c>
      <c r="N1333">
        <v>2024</v>
      </c>
      <c r="O1333" s="2" t="s">
        <v>143</v>
      </c>
      <c r="P1333" s="2" t="s">
        <v>145</v>
      </c>
      <c r="Q1333">
        <v>5</v>
      </c>
      <c r="R1333" s="4">
        <v>45413</v>
      </c>
      <c r="S1333" s="3">
        <v>146300</v>
      </c>
      <c r="T1333" s="3">
        <v>1.59</v>
      </c>
    </row>
    <row r="1334" spans="1:20" x14ac:dyDescent="0.3">
      <c r="A1334" s="1">
        <v>45414</v>
      </c>
      <c r="B1334" s="2" t="s">
        <v>75</v>
      </c>
      <c r="C1334" s="2" t="s">
        <v>134</v>
      </c>
      <c r="D1334" s="2" t="s">
        <v>54</v>
      </c>
      <c r="E1334" s="2" t="s">
        <v>55</v>
      </c>
      <c r="F1334" s="2" t="s">
        <v>24</v>
      </c>
      <c r="G1334">
        <v>30</v>
      </c>
      <c r="H1334">
        <v>320</v>
      </c>
      <c r="I1334">
        <v>54</v>
      </c>
      <c r="J1334" s="3">
        <v>1654100</v>
      </c>
      <c r="K1334" s="3">
        <v>89321400</v>
      </c>
      <c r="L1334" s="2" t="s">
        <v>25</v>
      </c>
      <c r="M1334" s="2" t="s">
        <v>26</v>
      </c>
      <c r="N1334">
        <v>2024</v>
      </c>
      <c r="O1334" s="2" t="s">
        <v>143</v>
      </c>
      <c r="P1334" s="2" t="s">
        <v>145</v>
      </c>
      <c r="Q1334">
        <v>5</v>
      </c>
      <c r="R1334" s="4">
        <v>45413</v>
      </c>
      <c r="S1334" s="3">
        <v>1654100</v>
      </c>
      <c r="T1334" s="3">
        <v>8.93</v>
      </c>
    </row>
    <row r="1335" spans="1:20" x14ac:dyDescent="0.3">
      <c r="A1335" s="1">
        <v>45414</v>
      </c>
      <c r="B1335" s="2" t="s">
        <v>90</v>
      </c>
      <c r="C1335" s="2" t="s">
        <v>128</v>
      </c>
      <c r="D1335" s="2" t="s">
        <v>67</v>
      </c>
      <c r="E1335" s="2" t="s">
        <v>68</v>
      </c>
      <c r="F1335" s="2" t="s">
        <v>24</v>
      </c>
      <c r="G1335">
        <v>66</v>
      </c>
      <c r="H1335">
        <v>440</v>
      </c>
      <c r="I1335">
        <v>52</v>
      </c>
      <c r="J1335" s="3">
        <v>6549600</v>
      </c>
      <c r="K1335" s="3">
        <v>340579200</v>
      </c>
      <c r="L1335" s="2" t="s">
        <v>25</v>
      </c>
      <c r="M1335" s="2" t="s">
        <v>26</v>
      </c>
      <c r="N1335">
        <v>2024</v>
      </c>
      <c r="O1335" s="2" t="s">
        <v>143</v>
      </c>
      <c r="P1335" s="2" t="s">
        <v>145</v>
      </c>
      <c r="Q1335">
        <v>5</v>
      </c>
      <c r="R1335" s="4">
        <v>45413</v>
      </c>
      <c r="S1335" s="3">
        <v>6549600</v>
      </c>
      <c r="T1335" s="3">
        <v>34.06</v>
      </c>
    </row>
    <row r="1336" spans="1:20" x14ac:dyDescent="0.3">
      <c r="A1336" s="1">
        <v>45414</v>
      </c>
      <c r="B1336" s="2" t="s">
        <v>35</v>
      </c>
      <c r="C1336" s="2" t="s">
        <v>87</v>
      </c>
      <c r="D1336" s="2" t="s">
        <v>63</v>
      </c>
      <c r="E1336" s="2" t="s">
        <v>64</v>
      </c>
      <c r="F1336" s="2" t="s">
        <v>24</v>
      </c>
      <c r="G1336">
        <v>3</v>
      </c>
      <c r="H1336">
        <v>127</v>
      </c>
      <c r="I1336">
        <v>37</v>
      </c>
      <c r="J1336" s="3">
        <v>159000</v>
      </c>
      <c r="K1336" s="3">
        <v>5883000</v>
      </c>
      <c r="L1336" s="2" t="s">
        <v>33</v>
      </c>
      <c r="M1336" s="2" t="s">
        <v>77</v>
      </c>
      <c r="N1336">
        <v>2024</v>
      </c>
      <c r="O1336" s="2" t="s">
        <v>143</v>
      </c>
      <c r="P1336" s="2" t="s">
        <v>145</v>
      </c>
      <c r="Q1336">
        <v>5</v>
      </c>
      <c r="R1336" s="4">
        <v>45413</v>
      </c>
      <c r="S1336" s="3">
        <v>159000</v>
      </c>
      <c r="T1336" s="3">
        <v>0.59</v>
      </c>
    </row>
    <row r="1337" spans="1:20" x14ac:dyDescent="0.3">
      <c r="A1337" s="1">
        <v>45414</v>
      </c>
      <c r="B1337" s="2" t="s">
        <v>20</v>
      </c>
      <c r="C1337" s="2" t="s">
        <v>112</v>
      </c>
      <c r="D1337" s="2" t="s">
        <v>67</v>
      </c>
      <c r="E1337" s="2" t="s">
        <v>68</v>
      </c>
      <c r="F1337" s="2" t="s">
        <v>24</v>
      </c>
      <c r="G1337">
        <v>66</v>
      </c>
      <c r="H1337">
        <v>440</v>
      </c>
      <c r="I1337">
        <v>28</v>
      </c>
      <c r="J1337" s="3">
        <v>5337400</v>
      </c>
      <c r="K1337" s="3">
        <v>149447200</v>
      </c>
      <c r="L1337" s="2" t="s">
        <v>33</v>
      </c>
      <c r="M1337" s="2" t="s">
        <v>77</v>
      </c>
      <c r="N1337">
        <v>2024</v>
      </c>
      <c r="O1337" s="2" t="s">
        <v>143</v>
      </c>
      <c r="P1337" s="2" t="s">
        <v>145</v>
      </c>
      <c r="Q1337">
        <v>5</v>
      </c>
      <c r="R1337" s="4">
        <v>45413</v>
      </c>
      <c r="S1337" s="3">
        <v>5337400</v>
      </c>
      <c r="T1337" s="3">
        <v>14.94</v>
      </c>
    </row>
    <row r="1338" spans="1:20" x14ac:dyDescent="0.3">
      <c r="A1338" s="1">
        <v>45415</v>
      </c>
      <c r="B1338" s="2" t="s">
        <v>59</v>
      </c>
      <c r="C1338" s="2" t="s">
        <v>129</v>
      </c>
      <c r="D1338" s="2" t="s">
        <v>22</v>
      </c>
      <c r="E1338" s="2" t="s">
        <v>23</v>
      </c>
      <c r="F1338" s="2" t="s">
        <v>24</v>
      </c>
      <c r="G1338">
        <v>82</v>
      </c>
      <c r="H1338">
        <v>520</v>
      </c>
      <c r="I1338">
        <v>34</v>
      </c>
      <c r="J1338" s="3">
        <v>6604700</v>
      </c>
      <c r="K1338" s="3">
        <v>224559800</v>
      </c>
      <c r="L1338" s="2" t="s">
        <v>33</v>
      </c>
      <c r="M1338" s="2" t="s">
        <v>26</v>
      </c>
      <c r="N1338">
        <v>2024</v>
      </c>
      <c r="O1338" s="2" t="s">
        <v>143</v>
      </c>
      <c r="P1338" s="2" t="s">
        <v>145</v>
      </c>
      <c r="Q1338">
        <v>5</v>
      </c>
      <c r="R1338" s="4">
        <v>45413</v>
      </c>
      <c r="S1338" s="3">
        <v>6604700</v>
      </c>
      <c r="T1338" s="3">
        <v>22.46</v>
      </c>
    </row>
    <row r="1339" spans="1:20" x14ac:dyDescent="0.3">
      <c r="A1339" s="1">
        <v>45416</v>
      </c>
      <c r="B1339" s="2" t="s">
        <v>108</v>
      </c>
      <c r="C1339" s="2" t="s">
        <v>131</v>
      </c>
      <c r="D1339" s="2" t="s">
        <v>42</v>
      </c>
      <c r="E1339" s="2" t="s">
        <v>43</v>
      </c>
      <c r="F1339" s="2" t="s">
        <v>24</v>
      </c>
      <c r="G1339">
        <v>3</v>
      </c>
      <c r="H1339">
        <v>135</v>
      </c>
      <c r="I1339">
        <v>133</v>
      </c>
      <c r="J1339" s="3">
        <v>101900</v>
      </c>
      <c r="K1339" s="3">
        <v>13552700</v>
      </c>
      <c r="L1339" s="2" t="s">
        <v>33</v>
      </c>
      <c r="M1339" s="2" t="s">
        <v>97</v>
      </c>
      <c r="N1339">
        <v>2024</v>
      </c>
      <c r="O1339" s="2" t="s">
        <v>143</v>
      </c>
      <c r="P1339" s="2" t="s">
        <v>145</v>
      </c>
      <c r="Q1339">
        <v>5</v>
      </c>
      <c r="R1339" s="4">
        <v>45413</v>
      </c>
      <c r="S1339" s="3">
        <v>101900</v>
      </c>
      <c r="T1339" s="3">
        <v>1.36</v>
      </c>
    </row>
    <row r="1340" spans="1:20" x14ac:dyDescent="0.3">
      <c r="A1340" s="1">
        <v>45416</v>
      </c>
      <c r="B1340" s="2" t="s">
        <v>84</v>
      </c>
      <c r="C1340" s="2" t="s">
        <v>93</v>
      </c>
      <c r="D1340" s="2" t="s">
        <v>70</v>
      </c>
      <c r="E1340" s="2" t="s">
        <v>74</v>
      </c>
      <c r="F1340" s="2" t="s">
        <v>24</v>
      </c>
      <c r="G1340">
        <v>25</v>
      </c>
      <c r="H1340">
        <v>32</v>
      </c>
      <c r="I1340">
        <v>12</v>
      </c>
      <c r="J1340" s="3">
        <v>1298900</v>
      </c>
      <c r="K1340" s="3">
        <v>15586800</v>
      </c>
      <c r="L1340" s="2" t="s">
        <v>25</v>
      </c>
      <c r="M1340" s="2" t="s">
        <v>26</v>
      </c>
      <c r="N1340">
        <v>2024</v>
      </c>
      <c r="O1340" s="2" t="s">
        <v>143</v>
      </c>
      <c r="P1340" s="2" t="s">
        <v>145</v>
      </c>
      <c r="Q1340">
        <v>5</v>
      </c>
      <c r="R1340" s="4">
        <v>45413</v>
      </c>
      <c r="S1340" s="3">
        <v>1298900</v>
      </c>
      <c r="T1340" s="3">
        <v>1.56</v>
      </c>
    </row>
    <row r="1341" spans="1:20" x14ac:dyDescent="0.3">
      <c r="A1341" s="1">
        <v>45417</v>
      </c>
      <c r="B1341" s="2" t="s">
        <v>108</v>
      </c>
      <c r="C1341" s="2" t="s">
        <v>133</v>
      </c>
      <c r="D1341" s="2" t="s">
        <v>102</v>
      </c>
      <c r="E1341" s="2" t="s">
        <v>103</v>
      </c>
      <c r="F1341" s="2" t="s">
        <v>24</v>
      </c>
      <c r="G1341">
        <v>5</v>
      </c>
      <c r="H1341">
        <v>150</v>
      </c>
      <c r="I1341">
        <v>107</v>
      </c>
      <c r="J1341" s="3">
        <v>171100</v>
      </c>
      <c r="K1341" s="3">
        <v>18307700</v>
      </c>
      <c r="L1341" s="2" t="s">
        <v>33</v>
      </c>
      <c r="M1341" s="2" t="s">
        <v>97</v>
      </c>
      <c r="N1341">
        <v>2024</v>
      </c>
      <c r="O1341" s="2" t="s">
        <v>143</v>
      </c>
      <c r="P1341" s="2" t="s">
        <v>145</v>
      </c>
      <c r="Q1341">
        <v>5</v>
      </c>
      <c r="R1341" s="4">
        <v>45413</v>
      </c>
      <c r="S1341" s="3">
        <v>171100</v>
      </c>
      <c r="T1341" s="3">
        <v>1.83</v>
      </c>
    </row>
    <row r="1342" spans="1:20" x14ac:dyDescent="0.3">
      <c r="A1342" s="1">
        <v>45417</v>
      </c>
      <c r="B1342" s="2" t="s">
        <v>90</v>
      </c>
      <c r="C1342" s="2" t="s">
        <v>99</v>
      </c>
      <c r="D1342" s="2" t="s">
        <v>31</v>
      </c>
      <c r="E1342" s="2" t="s">
        <v>32</v>
      </c>
      <c r="F1342" s="2" t="s">
        <v>24</v>
      </c>
      <c r="G1342">
        <v>4</v>
      </c>
      <c r="H1342">
        <v>195</v>
      </c>
      <c r="I1342">
        <v>19</v>
      </c>
      <c r="J1342" s="3">
        <v>122600</v>
      </c>
      <c r="K1342" s="3">
        <v>2329400</v>
      </c>
      <c r="L1342" s="2" t="s">
        <v>33</v>
      </c>
      <c r="M1342" s="2" t="s">
        <v>26</v>
      </c>
      <c r="N1342">
        <v>2024</v>
      </c>
      <c r="O1342" s="2" t="s">
        <v>143</v>
      </c>
      <c r="P1342" s="2" t="s">
        <v>145</v>
      </c>
      <c r="Q1342">
        <v>5</v>
      </c>
      <c r="R1342" s="4">
        <v>45413</v>
      </c>
      <c r="S1342" s="3">
        <v>122600</v>
      </c>
      <c r="T1342" s="3">
        <v>0.23</v>
      </c>
    </row>
    <row r="1343" spans="1:20" x14ac:dyDescent="0.3">
      <c r="A1343" s="1">
        <v>45417</v>
      </c>
      <c r="B1343" s="2" t="s">
        <v>48</v>
      </c>
      <c r="C1343" s="2" t="s">
        <v>69</v>
      </c>
      <c r="D1343" s="2" t="s">
        <v>57</v>
      </c>
      <c r="E1343" s="2" t="s">
        <v>58</v>
      </c>
      <c r="F1343" s="2" t="s">
        <v>24</v>
      </c>
      <c r="G1343">
        <v>72</v>
      </c>
      <c r="H1343">
        <v>488</v>
      </c>
      <c r="I1343">
        <v>38</v>
      </c>
      <c r="J1343" s="3">
        <v>5537500</v>
      </c>
      <c r="K1343" s="3">
        <v>210425000</v>
      </c>
      <c r="L1343" s="2" t="s">
        <v>33</v>
      </c>
      <c r="M1343" s="2" t="s">
        <v>26</v>
      </c>
      <c r="N1343">
        <v>2024</v>
      </c>
      <c r="O1343" s="2" t="s">
        <v>143</v>
      </c>
      <c r="P1343" s="2" t="s">
        <v>145</v>
      </c>
      <c r="Q1343">
        <v>5</v>
      </c>
      <c r="R1343" s="4">
        <v>45413</v>
      </c>
      <c r="S1343" s="3">
        <v>5537500</v>
      </c>
      <c r="T1343" s="3">
        <v>21.04</v>
      </c>
    </row>
    <row r="1344" spans="1:20" x14ac:dyDescent="0.3">
      <c r="A1344" s="1">
        <v>45417</v>
      </c>
      <c r="B1344" s="2" t="s">
        <v>20</v>
      </c>
      <c r="C1344" s="2" t="s">
        <v>125</v>
      </c>
      <c r="D1344" s="2" t="s">
        <v>22</v>
      </c>
      <c r="E1344" s="2" t="s">
        <v>23</v>
      </c>
      <c r="F1344" s="2" t="s">
        <v>72</v>
      </c>
      <c r="G1344">
        <v>82</v>
      </c>
      <c r="H1344">
        <v>520</v>
      </c>
      <c r="I1344">
        <v>56</v>
      </c>
      <c r="J1344" s="3">
        <v>7513200</v>
      </c>
      <c r="K1344" s="3">
        <v>420739200</v>
      </c>
      <c r="L1344" s="2" t="s">
        <v>33</v>
      </c>
      <c r="M1344" s="2" t="s">
        <v>26</v>
      </c>
      <c r="N1344">
        <v>2024</v>
      </c>
      <c r="O1344" s="2" t="s">
        <v>143</v>
      </c>
      <c r="P1344" s="2" t="s">
        <v>145</v>
      </c>
      <c r="Q1344">
        <v>5</v>
      </c>
      <c r="R1344" s="4">
        <v>45413</v>
      </c>
      <c r="S1344" s="3">
        <v>7513200</v>
      </c>
      <c r="T1344" s="3">
        <v>42.07</v>
      </c>
    </row>
    <row r="1345" spans="1:20" x14ac:dyDescent="0.3">
      <c r="A1345" s="1">
        <v>45417</v>
      </c>
      <c r="B1345" s="2" t="s">
        <v>29</v>
      </c>
      <c r="C1345" s="2" t="s">
        <v>96</v>
      </c>
      <c r="D1345" s="2" t="s">
        <v>31</v>
      </c>
      <c r="E1345" s="2" t="s">
        <v>32</v>
      </c>
      <c r="F1345" s="2" t="s">
        <v>24</v>
      </c>
      <c r="G1345">
        <v>4</v>
      </c>
      <c r="H1345">
        <v>195</v>
      </c>
      <c r="I1345">
        <v>134</v>
      </c>
      <c r="J1345" s="3">
        <v>127900</v>
      </c>
      <c r="K1345" s="3">
        <v>17138600</v>
      </c>
      <c r="L1345" s="2" t="s">
        <v>33</v>
      </c>
      <c r="M1345" s="2" t="s">
        <v>26</v>
      </c>
      <c r="N1345">
        <v>2024</v>
      </c>
      <c r="O1345" s="2" t="s">
        <v>143</v>
      </c>
      <c r="P1345" s="2" t="s">
        <v>145</v>
      </c>
      <c r="Q1345">
        <v>5</v>
      </c>
      <c r="R1345" s="4">
        <v>45413</v>
      </c>
      <c r="S1345" s="3">
        <v>127900</v>
      </c>
      <c r="T1345" s="3">
        <v>1.71</v>
      </c>
    </row>
    <row r="1346" spans="1:20" x14ac:dyDescent="0.3">
      <c r="A1346" s="1">
        <v>45418</v>
      </c>
      <c r="B1346" s="2" t="s">
        <v>29</v>
      </c>
      <c r="C1346" s="2" t="s">
        <v>96</v>
      </c>
      <c r="D1346" s="2" t="s">
        <v>54</v>
      </c>
      <c r="E1346" s="2" t="s">
        <v>55</v>
      </c>
      <c r="F1346" s="2" t="s">
        <v>24</v>
      </c>
      <c r="G1346">
        <v>30</v>
      </c>
      <c r="H1346">
        <v>320</v>
      </c>
      <c r="I1346">
        <v>60</v>
      </c>
      <c r="J1346" s="3">
        <v>1577200</v>
      </c>
      <c r="K1346" s="3">
        <v>94632000</v>
      </c>
      <c r="L1346" s="2" t="s">
        <v>33</v>
      </c>
      <c r="M1346" s="2" t="s">
        <v>77</v>
      </c>
      <c r="N1346">
        <v>2024</v>
      </c>
      <c r="O1346" s="2" t="s">
        <v>143</v>
      </c>
      <c r="P1346" s="2" t="s">
        <v>145</v>
      </c>
      <c r="Q1346">
        <v>5</v>
      </c>
      <c r="R1346" s="4">
        <v>45413</v>
      </c>
      <c r="S1346" s="3">
        <v>1577200</v>
      </c>
      <c r="T1346" s="3">
        <v>9.4600000000000009</v>
      </c>
    </row>
    <row r="1347" spans="1:20" x14ac:dyDescent="0.3">
      <c r="A1347" s="1">
        <v>45418</v>
      </c>
      <c r="B1347" s="2" t="s">
        <v>84</v>
      </c>
      <c r="C1347" s="2" t="s">
        <v>126</v>
      </c>
      <c r="D1347" s="2" t="s">
        <v>100</v>
      </c>
      <c r="E1347" s="2" t="s">
        <v>101</v>
      </c>
      <c r="F1347" s="2" t="s">
        <v>24</v>
      </c>
      <c r="G1347">
        <v>3</v>
      </c>
      <c r="H1347">
        <v>150</v>
      </c>
      <c r="I1347">
        <v>73</v>
      </c>
      <c r="J1347" s="3">
        <v>158100</v>
      </c>
      <c r="K1347" s="3">
        <v>11541300</v>
      </c>
      <c r="L1347" s="2" t="s">
        <v>92</v>
      </c>
      <c r="M1347" s="2" t="s">
        <v>26</v>
      </c>
      <c r="N1347">
        <v>2024</v>
      </c>
      <c r="O1347" s="2" t="s">
        <v>143</v>
      </c>
      <c r="P1347" s="2" t="s">
        <v>145</v>
      </c>
      <c r="Q1347">
        <v>5</v>
      </c>
      <c r="R1347" s="4">
        <v>45413</v>
      </c>
      <c r="S1347" s="3">
        <v>158100</v>
      </c>
      <c r="T1347" s="3">
        <v>1.1499999999999999</v>
      </c>
    </row>
    <row r="1348" spans="1:20" x14ac:dyDescent="0.3">
      <c r="A1348" s="1">
        <v>45418</v>
      </c>
      <c r="B1348" s="2" t="s">
        <v>106</v>
      </c>
      <c r="C1348" s="2" t="s">
        <v>107</v>
      </c>
      <c r="D1348" s="2" t="s">
        <v>67</v>
      </c>
      <c r="E1348" s="2" t="s">
        <v>118</v>
      </c>
      <c r="F1348" s="2" t="s">
        <v>39</v>
      </c>
      <c r="G1348">
        <v>84</v>
      </c>
      <c r="H1348">
        <v>590</v>
      </c>
      <c r="I1348">
        <v>9</v>
      </c>
      <c r="J1348" s="3">
        <v>7165600</v>
      </c>
      <c r="K1348" s="3">
        <v>64490400</v>
      </c>
      <c r="L1348" s="2" t="s">
        <v>33</v>
      </c>
      <c r="M1348" s="2" t="s">
        <v>77</v>
      </c>
      <c r="N1348">
        <v>2024</v>
      </c>
      <c r="O1348" s="2" t="s">
        <v>143</v>
      </c>
      <c r="P1348" s="2" t="s">
        <v>145</v>
      </c>
      <c r="Q1348">
        <v>5</v>
      </c>
      <c r="R1348" s="4">
        <v>45413</v>
      </c>
      <c r="S1348" s="3">
        <v>7165600</v>
      </c>
      <c r="T1348" s="3">
        <v>6.45</v>
      </c>
    </row>
    <row r="1349" spans="1:20" x14ac:dyDescent="0.3">
      <c r="A1349" s="1">
        <v>45418</v>
      </c>
      <c r="B1349" s="2" t="s">
        <v>84</v>
      </c>
      <c r="C1349" s="2" t="s">
        <v>126</v>
      </c>
      <c r="D1349" s="2" t="s">
        <v>50</v>
      </c>
      <c r="E1349" s="2" t="s">
        <v>51</v>
      </c>
      <c r="F1349" s="2" t="s">
        <v>24</v>
      </c>
      <c r="G1349">
        <v>77</v>
      </c>
      <c r="H1349">
        <v>528</v>
      </c>
      <c r="I1349">
        <v>58</v>
      </c>
      <c r="J1349" s="3">
        <v>5399900</v>
      </c>
      <c r="K1349" s="3">
        <v>313194200</v>
      </c>
      <c r="L1349" s="2" t="s">
        <v>33</v>
      </c>
      <c r="M1349" s="2" t="s">
        <v>34</v>
      </c>
      <c r="N1349">
        <v>2024</v>
      </c>
      <c r="O1349" s="2" t="s">
        <v>143</v>
      </c>
      <c r="P1349" s="2" t="s">
        <v>145</v>
      </c>
      <c r="Q1349">
        <v>5</v>
      </c>
      <c r="R1349" s="4">
        <v>45413</v>
      </c>
      <c r="S1349" s="3">
        <v>5399900</v>
      </c>
      <c r="T1349" s="3">
        <v>31.32</v>
      </c>
    </row>
    <row r="1350" spans="1:20" x14ac:dyDescent="0.3">
      <c r="A1350" s="1">
        <v>45419</v>
      </c>
      <c r="B1350" s="2" t="s">
        <v>48</v>
      </c>
      <c r="C1350" s="2" t="s">
        <v>73</v>
      </c>
      <c r="D1350" s="2" t="s">
        <v>22</v>
      </c>
      <c r="E1350" s="2" t="s">
        <v>23</v>
      </c>
      <c r="F1350" s="2" t="s">
        <v>24</v>
      </c>
      <c r="G1350">
        <v>82</v>
      </c>
      <c r="H1350">
        <v>520</v>
      </c>
      <c r="I1350">
        <v>36</v>
      </c>
      <c r="J1350" s="3">
        <v>6785500</v>
      </c>
      <c r="K1350" s="3">
        <v>244278000</v>
      </c>
      <c r="L1350" s="2" t="s">
        <v>33</v>
      </c>
      <c r="M1350" s="2" t="s">
        <v>26</v>
      </c>
      <c r="N1350">
        <v>2024</v>
      </c>
      <c r="O1350" s="2" t="s">
        <v>143</v>
      </c>
      <c r="P1350" s="2" t="s">
        <v>145</v>
      </c>
      <c r="Q1350">
        <v>5</v>
      </c>
      <c r="R1350" s="4">
        <v>45413</v>
      </c>
      <c r="S1350" s="3">
        <v>6785500</v>
      </c>
      <c r="T1350" s="3">
        <v>24.43</v>
      </c>
    </row>
    <row r="1351" spans="1:20" x14ac:dyDescent="0.3">
      <c r="A1351" s="1">
        <v>45420</v>
      </c>
      <c r="B1351" s="2" t="s">
        <v>46</v>
      </c>
      <c r="C1351" s="2" t="s">
        <v>47</v>
      </c>
      <c r="D1351" s="2" t="s">
        <v>67</v>
      </c>
      <c r="E1351" s="2" t="s">
        <v>118</v>
      </c>
      <c r="F1351" s="2" t="s">
        <v>72</v>
      </c>
      <c r="G1351">
        <v>84</v>
      </c>
      <c r="H1351">
        <v>590</v>
      </c>
      <c r="I1351">
        <v>24</v>
      </c>
      <c r="J1351" s="3">
        <v>8325200</v>
      </c>
      <c r="K1351" s="3">
        <v>199804800</v>
      </c>
      <c r="L1351" s="2" t="s">
        <v>33</v>
      </c>
      <c r="M1351" s="2" t="s">
        <v>77</v>
      </c>
      <c r="N1351">
        <v>2024</v>
      </c>
      <c r="O1351" s="2" t="s">
        <v>143</v>
      </c>
      <c r="P1351" s="2" t="s">
        <v>145</v>
      </c>
      <c r="Q1351">
        <v>5</v>
      </c>
      <c r="R1351" s="4">
        <v>45413</v>
      </c>
      <c r="S1351" s="3">
        <v>8325200</v>
      </c>
      <c r="T1351" s="3">
        <v>19.98</v>
      </c>
    </row>
    <row r="1352" spans="1:20" x14ac:dyDescent="0.3">
      <c r="A1352" s="1">
        <v>45420</v>
      </c>
      <c r="B1352" s="2" t="s">
        <v>44</v>
      </c>
      <c r="C1352" s="2" t="s">
        <v>45</v>
      </c>
      <c r="D1352" s="2" t="s">
        <v>57</v>
      </c>
      <c r="E1352" s="2" t="s">
        <v>86</v>
      </c>
      <c r="F1352" s="2" t="s">
        <v>24</v>
      </c>
      <c r="G1352">
        <v>48</v>
      </c>
      <c r="H1352">
        <v>39</v>
      </c>
      <c r="I1352">
        <v>127</v>
      </c>
      <c r="J1352" s="3">
        <v>2380200</v>
      </c>
      <c r="K1352" s="3">
        <v>302285400</v>
      </c>
      <c r="L1352" s="2" t="s">
        <v>33</v>
      </c>
      <c r="M1352" s="2" t="s">
        <v>26</v>
      </c>
      <c r="N1352">
        <v>2024</v>
      </c>
      <c r="O1352" s="2" t="s">
        <v>143</v>
      </c>
      <c r="P1352" s="2" t="s">
        <v>145</v>
      </c>
      <c r="Q1352">
        <v>5</v>
      </c>
      <c r="R1352" s="4">
        <v>45413</v>
      </c>
      <c r="S1352" s="3">
        <v>2380200</v>
      </c>
      <c r="T1352" s="3">
        <v>30.23</v>
      </c>
    </row>
    <row r="1353" spans="1:20" x14ac:dyDescent="0.3">
      <c r="A1353" s="1">
        <v>45420</v>
      </c>
      <c r="B1353" s="2" t="s">
        <v>29</v>
      </c>
      <c r="C1353" s="2" t="s">
        <v>104</v>
      </c>
      <c r="D1353" s="2" t="s">
        <v>82</v>
      </c>
      <c r="E1353" s="2" t="s">
        <v>141</v>
      </c>
      <c r="F1353" s="2" t="s">
        <v>24</v>
      </c>
      <c r="G1353">
        <v>59</v>
      </c>
      <c r="H1353">
        <v>55</v>
      </c>
      <c r="I1353">
        <v>14</v>
      </c>
      <c r="J1353" s="3">
        <v>2982100</v>
      </c>
      <c r="K1353" s="3">
        <v>41749400</v>
      </c>
      <c r="L1353" s="2" t="s">
        <v>33</v>
      </c>
      <c r="M1353" s="2" t="s">
        <v>26</v>
      </c>
      <c r="N1353">
        <v>2024</v>
      </c>
      <c r="O1353" s="2" t="s">
        <v>143</v>
      </c>
      <c r="P1353" s="2" t="s">
        <v>145</v>
      </c>
      <c r="Q1353">
        <v>5</v>
      </c>
      <c r="R1353" s="4">
        <v>45413</v>
      </c>
      <c r="S1353" s="3">
        <v>2982100</v>
      </c>
      <c r="T1353" s="3">
        <v>4.17</v>
      </c>
    </row>
    <row r="1354" spans="1:20" x14ac:dyDescent="0.3">
      <c r="A1354" s="1">
        <v>45421</v>
      </c>
      <c r="B1354" s="2" t="s">
        <v>48</v>
      </c>
      <c r="C1354" s="2" t="s">
        <v>73</v>
      </c>
      <c r="D1354" s="2" t="s">
        <v>57</v>
      </c>
      <c r="E1354" s="2" t="s">
        <v>58</v>
      </c>
      <c r="F1354" s="2" t="s">
        <v>24</v>
      </c>
      <c r="G1354">
        <v>72</v>
      </c>
      <c r="H1354">
        <v>488</v>
      </c>
      <c r="I1354">
        <v>11</v>
      </c>
      <c r="J1354" s="3">
        <v>5754900</v>
      </c>
      <c r="K1354" s="3">
        <v>63303900</v>
      </c>
      <c r="L1354" s="2" t="s">
        <v>33</v>
      </c>
      <c r="M1354" s="2" t="s">
        <v>97</v>
      </c>
      <c r="N1354">
        <v>2024</v>
      </c>
      <c r="O1354" s="2" t="s">
        <v>143</v>
      </c>
      <c r="P1354" s="2" t="s">
        <v>145</v>
      </c>
      <c r="Q1354">
        <v>5</v>
      </c>
      <c r="R1354" s="4">
        <v>45413</v>
      </c>
      <c r="S1354" s="3">
        <v>5754900</v>
      </c>
      <c r="T1354" s="3">
        <v>6.33</v>
      </c>
    </row>
    <row r="1355" spans="1:20" x14ac:dyDescent="0.3">
      <c r="A1355" s="1">
        <v>45421</v>
      </c>
      <c r="B1355" s="2" t="s">
        <v>84</v>
      </c>
      <c r="C1355" s="2" t="s">
        <v>85</v>
      </c>
      <c r="D1355" s="2" t="s">
        <v>42</v>
      </c>
      <c r="E1355" s="2" t="s">
        <v>43</v>
      </c>
      <c r="F1355" s="2" t="s">
        <v>24</v>
      </c>
      <c r="G1355">
        <v>3</v>
      </c>
      <c r="H1355">
        <v>135</v>
      </c>
      <c r="I1355">
        <v>113</v>
      </c>
      <c r="J1355" s="3">
        <v>106600</v>
      </c>
      <c r="K1355" s="3">
        <v>12045800</v>
      </c>
      <c r="L1355" s="2" t="s">
        <v>25</v>
      </c>
      <c r="M1355" s="2" t="s">
        <v>77</v>
      </c>
      <c r="N1355">
        <v>2024</v>
      </c>
      <c r="O1355" s="2" t="s">
        <v>143</v>
      </c>
      <c r="P1355" s="2" t="s">
        <v>145</v>
      </c>
      <c r="Q1355">
        <v>5</v>
      </c>
      <c r="R1355" s="4">
        <v>45413</v>
      </c>
      <c r="S1355" s="3">
        <v>106600</v>
      </c>
      <c r="T1355" s="3">
        <v>1.2</v>
      </c>
    </row>
    <row r="1356" spans="1:20" x14ac:dyDescent="0.3">
      <c r="A1356" s="1">
        <v>45421</v>
      </c>
      <c r="B1356" s="2" t="s">
        <v>59</v>
      </c>
      <c r="C1356" s="2" t="s">
        <v>135</v>
      </c>
      <c r="D1356" s="2" t="s">
        <v>88</v>
      </c>
      <c r="E1356" s="2" t="s">
        <v>89</v>
      </c>
      <c r="F1356" s="2" t="s">
        <v>138</v>
      </c>
      <c r="G1356">
        <v>82</v>
      </c>
      <c r="H1356">
        <v>580</v>
      </c>
      <c r="I1356">
        <v>13</v>
      </c>
      <c r="J1356" s="3">
        <v>5716600</v>
      </c>
      <c r="K1356" s="3">
        <v>74315800</v>
      </c>
      <c r="L1356" s="2" t="s">
        <v>25</v>
      </c>
      <c r="M1356" s="2" t="s">
        <v>26</v>
      </c>
      <c r="N1356">
        <v>2024</v>
      </c>
      <c r="O1356" s="2" t="s">
        <v>143</v>
      </c>
      <c r="P1356" s="2" t="s">
        <v>145</v>
      </c>
      <c r="Q1356">
        <v>5</v>
      </c>
      <c r="R1356" s="4">
        <v>45413</v>
      </c>
      <c r="S1356" s="3">
        <v>5716600</v>
      </c>
      <c r="T1356" s="3">
        <v>7.43</v>
      </c>
    </row>
    <row r="1357" spans="1:20" x14ac:dyDescent="0.3">
      <c r="A1357" s="1">
        <v>45421</v>
      </c>
      <c r="B1357" s="2" t="s">
        <v>46</v>
      </c>
      <c r="C1357" s="2" t="s">
        <v>110</v>
      </c>
      <c r="D1357" s="2" t="s">
        <v>100</v>
      </c>
      <c r="E1357" s="2" t="s">
        <v>101</v>
      </c>
      <c r="F1357" s="2" t="s">
        <v>24</v>
      </c>
      <c r="G1357">
        <v>3</v>
      </c>
      <c r="H1357">
        <v>150</v>
      </c>
      <c r="I1357">
        <v>93</v>
      </c>
      <c r="J1357" s="3">
        <v>163300</v>
      </c>
      <c r="K1357" s="3">
        <v>15186900</v>
      </c>
      <c r="L1357" s="2" t="s">
        <v>33</v>
      </c>
      <c r="M1357" s="2" t="s">
        <v>77</v>
      </c>
      <c r="N1357">
        <v>2024</v>
      </c>
      <c r="O1357" s="2" t="s">
        <v>143</v>
      </c>
      <c r="P1357" s="2" t="s">
        <v>145</v>
      </c>
      <c r="Q1357">
        <v>5</v>
      </c>
      <c r="R1357" s="4">
        <v>45413</v>
      </c>
      <c r="S1357" s="3">
        <v>163300</v>
      </c>
      <c r="T1357" s="3">
        <v>1.52</v>
      </c>
    </row>
    <row r="1358" spans="1:20" x14ac:dyDescent="0.3">
      <c r="A1358" s="1">
        <v>45422</v>
      </c>
      <c r="B1358" s="2" t="s">
        <v>46</v>
      </c>
      <c r="C1358" s="2" t="s">
        <v>56</v>
      </c>
      <c r="D1358" s="2" t="s">
        <v>102</v>
      </c>
      <c r="E1358" s="2" t="s">
        <v>103</v>
      </c>
      <c r="F1358" s="2" t="s">
        <v>24</v>
      </c>
      <c r="G1358">
        <v>5</v>
      </c>
      <c r="H1358">
        <v>150</v>
      </c>
      <c r="I1358">
        <v>52</v>
      </c>
      <c r="J1358" s="3">
        <v>150300</v>
      </c>
      <c r="K1358" s="3">
        <v>7815600</v>
      </c>
      <c r="L1358" s="2" t="s">
        <v>33</v>
      </c>
      <c r="M1358" s="2" t="s">
        <v>26</v>
      </c>
      <c r="N1358">
        <v>2024</v>
      </c>
      <c r="O1358" s="2" t="s">
        <v>143</v>
      </c>
      <c r="P1358" s="2" t="s">
        <v>145</v>
      </c>
      <c r="Q1358">
        <v>5</v>
      </c>
      <c r="R1358" s="4">
        <v>45413</v>
      </c>
      <c r="S1358" s="3">
        <v>150300</v>
      </c>
      <c r="T1358" s="3">
        <v>0.78</v>
      </c>
    </row>
    <row r="1359" spans="1:20" x14ac:dyDescent="0.3">
      <c r="A1359" s="1">
        <v>45423</v>
      </c>
      <c r="B1359" s="2" t="s">
        <v>106</v>
      </c>
      <c r="C1359" s="2" t="s">
        <v>120</v>
      </c>
      <c r="D1359" s="2" t="s">
        <v>94</v>
      </c>
      <c r="E1359" s="2" t="s">
        <v>95</v>
      </c>
      <c r="F1359" s="2" t="s">
        <v>39</v>
      </c>
      <c r="G1359">
        <v>40</v>
      </c>
      <c r="H1359">
        <v>30</v>
      </c>
      <c r="I1359">
        <v>144</v>
      </c>
      <c r="J1359" s="3">
        <v>2648500</v>
      </c>
      <c r="K1359" s="3">
        <v>381384000</v>
      </c>
      <c r="L1359" s="2" t="s">
        <v>33</v>
      </c>
      <c r="M1359" s="2" t="s">
        <v>77</v>
      </c>
      <c r="N1359">
        <v>2024</v>
      </c>
      <c r="O1359" s="2" t="s">
        <v>143</v>
      </c>
      <c r="P1359" s="2" t="s">
        <v>145</v>
      </c>
      <c r="Q1359">
        <v>5</v>
      </c>
      <c r="R1359" s="4">
        <v>45413</v>
      </c>
      <c r="S1359" s="3">
        <v>2648500</v>
      </c>
      <c r="T1359" s="3">
        <v>38.14</v>
      </c>
    </row>
    <row r="1360" spans="1:20" x14ac:dyDescent="0.3">
      <c r="A1360" s="1">
        <v>45423</v>
      </c>
      <c r="B1360" s="2" t="s">
        <v>108</v>
      </c>
      <c r="C1360" s="2" t="s">
        <v>133</v>
      </c>
      <c r="D1360" s="2" t="s">
        <v>88</v>
      </c>
      <c r="E1360" s="2" t="s">
        <v>111</v>
      </c>
      <c r="F1360" s="2" t="s">
        <v>39</v>
      </c>
      <c r="G1360">
        <v>60</v>
      </c>
      <c r="H1360">
        <v>480</v>
      </c>
      <c r="I1360">
        <v>61</v>
      </c>
      <c r="J1360" s="3">
        <v>3541600</v>
      </c>
      <c r="K1360" s="3">
        <v>216037600</v>
      </c>
      <c r="L1360" s="2" t="s">
        <v>33</v>
      </c>
      <c r="M1360" s="2" t="s">
        <v>34</v>
      </c>
      <c r="N1360">
        <v>2024</v>
      </c>
      <c r="O1360" s="2" t="s">
        <v>143</v>
      </c>
      <c r="P1360" s="2" t="s">
        <v>145</v>
      </c>
      <c r="Q1360">
        <v>5</v>
      </c>
      <c r="R1360" s="4">
        <v>45413</v>
      </c>
      <c r="S1360" s="3">
        <v>3541600</v>
      </c>
      <c r="T1360" s="3">
        <v>21.6</v>
      </c>
    </row>
    <row r="1361" spans="1:20" x14ac:dyDescent="0.3">
      <c r="A1361" s="1">
        <v>45423</v>
      </c>
      <c r="B1361" s="2" t="s">
        <v>46</v>
      </c>
      <c r="C1361" s="2" t="s">
        <v>137</v>
      </c>
      <c r="D1361" s="2" t="s">
        <v>94</v>
      </c>
      <c r="E1361" s="2" t="s">
        <v>140</v>
      </c>
      <c r="F1361" s="2" t="s">
        <v>24</v>
      </c>
      <c r="G1361">
        <v>35</v>
      </c>
      <c r="H1361">
        <v>32</v>
      </c>
      <c r="I1361">
        <v>107</v>
      </c>
      <c r="J1361" s="3">
        <v>2183300</v>
      </c>
      <c r="K1361" s="3">
        <v>233613100</v>
      </c>
      <c r="L1361" s="2" t="s">
        <v>33</v>
      </c>
      <c r="M1361" s="2" t="s">
        <v>26</v>
      </c>
      <c r="N1361">
        <v>2024</v>
      </c>
      <c r="O1361" s="2" t="s">
        <v>143</v>
      </c>
      <c r="P1361" s="2" t="s">
        <v>145</v>
      </c>
      <c r="Q1361">
        <v>5</v>
      </c>
      <c r="R1361" s="4">
        <v>45413</v>
      </c>
      <c r="S1361" s="3">
        <v>2183300</v>
      </c>
      <c r="T1361" s="3">
        <v>23.36</v>
      </c>
    </row>
    <row r="1362" spans="1:20" x14ac:dyDescent="0.3">
      <c r="A1362" s="1">
        <v>45424</v>
      </c>
      <c r="B1362" s="2" t="s">
        <v>52</v>
      </c>
      <c r="C1362" s="2" t="s">
        <v>53</v>
      </c>
      <c r="D1362" s="2" t="s">
        <v>63</v>
      </c>
      <c r="E1362" s="2" t="s">
        <v>64</v>
      </c>
      <c r="F1362" s="2" t="s">
        <v>24</v>
      </c>
      <c r="G1362">
        <v>3</v>
      </c>
      <c r="H1362">
        <v>127</v>
      </c>
      <c r="I1362">
        <v>165</v>
      </c>
      <c r="J1362" s="3">
        <v>146400</v>
      </c>
      <c r="K1362" s="3">
        <v>24156000</v>
      </c>
      <c r="L1362" s="2" t="s">
        <v>25</v>
      </c>
      <c r="M1362" s="2" t="s">
        <v>26</v>
      </c>
      <c r="N1362">
        <v>2024</v>
      </c>
      <c r="O1362" s="2" t="s">
        <v>143</v>
      </c>
      <c r="P1362" s="2" t="s">
        <v>145</v>
      </c>
      <c r="Q1362">
        <v>5</v>
      </c>
      <c r="R1362" s="4">
        <v>45413</v>
      </c>
      <c r="S1362" s="3">
        <v>146400</v>
      </c>
      <c r="T1362" s="3">
        <v>2.42</v>
      </c>
    </row>
    <row r="1363" spans="1:20" x14ac:dyDescent="0.3">
      <c r="A1363" s="1">
        <v>45424</v>
      </c>
      <c r="B1363" s="2" t="s">
        <v>29</v>
      </c>
      <c r="C1363" s="2" t="s">
        <v>65</v>
      </c>
      <c r="D1363" s="2" t="s">
        <v>67</v>
      </c>
      <c r="E1363" s="2" t="s">
        <v>68</v>
      </c>
      <c r="F1363" s="2" t="s">
        <v>138</v>
      </c>
      <c r="G1363">
        <v>66</v>
      </c>
      <c r="H1363">
        <v>440</v>
      </c>
      <c r="I1363">
        <v>69</v>
      </c>
      <c r="J1363" s="3">
        <v>5632900</v>
      </c>
      <c r="K1363" s="3">
        <v>388670100</v>
      </c>
      <c r="L1363" s="2" t="s">
        <v>92</v>
      </c>
      <c r="M1363" s="2" t="s">
        <v>77</v>
      </c>
      <c r="N1363">
        <v>2024</v>
      </c>
      <c r="O1363" s="2" t="s">
        <v>143</v>
      </c>
      <c r="P1363" s="2" t="s">
        <v>145</v>
      </c>
      <c r="Q1363">
        <v>5</v>
      </c>
      <c r="R1363" s="4">
        <v>45413</v>
      </c>
      <c r="S1363" s="3">
        <v>5632900</v>
      </c>
      <c r="T1363" s="3">
        <v>38.869999999999997</v>
      </c>
    </row>
    <row r="1364" spans="1:20" x14ac:dyDescent="0.3">
      <c r="A1364" s="1">
        <v>45424</v>
      </c>
      <c r="B1364" s="2" t="s">
        <v>48</v>
      </c>
      <c r="C1364" s="2" t="s">
        <v>69</v>
      </c>
      <c r="D1364" s="2" t="s">
        <v>50</v>
      </c>
      <c r="E1364" s="2" t="s">
        <v>51</v>
      </c>
      <c r="F1364" s="2" t="s">
        <v>24</v>
      </c>
      <c r="G1364">
        <v>77</v>
      </c>
      <c r="H1364">
        <v>528</v>
      </c>
      <c r="I1364">
        <v>54</v>
      </c>
      <c r="J1364" s="3">
        <v>4499200</v>
      </c>
      <c r="K1364" s="3">
        <v>242956800</v>
      </c>
      <c r="L1364" s="2" t="s">
        <v>33</v>
      </c>
      <c r="M1364" s="2" t="s">
        <v>77</v>
      </c>
      <c r="N1364">
        <v>2024</v>
      </c>
      <c r="O1364" s="2" t="s">
        <v>143</v>
      </c>
      <c r="P1364" s="2" t="s">
        <v>145</v>
      </c>
      <c r="Q1364">
        <v>5</v>
      </c>
      <c r="R1364" s="4">
        <v>45413</v>
      </c>
      <c r="S1364" s="3">
        <v>4499200</v>
      </c>
      <c r="T1364" s="3">
        <v>24.3</v>
      </c>
    </row>
    <row r="1365" spans="1:20" x14ac:dyDescent="0.3">
      <c r="A1365" s="1">
        <v>45425</v>
      </c>
      <c r="B1365" s="2" t="s">
        <v>35</v>
      </c>
      <c r="C1365" s="2" t="s">
        <v>121</v>
      </c>
      <c r="D1365" s="2" t="s">
        <v>63</v>
      </c>
      <c r="E1365" s="2" t="s">
        <v>64</v>
      </c>
      <c r="F1365" s="2" t="s">
        <v>24</v>
      </c>
      <c r="G1365">
        <v>3</v>
      </c>
      <c r="H1365">
        <v>127</v>
      </c>
      <c r="I1365">
        <v>174</v>
      </c>
      <c r="J1365" s="3">
        <v>160800</v>
      </c>
      <c r="K1365" s="3">
        <v>27979200</v>
      </c>
      <c r="L1365" s="2" t="s">
        <v>33</v>
      </c>
      <c r="M1365" s="2" t="s">
        <v>34</v>
      </c>
      <c r="N1365">
        <v>2024</v>
      </c>
      <c r="O1365" s="2" t="s">
        <v>143</v>
      </c>
      <c r="P1365" s="2" t="s">
        <v>145</v>
      </c>
      <c r="Q1365">
        <v>5</v>
      </c>
      <c r="R1365" s="4">
        <v>45413</v>
      </c>
      <c r="S1365" s="3">
        <v>160800</v>
      </c>
      <c r="T1365" s="3">
        <v>2.8</v>
      </c>
    </row>
    <row r="1366" spans="1:20" x14ac:dyDescent="0.3">
      <c r="A1366" s="1">
        <v>45425</v>
      </c>
      <c r="B1366" s="2" t="s">
        <v>29</v>
      </c>
      <c r="C1366" s="2" t="s">
        <v>65</v>
      </c>
      <c r="D1366" s="2" t="s">
        <v>100</v>
      </c>
      <c r="E1366" s="2" t="s">
        <v>101</v>
      </c>
      <c r="F1366" s="2" t="s">
        <v>24</v>
      </c>
      <c r="G1366">
        <v>3</v>
      </c>
      <c r="H1366">
        <v>150</v>
      </c>
      <c r="I1366">
        <v>14</v>
      </c>
      <c r="J1366" s="3">
        <v>150600</v>
      </c>
      <c r="K1366" s="3">
        <v>2108400</v>
      </c>
      <c r="L1366" s="2" t="s">
        <v>33</v>
      </c>
      <c r="M1366" s="2" t="s">
        <v>77</v>
      </c>
      <c r="N1366">
        <v>2024</v>
      </c>
      <c r="O1366" s="2" t="s">
        <v>143</v>
      </c>
      <c r="P1366" s="2" t="s">
        <v>145</v>
      </c>
      <c r="Q1366">
        <v>5</v>
      </c>
      <c r="R1366" s="4">
        <v>45413</v>
      </c>
      <c r="S1366" s="3">
        <v>150600</v>
      </c>
      <c r="T1366" s="3">
        <v>0.21</v>
      </c>
    </row>
    <row r="1367" spans="1:20" x14ac:dyDescent="0.3">
      <c r="A1367" s="1">
        <v>45425</v>
      </c>
      <c r="B1367" s="2" t="s">
        <v>40</v>
      </c>
      <c r="C1367" s="2" t="s">
        <v>78</v>
      </c>
      <c r="D1367" s="2" t="s">
        <v>70</v>
      </c>
      <c r="E1367" s="2" t="s">
        <v>74</v>
      </c>
      <c r="F1367" s="2" t="s">
        <v>72</v>
      </c>
      <c r="G1367">
        <v>25</v>
      </c>
      <c r="H1367">
        <v>32</v>
      </c>
      <c r="I1367">
        <v>80</v>
      </c>
      <c r="J1367" s="3">
        <v>1011300</v>
      </c>
      <c r="K1367" s="3">
        <v>80904000</v>
      </c>
      <c r="L1367" s="2" t="s">
        <v>33</v>
      </c>
      <c r="M1367" s="2" t="s">
        <v>97</v>
      </c>
      <c r="N1367">
        <v>2024</v>
      </c>
      <c r="O1367" s="2" t="s">
        <v>143</v>
      </c>
      <c r="P1367" s="2" t="s">
        <v>145</v>
      </c>
      <c r="Q1367">
        <v>5</v>
      </c>
      <c r="R1367" s="4">
        <v>45413</v>
      </c>
      <c r="S1367" s="3">
        <v>1011300</v>
      </c>
      <c r="T1367" s="3">
        <v>8.09</v>
      </c>
    </row>
    <row r="1368" spans="1:20" x14ac:dyDescent="0.3">
      <c r="A1368" s="1">
        <v>45426</v>
      </c>
      <c r="B1368" s="2" t="s">
        <v>52</v>
      </c>
      <c r="C1368" s="2" t="s">
        <v>116</v>
      </c>
      <c r="D1368" s="2" t="s">
        <v>102</v>
      </c>
      <c r="E1368" s="2" t="s">
        <v>103</v>
      </c>
      <c r="F1368" s="2" t="s">
        <v>24</v>
      </c>
      <c r="G1368">
        <v>5</v>
      </c>
      <c r="H1368">
        <v>150</v>
      </c>
      <c r="I1368">
        <v>167</v>
      </c>
      <c r="J1368" s="3">
        <v>147000</v>
      </c>
      <c r="K1368" s="3">
        <v>24549000</v>
      </c>
      <c r="L1368" s="2" t="s">
        <v>33</v>
      </c>
      <c r="M1368" s="2" t="s">
        <v>34</v>
      </c>
      <c r="N1368">
        <v>2024</v>
      </c>
      <c r="O1368" s="2" t="s">
        <v>143</v>
      </c>
      <c r="P1368" s="2" t="s">
        <v>145</v>
      </c>
      <c r="Q1368">
        <v>5</v>
      </c>
      <c r="R1368" s="4">
        <v>45413</v>
      </c>
      <c r="S1368" s="3">
        <v>147000</v>
      </c>
      <c r="T1368" s="3">
        <v>2.4500000000000002</v>
      </c>
    </row>
    <row r="1369" spans="1:20" x14ac:dyDescent="0.3">
      <c r="A1369" s="1">
        <v>45426</v>
      </c>
      <c r="B1369" s="2" t="s">
        <v>59</v>
      </c>
      <c r="C1369" s="2" t="s">
        <v>135</v>
      </c>
      <c r="D1369" s="2" t="s">
        <v>22</v>
      </c>
      <c r="E1369" s="2" t="s">
        <v>23</v>
      </c>
      <c r="F1369" s="2" t="s">
        <v>72</v>
      </c>
      <c r="G1369">
        <v>82</v>
      </c>
      <c r="H1369">
        <v>520</v>
      </c>
      <c r="I1369">
        <v>47</v>
      </c>
      <c r="J1369" s="3">
        <v>6075500</v>
      </c>
      <c r="K1369" s="3">
        <v>285548500</v>
      </c>
      <c r="L1369" s="2" t="s">
        <v>33</v>
      </c>
      <c r="M1369" s="2" t="s">
        <v>77</v>
      </c>
      <c r="N1369">
        <v>2024</v>
      </c>
      <c r="O1369" s="2" t="s">
        <v>143</v>
      </c>
      <c r="P1369" s="2" t="s">
        <v>145</v>
      </c>
      <c r="Q1369">
        <v>5</v>
      </c>
      <c r="R1369" s="4">
        <v>45413</v>
      </c>
      <c r="S1369" s="3">
        <v>6075500</v>
      </c>
      <c r="T1369" s="3">
        <v>28.55</v>
      </c>
    </row>
    <row r="1370" spans="1:20" x14ac:dyDescent="0.3">
      <c r="A1370" s="1">
        <v>45427</v>
      </c>
      <c r="B1370" s="2" t="s">
        <v>46</v>
      </c>
      <c r="C1370" s="2" t="s">
        <v>137</v>
      </c>
      <c r="D1370" s="2" t="s">
        <v>37</v>
      </c>
      <c r="E1370" s="2" t="s">
        <v>38</v>
      </c>
      <c r="F1370" s="2" t="s">
        <v>24</v>
      </c>
      <c r="G1370">
        <v>66</v>
      </c>
      <c r="H1370">
        <v>423</v>
      </c>
      <c r="I1370">
        <v>66</v>
      </c>
      <c r="J1370" s="3">
        <v>8039800</v>
      </c>
      <c r="K1370" s="3">
        <v>530626800</v>
      </c>
      <c r="L1370" s="2" t="s">
        <v>33</v>
      </c>
      <c r="M1370" s="2" t="s">
        <v>26</v>
      </c>
      <c r="N1370">
        <v>2024</v>
      </c>
      <c r="O1370" s="2" t="s">
        <v>143</v>
      </c>
      <c r="P1370" s="2" t="s">
        <v>145</v>
      </c>
      <c r="Q1370">
        <v>5</v>
      </c>
      <c r="R1370" s="4">
        <v>45413</v>
      </c>
      <c r="S1370" s="3">
        <v>8039800</v>
      </c>
      <c r="T1370" s="3">
        <v>53.06</v>
      </c>
    </row>
    <row r="1371" spans="1:20" x14ac:dyDescent="0.3">
      <c r="A1371" s="1">
        <v>45427</v>
      </c>
      <c r="B1371" s="2" t="s">
        <v>46</v>
      </c>
      <c r="C1371" s="2" t="s">
        <v>56</v>
      </c>
      <c r="D1371" s="2" t="s">
        <v>50</v>
      </c>
      <c r="E1371" s="2" t="s">
        <v>51</v>
      </c>
      <c r="F1371" s="2" t="s">
        <v>24</v>
      </c>
      <c r="G1371">
        <v>77</v>
      </c>
      <c r="H1371">
        <v>528</v>
      </c>
      <c r="I1371">
        <v>26</v>
      </c>
      <c r="J1371" s="3">
        <v>4327400</v>
      </c>
      <c r="K1371" s="3">
        <v>112512400</v>
      </c>
      <c r="L1371" s="2" t="s">
        <v>33</v>
      </c>
      <c r="M1371" s="2" t="s">
        <v>77</v>
      </c>
      <c r="N1371">
        <v>2024</v>
      </c>
      <c r="O1371" s="2" t="s">
        <v>143</v>
      </c>
      <c r="P1371" s="2" t="s">
        <v>145</v>
      </c>
      <c r="Q1371">
        <v>5</v>
      </c>
      <c r="R1371" s="4">
        <v>45413</v>
      </c>
      <c r="S1371" s="3">
        <v>4327400</v>
      </c>
      <c r="T1371" s="3">
        <v>11.25</v>
      </c>
    </row>
    <row r="1372" spans="1:20" x14ac:dyDescent="0.3">
      <c r="A1372" s="1">
        <v>45427</v>
      </c>
      <c r="B1372" s="2" t="s">
        <v>40</v>
      </c>
      <c r="C1372" s="2" t="s">
        <v>105</v>
      </c>
      <c r="D1372" s="2" t="s">
        <v>42</v>
      </c>
      <c r="E1372" s="2" t="s">
        <v>43</v>
      </c>
      <c r="F1372" s="2" t="s">
        <v>24</v>
      </c>
      <c r="G1372">
        <v>3</v>
      </c>
      <c r="H1372">
        <v>135</v>
      </c>
      <c r="I1372">
        <v>136</v>
      </c>
      <c r="J1372" s="3">
        <v>128400</v>
      </c>
      <c r="K1372" s="3">
        <v>17462400</v>
      </c>
      <c r="L1372" s="2" t="s">
        <v>33</v>
      </c>
      <c r="M1372" s="2" t="s">
        <v>77</v>
      </c>
      <c r="N1372">
        <v>2024</v>
      </c>
      <c r="O1372" s="2" t="s">
        <v>143</v>
      </c>
      <c r="P1372" s="2" t="s">
        <v>145</v>
      </c>
      <c r="Q1372">
        <v>5</v>
      </c>
      <c r="R1372" s="4">
        <v>45413</v>
      </c>
      <c r="S1372" s="3">
        <v>128400</v>
      </c>
      <c r="T1372" s="3">
        <v>1.75</v>
      </c>
    </row>
    <row r="1373" spans="1:20" x14ac:dyDescent="0.3">
      <c r="A1373" s="1">
        <v>45428</v>
      </c>
      <c r="B1373" s="2" t="s">
        <v>40</v>
      </c>
      <c r="C1373" s="2" t="s">
        <v>136</v>
      </c>
      <c r="D1373" s="2" t="s">
        <v>100</v>
      </c>
      <c r="E1373" s="2" t="s">
        <v>101</v>
      </c>
      <c r="F1373" s="2" t="s">
        <v>24</v>
      </c>
      <c r="G1373">
        <v>3</v>
      </c>
      <c r="H1373">
        <v>150</v>
      </c>
      <c r="I1373">
        <v>171</v>
      </c>
      <c r="J1373" s="3">
        <v>149100</v>
      </c>
      <c r="K1373" s="3">
        <v>25496100</v>
      </c>
      <c r="L1373" s="2" t="s">
        <v>33</v>
      </c>
      <c r="M1373" s="2" t="s">
        <v>26</v>
      </c>
      <c r="N1373">
        <v>2024</v>
      </c>
      <c r="O1373" s="2" t="s">
        <v>143</v>
      </c>
      <c r="P1373" s="2" t="s">
        <v>145</v>
      </c>
      <c r="Q1373">
        <v>5</v>
      </c>
      <c r="R1373" s="4">
        <v>45413</v>
      </c>
      <c r="S1373" s="3">
        <v>149100</v>
      </c>
      <c r="T1373" s="3">
        <v>2.5499999999999998</v>
      </c>
    </row>
    <row r="1374" spans="1:20" x14ac:dyDescent="0.3">
      <c r="A1374" s="1">
        <v>45428</v>
      </c>
      <c r="B1374" s="2" t="s">
        <v>40</v>
      </c>
      <c r="C1374" s="2" t="s">
        <v>78</v>
      </c>
      <c r="D1374" s="2" t="s">
        <v>100</v>
      </c>
      <c r="E1374" s="2" t="s">
        <v>101</v>
      </c>
      <c r="F1374" s="2" t="s">
        <v>24</v>
      </c>
      <c r="G1374">
        <v>3</v>
      </c>
      <c r="H1374">
        <v>150</v>
      </c>
      <c r="I1374">
        <v>31</v>
      </c>
      <c r="J1374" s="3">
        <v>150300</v>
      </c>
      <c r="K1374" s="3">
        <v>4659300</v>
      </c>
      <c r="L1374" s="2" t="s">
        <v>25</v>
      </c>
      <c r="M1374" s="2" t="s">
        <v>77</v>
      </c>
      <c r="N1374">
        <v>2024</v>
      </c>
      <c r="O1374" s="2" t="s">
        <v>143</v>
      </c>
      <c r="P1374" s="2" t="s">
        <v>145</v>
      </c>
      <c r="Q1374">
        <v>5</v>
      </c>
      <c r="R1374" s="4">
        <v>45413</v>
      </c>
      <c r="S1374" s="3">
        <v>150300</v>
      </c>
      <c r="T1374" s="3">
        <v>0.47</v>
      </c>
    </row>
    <row r="1375" spans="1:20" x14ac:dyDescent="0.3">
      <c r="A1375" s="1">
        <v>45428</v>
      </c>
      <c r="B1375" s="2" t="s">
        <v>106</v>
      </c>
      <c r="C1375" s="2" t="s">
        <v>107</v>
      </c>
      <c r="D1375" s="2" t="s">
        <v>54</v>
      </c>
      <c r="E1375" s="2" t="s">
        <v>55</v>
      </c>
      <c r="F1375" s="2" t="s">
        <v>24</v>
      </c>
      <c r="G1375">
        <v>30</v>
      </c>
      <c r="H1375">
        <v>320</v>
      </c>
      <c r="I1375">
        <v>4</v>
      </c>
      <c r="J1375" s="3">
        <v>1496500</v>
      </c>
      <c r="K1375" s="3">
        <v>5986000</v>
      </c>
      <c r="L1375" s="2" t="s">
        <v>33</v>
      </c>
      <c r="M1375" s="2" t="s">
        <v>77</v>
      </c>
      <c r="N1375">
        <v>2024</v>
      </c>
      <c r="O1375" s="2" t="s">
        <v>143</v>
      </c>
      <c r="P1375" s="2" t="s">
        <v>145</v>
      </c>
      <c r="Q1375">
        <v>5</v>
      </c>
      <c r="R1375" s="4">
        <v>45413</v>
      </c>
      <c r="S1375" s="3">
        <v>1496500</v>
      </c>
      <c r="T1375" s="3">
        <v>0.6</v>
      </c>
    </row>
    <row r="1376" spans="1:20" x14ac:dyDescent="0.3">
      <c r="A1376" s="1">
        <v>45428</v>
      </c>
      <c r="B1376" s="2" t="s">
        <v>40</v>
      </c>
      <c r="C1376" s="2" t="s">
        <v>41</v>
      </c>
      <c r="D1376" s="2" t="s">
        <v>79</v>
      </c>
      <c r="E1376" s="2" t="s">
        <v>80</v>
      </c>
      <c r="F1376" s="2" t="s">
        <v>24</v>
      </c>
      <c r="G1376">
        <v>69</v>
      </c>
      <c r="H1376">
        <v>418</v>
      </c>
      <c r="I1376">
        <v>32</v>
      </c>
      <c r="J1376" s="3">
        <v>4894400</v>
      </c>
      <c r="K1376" s="3">
        <v>156620800</v>
      </c>
      <c r="L1376" s="2" t="s">
        <v>25</v>
      </c>
      <c r="M1376" s="2" t="s">
        <v>26</v>
      </c>
      <c r="N1376">
        <v>2024</v>
      </c>
      <c r="O1376" s="2" t="s">
        <v>143</v>
      </c>
      <c r="P1376" s="2" t="s">
        <v>145</v>
      </c>
      <c r="Q1376">
        <v>5</v>
      </c>
      <c r="R1376" s="4">
        <v>45413</v>
      </c>
      <c r="S1376" s="3">
        <v>4894400</v>
      </c>
      <c r="T1376" s="3">
        <v>15.66</v>
      </c>
    </row>
    <row r="1377" spans="1:20" x14ac:dyDescent="0.3">
      <c r="A1377" s="1">
        <v>45428</v>
      </c>
      <c r="B1377" s="2" t="s">
        <v>108</v>
      </c>
      <c r="C1377" s="2" t="s">
        <v>131</v>
      </c>
      <c r="D1377" s="2" t="s">
        <v>88</v>
      </c>
      <c r="E1377" s="2" t="s">
        <v>89</v>
      </c>
      <c r="F1377" s="2" t="s">
        <v>24</v>
      </c>
      <c r="G1377">
        <v>82</v>
      </c>
      <c r="H1377">
        <v>580</v>
      </c>
      <c r="I1377">
        <v>46</v>
      </c>
      <c r="J1377" s="3">
        <v>4922500</v>
      </c>
      <c r="K1377" s="3">
        <v>226435000</v>
      </c>
      <c r="L1377" s="2" t="s">
        <v>33</v>
      </c>
      <c r="M1377" s="2" t="s">
        <v>26</v>
      </c>
      <c r="N1377">
        <v>2024</v>
      </c>
      <c r="O1377" s="2" t="s">
        <v>143</v>
      </c>
      <c r="P1377" s="2" t="s">
        <v>145</v>
      </c>
      <c r="Q1377">
        <v>5</v>
      </c>
      <c r="R1377" s="4">
        <v>45413</v>
      </c>
      <c r="S1377" s="3">
        <v>4922500</v>
      </c>
      <c r="T1377" s="3">
        <v>22.64</v>
      </c>
    </row>
    <row r="1378" spans="1:20" x14ac:dyDescent="0.3">
      <c r="A1378" s="1">
        <v>45428</v>
      </c>
      <c r="B1378" s="2" t="s">
        <v>44</v>
      </c>
      <c r="C1378" s="2" t="s">
        <v>117</v>
      </c>
      <c r="D1378" s="2" t="s">
        <v>102</v>
      </c>
      <c r="E1378" s="2" t="s">
        <v>103</v>
      </c>
      <c r="F1378" s="2" t="s">
        <v>24</v>
      </c>
      <c r="G1378">
        <v>5</v>
      </c>
      <c r="H1378">
        <v>150</v>
      </c>
      <c r="I1378">
        <v>108</v>
      </c>
      <c r="J1378" s="3">
        <v>183300</v>
      </c>
      <c r="K1378" s="3">
        <v>19796400</v>
      </c>
      <c r="L1378" s="2" t="s">
        <v>33</v>
      </c>
      <c r="M1378" s="2" t="s">
        <v>26</v>
      </c>
      <c r="N1378">
        <v>2024</v>
      </c>
      <c r="O1378" s="2" t="s">
        <v>143</v>
      </c>
      <c r="P1378" s="2" t="s">
        <v>145</v>
      </c>
      <c r="Q1378">
        <v>5</v>
      </c>
      <c r="R1378" s="4">
        <v>45413</v>
      </c>
      <c r="S1378" s="3">
        <v>183300</v>
      </c>
      <c r="T1378" s="3">
        <v>1.98</v>
      </c>
    </row>
    <row r="1379" spans="1:20" x14ac:dyDescent="0.3">
      <c r="A1379" s="1">
        <v>45429</v>
      </c>
      <c r="B1379" s="2" t="s">
        <v>35</v>
      </c>
      <c r="C1379" s="2" t="s">
        <v>36</v>
      </c>
      <c r="D1379" s="2" t="s">
        <v>22</v>
      </c>
      <c r="E1379" s="2" t="s">
        <v>23</v>
      </c>
      <c r="F1379" s="2" t="s">
        <v>39</v>
      </c>
      <c r="G1379">
        <v>82</v>
      </c>
      <c r="H1379">
        <v>520</v>
      </c>
      <c r="I1379">
        <v>53</v>
      </c>
      <c r="J1379" s="3">
        <v>7422000</v>
      </c>
      <c r="K1379" s="3">
        <v>393366000</v>
      </c>
      <c r="L1379" s="2" t="s">
        <v>25</v>
      </c>
      <c r="M1379" s="2" t="s">
        <v>26</v>
      </c>
      <c r="N1379">
        <v>2024</v>
      </c>
      <c r="O1379" s="2" t="s">
        <v>143</v>
      </c>
      <c r="P1379" s="2" t="s">
        <v>145</v>
      </c>
      <c r="Q1379">
        <v>5</v>
      </c>
      <c r="R1379" s="4">
        <v>45413</v>
      </c>
      <c r="S1379" s="3">
        <v>7422000</v>
      </c>
      <c r="T1379" s="3">
        <v>39.340000000000003</v>
      </c>
    </row>
    <row r="1380" spans="1:20" x14ac:dyDescent="0.3">
      <c r="A1380" s="1">
        <v>45429</v>
      </c>
      <c r="B1380" s="2" t="s">
        <v>40</v>
      </c>
      <c r="C1380" s="2" t="s">
        <v>41</v>
      </c>
      <c r="D1380" s="2" t="s">
        <v>70</v>
      </c>
      <c r="E1380" s="2" t="s">
        <v>71</v>
      </c>
      <c r="F1380" s="2" t="s">
        <v>24</v>
      </c>
      <c r="G1380">
        <v>50</v>
      </c>
      <c r="H1380">
        <v>46</v>
      </c>
      <c r="I1380">
        <v>105</v>
      </c>
      <c r="J1380" s="3">
        <v>2247800</v>
      </c>
      <c r="K1380" s="3">
        <v>236019000</v>
      </c>
      <c r="L1380" s="2" t="s">
        <v>33</v>
      </c>
      <c r="M1380" s="2" t="s">
        <v>26</v>
      </c>
      <c r="N1380">
        <v>2024</v>
      </c>
      <c r="O1380" s="2" t="s">
        <v>143</v>
      </c>
      <c r="P1380" s="2" t="s">
        <v>145</v>
      </c>
      <c r="Q1380">
        <v>5</v>
      </c>
      <c r="R1380" s="4">
        <v>45413</v>
      </c>
      <c r="S1380" s="3">
        <v>2247800</v>
      </c>
      <c r="T1380" s="3">
        <v>23.6</v>
      </c>
    </row>
    <row r="1381" spans="1:20" x14ac:dyDescent="0.3">
      <c r="A1381" s="1">
        <v>45429</v>
      </c>
      <c r="B1381" s="2" t="s">
        <v>84</v>
      </c>
      <c r="C1381" s="2" t="s">
        <v>85</v>
      </c>
      <c r="D1381" s="2" t="s">
        <v>70</v>
      </c>
      <c r="E1381" s="2" t="s">
        <v>74</v>
      </c>
      <c r="F1381" s="2" t="s">
        <v>39</v>
      </c>
      <c r="G1381">
        <v>25</v>
      </c>
      <c r="H1381">
        <v>32</v>
      </c>
      <c r="I1381">
        <v>54</v>
      </c>
      <c r="J1381" s="3">
        <v>1147600</v>
      </c>
      <c r="K1381" s="3">
        <v>61970400</v>
      </c>
      <c r="L1381" s="2" t="s">
        <v>25</v>
      </c>
      <c r="M1381" s="2" t="s">
        <v>26</v>
      </c>
      <c r="N1381">
        <v>2024</v>
      </c>
      <c r="O1381" s="2" t="s">
        <v>143</v>
      </c>
      <c r="P1381" s="2" t="s">
        <v>145</v>
      </c>
      <c r="Q1381">
        <v>5</v>
      </c>
      <c r="R1381" s="4">
        <v>45413</v>
      </c>
      <c r="S1381" s="3">
        <v>1147600</v>
      </c>
      <c r="T1381" s="3">
        <v>6.2</v>
      </c>
    </row>
    <row r="1382" spans="1:20" x14ac:dyDescent="0.3">
      <c r="A1382" s="1">
        <v>45430</v>
      </c>
      <c r="B1382" s="2" t="s">
        <v>35</v>
      </c>
      <c r="C1382" s="2" t="s">
        <v>132</v>
      </c>
      <c r="D1382" s="2" t="s">
        <v>94</v>
      </c>
      <c r="E1382" s="2" t="s">
        <v>140</v>
      </c>
      <c r="F1382" s="2" t="s">
        <v>24</v>
      </c>
      <c r="G1382">
        <v>35</v>
      </c>
      <c r="H1382">
        <v>32</v>
      </c>
      <c r="I1382">
        <v>32</v>
      </c>
      <c r="J1382" s="3">
        <v>1837200</v>
      </c>
      <c r="K1382" s="3">
        <v>58790400</v>
      </c>
      <c r="L1382" s="2" t="s">
        <v>33</v>
      </c>
      <c r="M1382" s="2" t="s">
        <v>26</v>
      </c>
      <c r="N1382">
        <v>2024</v>
      </c>
      <c r="O1382" s="2" t="s">
        <v>143</v>
      </c>
      <c r="P1382" s="2" t="s">
        <v>145</v>
      </c>
      <c r="Q1382">
        <v>5</v>
      </c>
      <c r="R1382" s="4">
        <v>45413</v>
      </c>
      <c r="S1382" s="3">
        <v>1837200</v>
      </c>
      <c r="T1382" s="3">
        <v>5.88</v>
      </c>
    </row>
    <row r="1383" spans="1:20" x14ac:dyDescent="0.3">
      <c r="A1383" s="1">
        <v>45431</v>
      </c>
      <c r="B1383" s="2" t="s">
        <v>84</v>
      </c>
      <c r="C1383" s="2" t="s">
        <v>113</v>
      </c>
      <c r="D1383" s="2" t="s">
        <v>79</v>
      </c>
      <c r="E1383" s="2" t="s">
        <v>80</v>
      </c>
      <c r="F1383" s="2" t="s">
        <v>39</v>
      </c>
      <c r="G1383">
        <v>69</v>
      </c>
      <c r="H1383">
        <v>418</v>
      </c>
      <c r="I1383">
        <v>39</v>
      </c>
      <c r="J1383" s="3">
        <v>5997900</v>
      </c>
      <c r="K1383" s="3">
        <v>233918100</v>
      </c>
      <c r="L1383" s="2" t="s">
        <v>33</v>
      </c>
      <c r="M1383" s="2" t="s">
        <v>26</v>
      </c>
      <c r="N1383">
        <v>2024</v>
      </c>
      <c r="O1383" s="2" t="s">
        <v>143</v>
      </c>
      <c r="P1383" s="2" t="s">
        <v>145</v>
      </c>
      <c r="Q1383">
        <v>5</v>
      </c>
      <c r="R1383" s="4">
        <v>45413</v>
      </c>
      <c r="S1383" s="3">
        <v>5997900</v>
      </c>
      <c r="T1383" s="3">
        <v>23.39</v>
      </c>
    </row>
    <row r="1384" spans="1:20" x14ac:dyDescent="0.3">
      <c r="A1384" s="1">
        <v>45432</v>
      </c>
      <c r="B1384" s="2" t="s">
        <v>90</v>
      </c>
      <c r="C1384" s="2" t="s">
        <v>128</v>
      </c>
      <c r="D1384" s="2" t="s">
        <v>70</v>
      </c>
      <c r="E1384" s="2" t="s">
        <v>74</v>
      </c>
      <c r="F1384" s="2" t="s">
        <v>24</v>
      </c>
      <c r="G1384">
        <v>25</v>
      </c>
      <c r="H1384">
        <v>32</v>
      </c>
      <c r="I1384">
        <v>157</v>
      </c>
      <c r="J1384" s="3">
        <v>1201800</v>
      </c>
      <c r="K1384" s="3">
        <v>188682600</v>
      </c>
      <c r="L1384" s="2" t="s">
        <v>25</v>
      </c>
      <c r="M1384" s="2" t="s">
        <v>26</v>
      </c>
      <c r="N1384">
        <v>2024</v>
      </c>
      <c r="O1384" s="2" t="s">
        <v>143</v>
      </c>
      <c r="P1384" s="2" t="s">
        <v>145</v>
      </c>
      <c r="Q1384">
        <v>5</v>
      </c>
      <c r="R1384" s="4">
        <v>45413</v>
      </c>
      <c r="S1384" s="3">
        <v>1201800</v>
      </c>
      <c r="T1384" s="3">
        <v>18.87</v>
      </c>
    </row>
    <row r="1385" spans="1:20" x14ac:dyDescent="0.3">
      <c r="A1385" s="1">
        <v>45432</v>
      </c>
      <c r="B1385" s="2" t="s">
        <v>84</v>
      </c>
      <c r="C1385" s="2" t="s">
        <v>93</v>
      </c>
      <c r="D1385" s="2" t="s">
        <v>63</v>
      </c>
      <c r="E1385" s="2" t="s">
        <v>64</v>
      </c>
      <c r="F1385" s="2" t="s">
        <v>24</v>
      </c>
      <c r="G1385">
        <v>3</v>
      </c>
      <c r="H1385">
        <v>127</v>
      </c>
      <c r="I1385">
        <v>123</v>
      </c>
      <c r="J1385" s="3">
        <v>159900</v>
      </c>
      <c r="K1385" s="3">
        <v>19667700</v>
      </c>
      <c r="L1385" s="2" t="s">
        <v>33</v>
      </c>
      <c r="M1385" s="2" t="s">
        <v>77</v>
      </c>
      <c r="N1385">
        <v>2024</v>
      </c>
      <c r="O1385" s="2" t="s">
        <v>143</v>
      </c>
      <c r="P1385" s="2" t="s">
        <v>145</v>
      </c>
      <c r="Q1385">
        <v>5</v>
      </c>
      <c r="R1385" s="4">
        <v>45413</v>
      </c>
      <c r="S1385" s="3">
        <v>159900</v>
      </c>
      <c r="T1385" s="3">
        <v>1.97</v>
      </c>
    </row>
    <row r="1386" spans="1:20" x14ac:dyDescent="0.3">
      <c r="A1386" s="1">
        <v>45432</v>
      </c>
      <c r="B1386" s="2" t="s">
        <v>106</v>
      </c>
      <c r="C1386" s="2" t="s">
        <v>120</v>
      </c>
      <c r="D1386" s="2" t="s">
        <v>63</v>
      </c>
      <c r="E1386" s="2" t="s">
        <v>64</v>
      </c>
      <c r="F1386" s="2" t="s">
        <v>24</v>
      </c>
      <c r="G1386">
        <v>3</v>
      </c>
      <c r="H1386">
        <v>127</v>
      </c>
      <c r="I1386">
        <v>40</v>
      </c>
      <c r="J1386" s="3">
        <v>181000</v>
      </c>
      <c r="K1386" s="3">
        <v>7240000</v>
      </c>
      <c r="L1386" s="2" t="s">
        <v>33</v>
      </c>
      <c r="M1386" s="2" t="s">
        <v>34</v>
      </c>
      <c r="N1386">
        <v>2024</v>
      </c>
      <c r="O1386" s="2" t="s">
        <v>143</v>
      </c>
      <c r="P1386" s="2" t="s">
        <v>145</v>
      </c>
      <c r="Q1386">
        <v>5</v>
      </c>
      <c r="R1386" s="4">
        <v>45413</v>
      </c>
      <c r="S1386" s="3">
        <v>181000</v>
      </c>
      <c r="T1386" s="3">
        <v>0.72</v>
      </c>
    </row>
    <row r="1387" spans="1:20" x14ac:dyDescent="0.3">
      <c r="A1387" s="1">
        <v>45433</v>
      </c>
      <c r="B1387" s="2" t="s">
        <v>44</v>
      </c>
      <c r="C1387" s="2" t="s">
        <v>117</v>
      </c>
      <c r="D1387" s="2" t="s">
        <v>54</v>
      </c>
      <c r="E1387" s="2" t="s">
        <v>55</v>
      </c>
      <c r="F1387" s="2" t="s">
        <v>24</v>
      </c>
      <c r="G1387">
        <v>30</v>
      </c>
      <c r="H1387">
        <v>320</v>
      </c>
      <c r="I1387">
        <v>33</v>
      </c>
      <c r="J1387" s="3">
        <v>1690800</v>
      </c>
      <c r="K1387" s="3">
        <v>55796400</v>
      </c>
      <c r="L1387" s="2" t="s">
        <v>33</v>
      </c>
      <c r="M1387" s="2" t="s">
        <v>77</v>
      </c>
      <c r="N1387">
        <v>2024</v>
      </c>
      <c r="O1387" s="2" t="s">
        <v>143</v>
      </c>
      <c r="P1387" s="2" t="s">
        <v>145</v>
      </c>
      <c r="Q1387">
        <v>5</v>
      </c>
      <c r="R1387" s="4">
        <v>45413</v>
      </c>
      <c r="S1387" s="3">
        <v>1690800</v>
      </c>
      <c r="T1387" s="3">
        <v>5.58</v>
      </c>
    </row>
    <row r="1388" spans="1:20" x14ac:dyDescent="0.3">
      <c r="A1388" s="1">
        <v>45433</v>
      </c>
      <c r="B1388" s="2" t="s">
        <v>48</v>
      </c>
      <c r="C1388" s="2" t="s">
        <v>73</v>
      </c>
      <c r="D1388" s="2" t="s">
        <v>79</v>
      </c>
      <c r="E1388" s="2" t="s">
        <v>80</v>
      </c>
      <c r="F1388" s="2" t="s">
        <v>39</v>
      </c>
      <c r="G1388">
        <v>69</v>
      </c>
      <c r="H1388">
        <v>418</v>
      </c>
      <c r="I1388">
        <v>16</v>
      </c>
      <c r="J1388" s="3">
        <v>5558600</v>
      </c>
      <c r="K1388" s="3">
        <v>88937600</v>
      </c>
      <c r="L1388" s="2" t="s">
        <v>25</v>
      </c>
      <c r="M1388" s="2" t="s">
        <v>26</v>
      </c>
      <c r="N1388">
        <v>2024</v>
      </c>
      <c r="O1388" s="2" t="s">
        <v>143</v>
      </c>
      <c r="P1388" s="2" t="s">
        <v>145</v>
      </c>
      <c r="Q1388">
        <v>5</v>
      </c>
      <c r="R1388" s="4">
        <v>45413</v>
      </c>
      <c r="S1388" s="3">
        <v>5558600</v>
      </c>
      <c r="T1388" s="3">
        <v>8.89</v>
      </c>
    </row>
    <row r="1389" spans="1:20" x14ac:dyDescent="0.3">
      <c r="A1389" s="1">
        <v>45434</v>
      </c>
      <c r="B1389" s="2" t="s">
        <v>90</v>
      </c>
      <c r="C1389" s="2" t="s">
        <v>128</v>
      </c>
      <c r="D1389" s="2" t="s">
        <v>57</v>
      </c>
      <c r="E1389" s="2" t="s">
        <v>58</v>
      </c>
      <c r="F1389" s="2" t="s">
        <v>24</v>
      </c>
      <c r="G1389">
        <v>72</v>
      </c>
      <c r="H1389">
        <v>488</v>
      </c>
      <c r="I1389">
        <v>70</v>
      </c>
      <c r="J1389" s="3">
        <v>4549500</v>
      </c>
      <c r="K1389" s="3">
        <v>318465000</v>
      </c>
      <c r="L1389" s="2" t="s">
        <v>33</v>
      </c>
      <c r="M1389" s="2" t="s">
        <v>26</v>
      </c>
      <c r="N1389">
        <v>2024</v>
      </c>
      <c r="O1389" s="2" t="s">
        <v>143</v>
      </c>
      <c r="P1389" s="2" t="s">
        <v>145</v>
      </c>
      <c r="Q1389">
        <v>5</v>
      </c>
      <c r="R1389" s="4">
        <v>45413</v>
      </c>
      <c r="S1389" s="3">
        <v>4549500</v>
      </c>
      <c r="T1389" s="3">
        <v>31.85</v>
      </c>
    </row>
    <row r="1390" spans="1:20" x14ac:dyDescent="0.3">
      <c r="A1390" s="1">
        <v>45435</v>
      </c>
      <c r="B1390" s="2" t="s">
        <v>61</v>
      </c>
      <c r="C1390" s="2" t="s">
        <v>147</v>
      </c>
      <c r="D1390" s="2" t="s">
        <v>102</v>
      </c>
      <c r="E1390" s="2" t="s">
        <v>103</v>
      </c>
      <c r="F1390" s="2" t="s">
        <v>24</v>
      </c>
      <c r="G1390">
        <v>5</v>
      </c>
      <c r="H1390">
        <v>150</v>
      </c>
      <c r="I1390">
        <v>161</v>
      </c>
      <c r="J1390" s="3">
        <v>155000</v>
      </c>
      <c r="K1390" s="3">
        <v>24955000</v>
      </c>
      <c r="L1390" s="2" t="s">
        <v>33</v>
      </c>
      <c r="M1390" s="2" t="s">
        <v>26</v>
      </c>
      <c r="N1390">
        <v>2024</v>
      </c>
      <c r="O1390" s="2" t="s">
        <v>143</v>
      </c>
      <c r="P1390" s="2" t="s">
        <v>145</v>
      </c>
      <c r="Q1390">
        <v>5</v>
      </c>
      <c r="R1390" s="4">
        <v>45413</v>
      </c>
      <c r="S1390" s="3">
        <v>155000</v>
      </c>
      <c r="T1390" s="3">
        <v>2.5</v>
      </c>
    </row>
    <row r="1391" spans="1:20" x14ac:dyDescent="0.3">
      <c r="A1391" s="1">
        <v>45435</v>
      </c>
      <c r="B1391" s="2" t="s">
        <v>40</v>
      </c>
      <c r="C1391" s="2" t="s">
        <v>78</v>
      </c>
      <c r="D1391" s="2" t="s">
        <v>54</v>
      </c>
      <c r="E1391" s="2" t="s">
        <v>55</v>
      </c>
      <c r="F1391" s="2" t="s">
        <v>24</v>
      </c>
      <c r="G1391">
        <v>30</v>
      </c>
      <c r="H1391">
        <v>320</v>
      </c>
      <c r="I1391">
        <v>78</v>
      </c>
      <c r="J1391" s="3">
        <v>1436800</v>
      </c>
      <c r="K1391" s="3">
        <v>112070400</v>
      </c>
      <c r="L1391" s="2" t="s">
        <v>33</v>
      </c>
      <c r="M1391" s="2" t="s">
        <v>34</v>
      </c>
      <c r="N1391">
        <v>2024</v>
      </c>
      <c r="O1391" s="2" t="s">
        <v>143</v>
      </c>
      <c r="P1391" s="2" t="s">
        <v>145</v>
      </c>
      <c r="Q1391">
        <v>5</v>
      </c>
      <c r="R1391" s="4">
        <v>45413</v>
      </c>
      <c r="S1391" s="3">
        <v>1436800</v>
      </c>
      <c r="T1391" s="3">
        <v>11.21</v>
      </c>
    </row>
    <row r="1392" spans="1:20" x14ac:dyDescent="0.3">
      <c r="A1392" s="1">
        <v>45437</v>
      </c>
      <c r="B1392" s="2" t="s">
        <v>90</v>
      </c>
      <c r="C1392" s="2" t="s">
        <v>114</v>
      </c>
      <c r="D1392" s="2" t="s">
        <v>102</v>
      </c>
      <c r="E1392" s="2" t="s">
        <v>103</v>
      </c>
      <c r="F1392" s="2" t="s">
        <v>24</v>
      </c>
      <c r="G1392">
        <v>5</v>
      </c>
      <c r="H1392">
        <v>150</v>
      </c>
      <c r="I1392">
        <v>18</v>
      </c>
      <c r="J1392" s="3">
        <v>188800</v>
      </c>
      <c r="K1392" s="3">
        <v>3398400</v>
      </c>
      <c r="L1392" s="2" t="s">
        <v>25</v>
      </c>
      <c r="M1392" s="2" t="s">
        <v>26</v>
      </c>
      <c r="N1392">
        <v>2024</v>
      </c>
      <c r="O1392" s="2" t="s">
        <v>143</v>
      </c>
      <c r="P1392" s="2" t="s">
        <v>145</v>
      </c>
      <c r="Q1392">
        <v>5</v>
      </c>
      <c r="R1392" s="4">
        <v>45413</v>
      </c>
      <c r="S1392" s="3">
        <v>188800</v>
      </c>
      <c r="T1392" s="3">
        <v>0.34</v>
      </c>
    </row>
    <row r="1393" spans="1:20" x14ac:dyDescent="0.3">
      <c r="A1393" s="1">
        <v>45437</v>
      </c>
      <c r="B1393" s="2" t="s">
        <v>20</v>
      </c>
      <c r="C1393" s="2" t="s">
        <v>112</v>
      </c>
      <c r="D1393" s="2" t="s">
        <v>82</v>
      </c>
      <c r="E1393" s="2" t="s">
        <v>141</v>
      </c>
      <c r="F1393" s="2" t="s">
        <v>24</v>
      </c>
      <c r="G1393">
        <v>59</v>
      </c>
      <c r="H1393">
        <v>55</v>
      </c>
      <c r="I1393">
        <v>74</v>
      </c>
      <c r="J1393" s="3">
        <v>2898400</v>
      </c>
      <c r="K1393" s="3">
        <v>214481600</v>
      </c>
      <c r="L1393" s="2" t="s">
        <v>33</v>
      </c>
      <c r="M1393" s="2" t="s">
        <v>26</v>
      </c>
      <c r="N1393">
        <v>2024</v>
      </c>
      <c r="O1393" s="2" t="s">
        <v>143</v>
      </c>
      <c r="P1393" s="2" t="s">
        <v>145</v>
      </c>
      <c r="Q1393">
        <v>5</v>
      </c>
      <c r="R1393" s="4">
        <v>45413</v>
      </c>
      <c r="S1393" s="3">
        <v>2898400</v>
      </c>
      <c r="T1393" s="3">
        <v>21.45</v>
      </c>
    </row>
    <row r="1394" spans="1:20" x14ac:dyDescent="0.3">
      <c r="A1394" s="1">
        <v>45437</v>
      </c>
      <c r="B1394" s="2" t="s">
        <v>84</v>
      </c>
      <c r="C1394" s="2" t="s">
        <v>85</v>
      </c>
      <c r="D1394" s="2" t="s">
        <v>50</v>
      </c>
      <c r="E1394" s="2" t="s">
        <v>51</v>
      </c>
      <c r="F1394" s="2" t="s">
        <v>24</v>
      </c>
      <c r="G1394">
        <v>77</v>
      </c>
      <c r="H1394">
        <v>528</v>
      </c>
      <c r="I1394">
        <v>67</v>
      </c>
      <c r="J1394" s="3">
        <v>4864000</v>
      </c>
      <c r="K1394" s="3">
        <v>325888000</v>
      </c>
      <c r="L1394" s="2" t="s">
        <v>33</v>
      </c>
      <c r="M1394" s="2" t="s">
        <v>77</v>
      </c>
      <c r="N1394">
        <v>2024</v>
      </c>
      <c r="O1394" s="2" t="s">
        <v>143</v>
      </c>
      <c r="P1394" s="2" t="s">
        <v>145</v>
      </c>
      <c r="Q1394">
        <v>5</v>
      </c>
      <c r="R1394" s="4">
        <v>45413</v>
      </c>
      <c r="S1394" s="3">
        <v>4864000</v>
      </c>
      <c r="T1394" s="3">
        <v>32.590000000000003</v>
      </c>
    </row>
    <row r="1395" spans="1:20" x14ac:dyDescent="0.3">
      <c r="A1395" s="1">
        <v>45437</v>
      </c>
      <c r="B1395" s="2" t="s">
        <v>106</v>
      </c>
      <c r="C1395" s="2" t="s">
        <v>119</v>
      </c>
      <c r="D1395" s="2" t="s">
        <v>42</v>
      </c>
      <c r="E1395" s="2" t="s">
        <v>43</v>
      </c>
      <c r="F1395" s="2" t="s">
        <v>24</v>
      </c>
      <c r="G1395">
        <v>3</v>
      </c>
      <c r="H1395">
        <v>135</v>
      </c>
      <c r="I1395">
        <v>79</v>
      </c>
      <c r="J1395" s="3">
        <v>130100</v>
      </c>
      <c r="K1395" s="3">
        <v>10277900</v>
      </c>
      <c r="L1395" s="2" t="s">
        <v>33</v>
      </c>
      <c r="M1395" s="2" t="s">
        <v>26</v>
      </c>
      <c r="N1395">
        <v>2024</v>
      </c>
      <c r="O1395" s="2" t="s">
        <v>143</v>
      </c>
      <c r="P1395" s="2" t="s">
        <v>145</v>
      </c>
      <c r="Q1395">
        <v>5</v>
      </c>
      <c r="R1395" s="4">
        <v>45413</v>
      </c>
      <c r="S1395" s="3">
        <v>130100</v>
      </c>
      <c r="T1395" s="3">
        <v>1.03</v>
      </c>
    </row>
    <row r="1396" spans="1:20" x14ac:dyDescent="0.3">
      <c r="A1396" s="1">
        <v>45437</v>
      </c>
      <c r="B1396" s="2" t="s">
        <v>90</v>
      </c>
      <c r="C1396" s="2" t="s">
        <v>99</v>
      </c>
      <c r="D1396" s="2" t="s">
        <v>79</v>
      </c>
      <c r="E1396" s="2" t="s">
        <v>80</v>
      </c>
      <c r="F1396" s="2" t="s">
        <v>72</v>
      </c>
      <c r="G1396">
        <v>69</v>
      </c>
      <c r="H1396">
        <v>418</v>
      </c>
      <c r="I1396">
        <v>60</v>
      </c>
      <c r="J1396" s="3">
        <v>6327200</v>
      </c>
      <c r="K1396" s="3">
        <v>379632000</v>
      </c>
      <c r="L1396" s="2" t="s">
        <v>33</v>
      </c>
      <c r="M1396" s="2" t="s">
        <v>26</v>
      </c>
      <c r="N1396">
        <v>2024</v>
      </c>
      <c r="O1396" s="2" t="s">
        <v>143</v>
      </c>
      <c r="P1396" s="2" t="s">
        <v>145</v>
      </c>
      <c r="Q1396">
        <v>5</v>
      </c>
      <c r="R1396" s="4">
        <v>45413</v>
      </c>
      <c r="S1396" s="3">
        <v>6327200</v>
      </c>
      <c r="T1396" s="3">
        <v>37.96</v>
      </c>
    </row>
    <row r="1397" spans="1:20" x14ac:dyDescent="0.3">
      <c r="A1397" s="1">
        <v>45438</v>
      </c>
      <c r="B1397" s="2" t="s">
        <v>108</v>
      </c>
      <c r="C1397" s="2" t="s">
        <v>133</v>
      </c>
      <c r="D1397" s="2" t="s">
        <v>50</v>
      </c>
      <c r="E1397" s="2" t="s">
        <v>51</v>
      </c>
      <c r="F1397" s="2" t="s">
        <v>24</v>
      </c>
      <c r="G1397">
        <v>77</v>
      </c>
      <c r="H1397">
        <v>528</v>
      </c>
      <c r="I1397">
        <v>58</v>
      </c>
      <c r="J1397" s="3">
        <v>4633300</v>
      </c>
      <c r="K1397" s="3">
        <v>268731400</v>
      </c>
      <c r="L1397" s="2" t="s">
        <v>33</v>
      </c>
      <c r="M1397" s="2" t="s">
        <v>77</v>
      </c>
      <c r="N1397">
        <v>2024</v>
      </c>
      <c r="O1397" s="2" t="s">
        <v>143</v>
      </c>
      <c r="P1397" s="2" t="s">
        <v>145</v>
      </c>
      <c r="Q1397">
        <v>5</v>
      </c>
      <c r="R1397" s="4">
        <v>45413</v>
      </c>
      <c r="S1397" s="3">
        <v>4633300</v>
      </c>
      <c r="T1397" s="3">
        <v>26.87</v>
      </c>
    </row>
    <row r="1398" spans="1:20" x14ac:dyDescent="0.3">
      <c r="A1398" s="1">
        <v>45439</v>
      </c>
      <c r="B1398" s="2" t="s">
        <v>84</v>
      </c>
      <c r="C1398" s="2" t="s">
        <v>85</v>
      </c>
      <c r="D1398" s="2" t="s">
        <v>102</v>
      </c>
      <c r="E1398" s="2" t="s">
        <v>103</v>
      </c>
      <c r="F1398" s="2" t="s">
        <v>24</v>
      </c>
      <c r="G1398">
        <v>5</v>
      </c>
      <c r="H1398">
        <v>150</v>
      </c>
      <c r="I1398">
        <v>43</v>
      </c>
      <c r="J1398" s="3">
        <v>150300</v>
      </c>
      <c r="K1398" s="3">
        <v>6462900</v>
      </c>
      <c r="L1398" s="2" t="s">
        <v>33</v>
      </c>
      <c r="M1398" s="2" t="s">
        <v>26</v>
      </c>
      <c r="N1398">
        <v>2024</v>
      </c>
      <c r="O1398" s="2" t="s">
        <v>143</v>
      </c>
      <c r="P1398" s="2" t="s">
        <v>145</v>
      </c>
      <c r="Q1398">
        <v>5</v>
      </c>
      <c r="R1398" s="4">
        <v>45413</v>
      </c>
      <c r="S1398" s="3">
        <v>150300</v>
      </c>
      <c r="T1398" s="3">
        <v>0.65</v>
      </c>
    </row>
    <row r="1399" spans="1:20" x14ac:dyDescent="0.3">
      <c r="A1399" s="1">
        <v>45440</v>
      </c>
      <c r="B1399" s="2" t="s">
        <v>40</v>
      </c>
      <c r="C1399" s="2" t="s">
        <v>105</v>
      </c>
      <c r="D1399" s="2" t="s">
        <v>82</v>
      </c>
      <c r="E1399" s="2" t="s">
        <v>83</v>
      </c>
      <c r="F1399" s="2" t="s">
        <v>24</v>
      </c>
      <c r="G1399">
        <v>40</v>
      </c>
      <c r="H1399">
        <v>39</v>
      </c>
      <c r="I1399">
        <v>153</v>
      </c>
      <c r="J1399" s="3">
        <v>2528200</v>
      </c>
      <c r="K1399" s="3">
        <v>386814600</v>
      </c>
      <c r="L1399" s="2" t="s">
        <v>33</v>
      </c>
      <c r="M1399" s="2" t="s">
        <v>26</v>
      </c>
      <c r="N1399">
        <v>2024</v>
      </c>
      <c r="O1399" s="2" t="s">
        <v>143</v>
      </c>
      <c r="P1399" s="2" t="s">
        <v>145</v>
      </c>
      <c r="Q1399">
        <v>5</v>
      </c>
      <c r="R1399" s="4">
        <v>45413</v>
      </c>
      <c r="S1399" s="3">
        <v>2528200</v>
      </c>
      <c r="T1399" s="3">
        <v>38.68</v>
      </c>
    </row>
    <row r="1400" spans="1:20" x14ac:dyDescent="0.3">
      <c r="A1400" s="1">
        <v>45440</v>
      </c>
      <c r="B1400" s="2" t="s">
        <v>90</v>
      </c>
      <c r="C1400" s="2" t="s">
        <v>128</v>
      </c>
      <c r="D1400" s="2" t="s">
        <v>63</v>
      </c>
      <c r="E1400" s="2" t="s">
        <v>64</v>
      </c>
      <c r="F1400" s="2" t="s">
        <v>24</v>
      </c>
      <c r="G1400">
        <v>3</v>
      </c>
      <c r="H1400">
        <v>127</v>
      </c>
      <c r="I1400">
        <v>129</v>
      </c>
      <c r="J1400" s="3">
        <v>157000</v>
      </c>
      <c r="K1400" s="3">
        <v>20253000</v>
      </c>
      <c r="L1400" s="2" t="s">
        <v>33</v>
      </c>
      <c r="M1400" s="2" t="s">
        <v>26</v>
      </c>
      <c r="N1400">
        <v>2024</v>
      </c>
      <c r="O1400" s="2" t="s">
        <v>143</v>
      </c>
      <c r="P1400" s="2" t="s">
        <v>145</v>
      </c>
      <c r="Q1400">
        <v>5</v>
      </c>
      <c r="R1400" s="4">
        <v>45413</v>
      </c>
      <c r="S1400" s="3">
        <v>157000</v>
      </c>
      <c r="T1400" s="3">
        <v>2.0299999999999998</v>
      </c>
    </row>
    <row r="1401" spans="1:20" x14ac:dyDescent="0.3">
      <c r="A1401" s="1">
        <v>45440</v>
      </c>
      <c r="B1401" s="2" t="s">
        <v>90</v>
      </c>
      <c r="C1401" s="2" t="s">
        <v>99</v>
      </c>
      <c r="D1401" s="2" t="s">
        <v>67</v>
      </c>
      <c r="E1401" s="2" t="s">
        <v>68</v>
      </c>
      <c r="F1401" s="2" t="s">
        <v>72</v>
      </c>
      <c r="G1401">
        <v>66</v>
      </c>
      <c r="H1401">
        <v>440</v>
      </c>
      <c r="I1401">
        <v>22</v>
      </c>
      <c r="J1401" s="3">
        <v>5938500</v>
      </c>
      <c r="K1401" s="3">
        <v>130647000</v>
      </c>
      <c r="L1401" s="2" t="s">
        <v>33</v>
      </c>
      <c r="M1401" s="2" t="s">
        <v>26</v>
      </c>
      <c r="N1401">
        <v>2024</v>
      </c>
      <c r="O1401" s="2" t="s">
        <v>143</v>
      </c>
      <c r="P1401" s="2" t="s">
        <v>145</v>
      </c>
      <c r="Q1401">
        <v>5</v>
      </c>
      <c r="R1401" s="4">
        <v>45413</v>
      </c>
      <c r="S1401" s="3">
        <v>5938500</v>
      </c>
      <c r="T1401" s="3">
        <v>13.06</v>
      </c>
    </row>
    <row r="1402" spans="1:20" x14ac:dyDescent="0.3">
      <c r="A1402" s="1">
        <v>45441</v>
      </c>
      <c r="B1402" s="2" t="s">
        <v>61</v>
      </c>
      <c r="C1402" s="2" t="s">
        <v>127</v>
      </c>
      <c r="D1402" s="2" t="s">
        <v>37</v>
      </c>
      <c r="E1402" s="2" t="s">
        <v>38</v>
      </c>
      <c r="F1402" s="2" t="s">
        <v>24</v>
      </c>
      <c r="G1402">
        <v>66</v>
      </c>
      <c r="H1402">
        <v>423</v>
      </c>
      <c r="I1402">
        <v>66</v>
      </c>
      <c r="J1402" s="3">
        <v>7465500</v>
      </c>
      <c r="K1402" s="3">
        <v>492723000</v>
      </c>
      <c r="L1402" s="2" t="s">
        <v>25</v>
      </c>
      <c r="M1402" s="2" t="s">
        <v>26</v>
      </c>
      <c r="N1402">
        <v>2024</v>
      </c>
      <c r="O1402" s="2" t="s">
        <v>143</v>
      </c>
      <c r="P1402" s="2" t="s">
        <v>145</v>
      </c>
      <c r="Q1402">
        <v>5</v>
      </c>
      <c r="R1402" s="4">
        <v>45413</v>
      </c>
      <c r="S1402" s="3">
        <v>7465500</v>
      </c>
      <c r="T1402" s="3">
        <v>49.27</v>
      </c>
    </row>
    <row r="1403" spans="1:20" x14ac:dyDescent="0.3">
      <c r="A1403" s="1">
        <v>45442</v>
      </c>
      <c r="B1403" s="2" t="s">
        <v>29</v>
      </c>
      <c r="C1403" s="2" t="s">
        <v>65</v>
      </c>
      <c r="D1403" s="2" t="s">
        <v>42</v>
      </c>
      <c r="E1403" s="2" t="s">
        <v>43</v>
      </c>
      <c r="F1403" s="2" t="s">
        <v>24</v>
      </c>
      <c r="G1403">
        <v>3</v>
      </c>
      <c r="H1403">
        <v>135</v>
      </c>
      <c r="I1403">
        <v>133</v>
      </c>
      <c r="J1403" s="3">
        <v>137300</v>
      </c>
      <c r="K1403" s="3">
        <v>18260900</v>
      </c>
      <c r="L1403" s="2" t="s">
        <v>33</v>
      </c>
      <c r="M1403" s="2" t="s">
        <v>26</v>
      </c>
      <c r="N1403">
        <v>2024</v>
      </c>
      <c r="O1403" s="2" t="s">
        <v>143</v>
      </c>
      <c r="P1403" s="2" t="s">
        <v>145</v>
      </c>
      <c r="Q1403">
        <v>5</v>
      </c>
      <c r="R1403" s="4">
        <v>45413</v>
      </c>
      <c r="S1403" s="3">
        <v>137300</v>
      </c>
      <c r="T1403" s="3">
        <v>1.83</v>
      </c>
    </row>
    <row r="1404" spans="1:20" x14ac:dyDescent="0.3">
      <c r="A1404" s="1">
        <v>45442</v>
      </c>
      <c r="B1404" s="2" t="s">
        <v>29</v>
      </c>
      <c r="C1404" s="2" t="s">
        <v>65</v>
      </c>
      <c r="D1404" s="2" t="s">
        <v>70</v>
      </c>
      <c r="E1404" s="2" t="s">
        <v>71</v>
      </c>
      <c r="F1404" s="2" t="s">
        <v>24</v>
      </c>
      <c r="G1404">
        <v>50</v>
      </c>
      <c r="H1404">
        <v>46</v>
      </c>
      <c r="I1404">
        <v>71</v>
      </c>
      <c r="J1404" s="3">
        <v>2132600</v>
      </c>
      <c r="K1404" s="3">
        <v>151414600</v>
      </c>
      <c r="L1404" s="2" t="s">
        <v>33</v>
      </c>
      <c r="M1404" s="2" t="s">
        <v>77</v>
      </c>
      <c r="N1404">
        <v>2024</v>
      </c>
      <c r="O1404" s="2" t="s">
        <v>143</v>
      </c>
      <c r="P1404" s="2" t="s">
        <v>145</v>
      </c>
      <c r="Q1404">
        <v>5</v>
      </c>
      <c r="R1404" s="4">
        <v>45413</v>
      </c>
      <c r="S1404" s="3">
        <v>2132600</v>
      </c>
      <c r="T1404" s="3">
        <v>15.14</v>
      </c>
    </row>
    <row r="1405" spans="1:20" x14ac:dyDescent="0.3">
      <c r="A1405" s="1">
        <v>45442</v>
      </c>
      <c r="B1405" s="2" t="s">
        <v>20</v>
      </c>
      <c r="C1405" s="2" t="s">
        <v>112</v>
      </c>
      <c r="D1405" s="2" t="s">
        <v>22</v>
      </c>
      <c r="E1405" s="2" t="s">
        <v>23</v>
      </c>
      <c r="F1405" s="2" t="s">
        <v>24</v>
      </c>
      <c r="G1405">
        <v>82</v>
      </c>
      <c r="H1405">
        <v>520</v>
      </c>
      <c r="I1405">
        <v>34</v>
      </c>
      <c r="J1405" s="3">
        <v>7084800</v>
      </c>
      <c r="K1405" s="3">
        <v>240883200</v>
      </c>
      <c r="L1405" s="2" t="s">
        <v>92</v>
      </c>
      <c r="M1405" s="2" t="s">
        <v>77</v>
      </c>
      <c r="N1405">
        <v>2024</v>
      </c>
      <c r="O1405" s="2" t="s">
        <v>143</v>
      </c>
      <c r="P1405" s="2" t="s">
        <v>145</v>
      </c>
      <c r="Q1405">
        <v>5</v>
      </c>
      <c r="R1405" s="4">
        <v>45413</v>
      </c>
      <c r="S1405" s="3">
        <v>7084800</v>
      </c>
      <c r="T1405" s="3">
        <v>24.09</v>
      </c>
    </row>
    <row r="1406" spans="1:20" x14ac:dyDescent="0.3">
      <c r="A1406" s="1">
        <v>45442</v>
      </c>
      <c r="B1406" s="2" t="s">
        <v>108</v>
      </c>
      <c r="C1406" s="2" t="s">
        <v>131</v>
      </c>
      <c r="D1406" s="2" t="s">
        <v>37</v>
      </c>
      <c r="E1406" s="2" t="s">
        <v>38</v>
      </c>
      <c r="F1406" s="2" t="s">
        <v>24</v>
      </c>
      <c r="G1406">
        <v>66</v>
      </c>
      <c r="H1406">
        <v>423</v>
      </c>
      <c r="I1406">
        <v>46</v>
      </c>
      <c r="J1406" s="3">
        <v>8961900</v>
      </c>
      <c r="K1406" s="3">
        <v>412247400</v>
      </c>
      <c r="L1406" s="2" t="s">
        <v>33</v>
      </c>
      <c r="M1406" s="2" t="s">
        <v>34</v>
      </c>
      <c r="N1406">
        <v>2024</v>
      </c>
      <c r="O1406" s="2" t="s">
        <v>143</v>
      </c>
      <c r="P1406" s="2" t="s">
        <v>145</v>
      </c>
      <c r="Q1406">
        <v>5</v>
      </c>
      <c r="R1406" s="4">
        <v>45413</v>
      </c>
      <c r="S1406" s="3">
        <v>8961900</v>
      </c>
      <c r="T1406" s="3">
        <v>41.22</v>
      </c>
    </row>
    <row r="1407" spans="1:20" x14ac:dyDescent="0.3">
      <c r="A1407" s="1">
        <v>45443</v>
      </c>
      <c r="B1407" s="2" t="s">
        <v>108</v>
      </c>
      <c r="C1407" s="2" t="s">
        <v>131</v>
      </c>
      <c r="D1407" s="2" t="s">
        <v>63</v>
      </c>
      <c r="E1407" s="2" t="s">
        <v>64</v>
      </c>
      <c r="F1407" s="2" t="s">
        <v>24</v>
      </c>
      <c r="G1407">
        <v>3</v>
      </c>
      <c r="H1407">
        <v>127</v>
      </c>
      <c r="I1407">
        <v>129</v>
      </c>
      <c r="J1407" s="3">
        <v>170300</v>
      </c>
      <c r="K1407" s="3">
        <v>21968700</v>
      </c>
      <c r="L1407" s="2" t="s">
        <v>25</v>
      </c>
      <c r="M1407" s="2" t="s">
        <v>26</v>
      </c>
      <c r="N1407">
        <v>2024</v>
      </c>
      <c r="O1407" s="2" t="s">
        <v>143</v>
      </c>
      <c r="P1407" s="2" t="s">
        <v>145</v>
      </c>
      <c r="Q1407">
        <v>5</v>
      </c>
      <c r="R1407" s="4">
        <v>45413</v>
      </c>
      <c r="S1407" s="3">
        <v>170300</v>
      </c>
      <c r="T1407" s="3">
        <v>2.2000000000000002</v>
      </c>
    </row>
    <row r="1408" spans="1:20" x14ac:dyDescent="0.3">
      <c r="A1408" s="1">
        <v>45443</v>
      </c>
      <c r="B1408" s="2" t="s">
        <v>75</v>
      </c>
      <c r="C1408" s="2" t="s">
        <v>122</v>
      </c>
      <c r="D1408" s="2" t="s">
        <v>50</v>
      </c>
      <c r="E1408" s="2" t="s">
        <v>51</v>
      </c>
      <c r="F1408" s="2" t="s">
        <v>24</v>
      </c>
      <c r="G1408">
        <v>77</v>
      </c>
      <c r="H1408">
        <v>528</v>
      </c>
      <c r="I1408">
        <v>40</v>
      </c>
      <c r="J1408" s="3">
        <v>4974600</v>
      </c>
      <c r="K1408" s="3">
        <v>198984000</v>
      </c>
      <c r="L1408" s="2" t="s">
        <v>92</v>
      </c>
      <c r="M1408" s="2" t="s">
        <v>26</v>
      </c>
      <c r="N1408">
        <v>2024</v>
      </c>
      <c r="O1408" s="2" t="s">
        <v>143</v>
      </c>
      <c r="P1408" s="2" t="s">
        <v>145</v>
      </c>
      <c r="Q1408">
        <v>5</v>
      </c>
      <c r="R1408" s="4">
        <v>45413</v>
      </c>
      <c r="S1408" s="3">
        <v>4974600</v>
      </c>
      <c r="T1408" s="3">
        <v>19.899999999999999</v>
      </c>
    </row>
    <row r="1409" spans="1:20" x14ac:dyDescent="0.3">
      <c r="A1409" s="1">
        <v>45444</v>
      </c>
      <c r="B1409" s="2" t="s">
        <v>108</v>
      </c>
      <c r="C1409" s="2" t="s">
        <v>131</v>
      </c>
      <c r="D1409" s="2" t="s">
        <v>22</v>
      </c>
      <c r="E1409" s="2" t="s">
        <v>23</v>
      </c>
      <c r="F1409" s="2" t="s">
        <v>24</v>
      </c>
      <c r="G1409">
        <v>82</v>
      </c>
      <c r="H1409">
        <v>520</v>
      </c>
      <c r="I1409">
        <v>47</v>
      </c>
      <c r="J1409" s="3">
        <v>6029500</v>
      </c>
      <c r="K1409" s="3">
        <v>283386500</v>
      </c>
      <c r="L1409" s="2" t="s">
        <v>33</v>
      </c>
      <c r="M1409" s="2" t="s">
        <v>26</v>
      </c>
      <c r="N1409">
        <v>2024</v>
      </c>
      <c r="O1409" s="2" t="s">
        <v>143</v>
      </c>
      <c r="P1409" s="2" t="s">
        <v>146</v>
      </c>
      <c r="Q1409">
        <v>6</v>
      </c>
      <c r="R1409" s="4">
        <v>45444</v>
      </c>
      <c r="S1409" s="3">
        <v>6029500</v>
      </c>
      <c r="T1409" s="3">
        <v>28.34</v>
      </c>
    </row>
    <row r="1410" spans="1:20" x14ac:dyDescent="0.3">
      <c r="A1410" s="1">
        <v>45444</v>
      </c>
      <c r="B1410" s="2" t="s">
        <v>29</v>
      </c>
      <c r="C1410" s="2" t="s">
        <v>30</v>
      </c>
      <c r="D1410" s="2" t="s">
        <v>63</v>
      </c>
      <c r="E1410" s="2" t="s">
        <v>64</v>
      </c>
      <c r="F1410" s="2" t="s">
        <v>24</v>
      </c>
      <c r="G1410">
        <v>3</v>
      </c>
      <c r="H1410">
        <v>127</v>
      </c>
      <c r="I1410">
        <v>57</v>
      </c>
      <c r="J1410" s="3">
        <v>174700</v>
      </c>
      <c r="K1410" s="3">
        <v>9957900</v>
      </c>
      <c r="L1410" s="2" t="s">
        <v>92</v>
      </c>
      <c r="M1410" s="2" t="s">
        <v>34</v>
      </c>
      <c r="N1410">
        <v>2024</v>
      </c>
      <c r="O1410" s="2" t="s">
        <v>143</v>
      </c>
      <c r="P1410" s="2" t="s">
        <v>146</v>
      </c>
      <c r="Q1410">
        <v>6</v>
      </c>
      <c r="R1410" s="4">
        <v>45444</v>
      </c>
      <c r="S1410" s="3">
        <v>174700</v>
      </c>
      <c r="T1410" s="3">
        <v>1</v>
      </c>
    </row>
    <row r="1411" spans="1:20" x14ac:dyDescent="0.3">
      <c r="A1411" s="1">
        <v>45444</v>
      </c>
      <c r="B1411" s="2" t="s">
        <v>106</v>
      </c>
      <c r="C1411" s="2" t="s">
        <v>120</v>
      </c>
      <c r="D1411" s="2" t="s">
        <v>22</v>
      </c>
      <c r="E1411" s="2" t="s">
        <v>23</v>
      </c>
      <c r="F1411" s="2" t="s">
        <v>39</v>
      </c>
      <c r="G1411">
        <v>82</v>
      </c>
      <c r="H1411">
        <v>520</v>
      </c>
      <c r="I1411">
        <v>58</v>
      </c>
      <c r="J1411" s="3">
        <v>6941600</v>
      </c>
      <c r="K1411" s="3">
        <v>402612800</v>
      </c>
      <c r="L1411" s="2" t="s">
        <v>33</v>
      </c>
      <c r="M1411" s="2" t="s">
        <v>26</v>
      </c>
      <c r="N1411">
        <v>2024</v>
      </c>
      <c r="O1411" s="2" t="s">
        <v>143</v>
      </c>
      <c r="P1411" s="2" t="s">
        <v>146</v>
      </c>
      <c r="Q1411">
        <v>6</v>
      </c>
      <c r="R1411" s="4">
        <v>45444</v>
      </c>
      <c r="S1411" s="3">
        <v>6941600</v>
      </c>
      <c r="T1411" s="3">
        <v>40.26</v>
      </c>
    </row>
    <row r="1412" spans="1:20" x14ac:dyDescent="0.3">
      <c r="A1412" s="1">
        <v>45445</v>
      </c>
      <c r="B1412" s="2" t="s">
        <v>46</v>
      </c>
      <c r="C1412" s="2" t="s">
        <v>47</v>
      </c>
      <c r="D1412" s="2" t="s">
        <v>70</v>
      </c>
      <c r="E1412" s="2" t="s">
        <v>74</v>
      </c>
      <c r="F1412" s="2" t="s">
        <v>24</v>
      </c>
      <c r="G1412">
        <v>25</v>
      </c>
      <c r="H1412">
        <v>32</v>
      </c>
      <c r="I1412">
        <v>97</v>
      </c>
      <c r="J1412" s="3">
        <v>1026900</v>
      </c>
      <c r="K1412" s="3">
        <v>99609300</v>
      </c>
      <c r="L1412" s="2" t="s">
        <v>33</v>
      </c>
      <c r="M1412" s="2" t="s">
        <v>26</v>
      </c>
      <c r="N1412">
        <v>2024</v>
      </c>
      <c r="O1412" s="2" t="s">
        <v>143</v>
      </c>
      <c r="P1412" s="2" t="s">
        <v>146</v>
      </c>
      <c r="Q1412">
        <v>6</v>
      </c>
      <c r="R1412" s="4">
        <v>45444</v>
      </c>
      <c r="S1412" s="3">
        <v>1026900</v>
      </c>
      <c r="T1412" s="3">
        <v>9.9600000000000009</v>
      </c>
    </row>
    <row r="1413" spans="1:20" x14ac:dyDescent="0.3">
      <c r="A1413" s="1">
        <v>45445</v>
      </c>
      <c r="B1413" s="2" t="s">
        <v>84</v>
      </c>
      <c r="C1413" s="2" t="s">
        <v>93</v>
      </c>
      <c r="D1413" s="2" t="s">
        <v>100</v>
      </c>
      <c r="E1413" s="2" t="s">
        <v>101</v>
      </c>
      <c r="F1413" s="2" t="s">
        <v>24</v>
      </c>
      <c r="G1413">
        <v>3</v>
      </c>
      <c r="H1413">
        <v>150</v>
      </c>
      <c r="I1413">
        <v>164</v>
      </c>
      <c r="J1413" s="3">
        <v>174300</v>
      </c>
      <c r="K1413" s="3">
        <v>28585200</v>
      </c>
      <c r="L1413" s="2" t="s">
        <v>25</v>
      </c>
      <c r="M1413" s="2" t="s">
        <v>26</v>
      </c>
      <c r="N1413">
        <v>2024</v>
      </c>
      <c r="O1413" s="2" t="s">
        <v>143</v>
      </c>
      <c r="P1413" s="2" t="s">
        <v>146</v>
      </c>
      <c r="Q1413">
        <v>6</v>
      </c>
      <c r="R1413" s="4">
        <v>45444</v>
      </c>
      <c r="S1413" s="3">
        <v>174300</v>
      </c>
      <c r="T1413" s="3">
        <v>2.86</v>
      </c>
    </row>
    <row r="1414" spans="1:20" x14ac:dyDescent="0.3">
      <c r="A1414" s="1">
        <v>45445</v>
      </c>
      <c r="B1414" s="2" t="s">
        <v>108</v>
      </c>
      <c r="C1414" s="2" t="s">
        <v>133</v>
      </c>
      <c r="D1414" s="2" t="s">
        <v>37</v>
      </c>
      <c r="E1414" s="2" t="s">
        <v>38</v>
      </c>
      <c r="F1414" s="2" t="s">
        <v>24</v>
      </c>
      <c r="G1414">
        <v>66</v>
      </c>
      <c r="H1414">
        <v>423</v>
      </c>
      <c r="I1414">
        <v>77</v>
      </c>
      <c r="J1414" s="3">
        <v>7021200</v>
      </c>
      <c r="K1414" s="3">
        <v>540632400</v>
      </c>
      <c r="L1414" s="2" t="s">
        <v>33</v>
      </c>
      <c r="M1414" s="2" t="s">
        <v>77</v>
      </c>
      <c r="N1414">
        <v>2024</v>
      </c>
      <c r="O1414" s="2" t="s">
        <v>143</v>
      </c>
      <c r="P1414" s="2" t="s">
        <v>146</v>
      </c>
      <c r="Q1414">
        <v>6</v>
      </c>
      <c r="R1414" s="4">
        <v>45444</v>
      </c>
      <c r="S1414" s="3">
        <v>7021200</v>
      </c>
      <c r="T1414" s="3">
        <v>54.06</v>
      </c>
    </row>
    <row r="1415" spans="1:20" x14ac:dyDescent="0.3">
      <c r="A1415" s="1">
        <v>45446</v>
      </c>
      <c r="B1415" s="2" t="s">
        <v>20</v>
      </c>
      <c r="C1415" s="2" t="s">
        <v>112</v>
      </c>
      <c r="D1415" s="2" t="s">
        <v>102</v>
      </c>
      <c r="E1415" s="2" t="s">
        <v>103</v>
      </c>
      <c r="F1415" s="2" t="s">
        <v>24</v>
      </c>
      <c r="G1415">
        <v>5</v>
      </c>
      <c r="H1415">
        <v>150</v>
      </c>
      <c r="I1415">
        <v>100</v>
      </c>
      <c r="J1415" s="3">
        <v>166700</v>
      </c>
      <c r="K1415" s="3">
        <v>16670000</v>
      </c>
      <c r="L1415" s="2" t="s">
        <v>33</v>
      </c>
      <c r="M1415" s="2" t="s">
        <v>77</v>
      </c>
      <c r="N1415">
        <v>2024</v>
      </c>
      <c r="O1415" s="2" t="s">
        <v>143</v>
      </c>
      <c r="P1415" s="2" t="s">
        <v>146</v>
      </c>
      <c r="Q1415">
        <v>6</v>
      </c>
      <c r="R1415" s="4">
        <v>45444</v>
      </c>
      <c r="S1415" s="3">
        <v>166700</v>
      </c>
      <c r="T1415" s="3">
        <v>1.67</v>
      </c>
    </row>
    <row r="1416" spans="1:20" x14ac:dyDescent="0.3">
      <c r="A1416" s="1">
        <v>45446</v>
      </c>
      <c r="B1416" s="2" t="s">
        <v>29</v>
      </c>
      <c r="C1416" s="2" t="s">
        <v>65</v>
      </c>
      <c r="D1416" s="2" t="s">
        <v>100</v>
      </c>
      <c r="E1416" s="2" t="s">
        <v>101</v>
      </c>
      <c r="F1416" s="2" t="s">
        <v>24</v>
      </c>
      <c r="G1416">
        <v>3</v>
      </c>
      <c r="H1416">
        <v>150</v>
      </c>
      <c r="I1416">
        <v>84</v>
      </c>
      <c r="J1416" s="3">
        <v>163700</v>
      </c>
      <c r="K1416" s="3">
        <v>13750800</v>
      </c>
      <c r="L1416" s="2" t="s">
        <v>25</v>
      </c>
      <c r="M1416" s="2" t="s">
        <v>34</v>
      </c>
      <c r="N1416">
        <v>2024</v>
      </c>
      <c r="O1416" s="2" t="s">
        <v>143</v>
      </c>
      <c r="P1416" s="2" t="s">
        <v>146</v>
      </c>
      <c r="Q1416">
        <v>6</v>
      </c>
      <c r="R1416" s="4">
        <v>45444</v>
      </c>
      <c r="S1416" s="3">
        <v>163700</v>
      </c>
      <c r="T1416" s="3">
        <v>1.38</v>
      </c>
    </row>
    <row r="1417" spans="1:20" x14ac:dyDescent="0.3">
      <c r="A1417" s="1">
        <v>45447</v>
      </c>
      <c r="B1417" s="2" t="s">
        <v>84</v>
      </c>
      <c r="C1417" s="2" t="s">
        <v>126</v>
      </c>
      <c r="D1417" s="2" t="s">
        <v>50</v>
      </c>
      <c r="E1417" s="2" t="s">
        <v>51</v>
      </c>
      <c r="F1417" s="2" t="s">
        <v>39</v>
      </c>
      <c r="G1417">
        <v>77</v>
      </c>
      <c r="H1417">
        <v>528</v>
      </c>
      <c r="I1417">
        <v>30</v>
      </c>
      <c r="J1417" s="3">
        <v>5315300</v>
      </c>
      <c r="K1417" s="3">
        <v>159459000</v>
      </c>
      <c r="L1417" s="2" t="s">
        <v>25</v>
      </c>
      <c r="M1417" s="2" t="s">
        <v>26</v>
      </c>
      <c r="N1417">
        <v>2024</v>
      </c>
      <c r="O1417" s="2" t="s">
        <v>143</v>
      </c>
      <c r="P1417" s="2" t="s">
        <v>146</v>
      </c>
      <c r="Q1417">
        <v>6</v>
      </c>
      <c r="R1417" s="4">
        <v>45444</v>
      </c>
      <c r="S1417" s="3">
        <v>5315300</v>
      </c>
      <c r="T1417" s="3">
        <v>15.95</v>
      </c>
    </row>
    <row r="1418" spans="1:20" x14ac:dyDescent="0.3">
      <c r="A1418" s="1">
        <v>45447</v>
      </c>
      <c r="B1418" s="2" t="s">
        <v>75</v>
      </c>
      <c r="C1418" s="2" t="s">
        <v>76</v>
      </c>
      <c r="D1418" s="2" t="s">
        <v>70</v>
      </c>
      <c r="E1418" s="2" t="s">
        <v>71</v>
      </c>
      <c r="F1418" s="2" t="s">
        <v>24</v>
      </c>
      <c r="G1418">
        <v>50</v>
      </c>
      <c r="H1418">
        <v>46</v>
      </c>
      <c r="I1418">
        <v>72</v>
      </c>
      <c r="J1418" s="3">
        <v>2758100</v>
      </c>
      <c r="K1418" s="3">
        <v>198583200</v>
      </c>
      <c r="L1418" s="2" t="s">
        <v>33</v>
      </c>
      <c r="M1418" s="2" t="s">
        <v>26</v>
      </c>
      <c r="N1418">
        <v>2024</v>
      </c>
      <c r="O1418" s="2" t="s">
        <v>143</v>
      </c>
      <c r="P1418" s="2" t="s">
        <v>146</v>
      </c>
      <c r="Q1418">
        <v>6</v>
      </c>
      <c r="R1418" s="4">
        <v>45444</v>
      </c>
      <c r="S1418" s="3">
        <v>2758100</v>
      </c>
      <c r="T1418" s="3">
        <v>19.86</v>
      </c>
    </row>
    <row r="1419" spans="1:20" x14ac:dyDescent="0.3">
      <c r="A1419" s="1">
        <v>45448</v>
      </c>
      <c r="B1419" s="2" t="s">
        <v>35</v>
      </c>
      <c r="C1419" s="2" t="s">
        <v>132</v>
      </c>
      <c r="D1419" s="2" t="s">
        <v>37</v>
      </c>
      <c r="E1419" s="2" t="s">
        <v>38</v>
      </c>
      <c r="F1419" s="2" t="s">
        <v>24</v>
      </c>
      <c r="G1419">
        <v>66</v>
      </c>
      <c r="H1419">
        <v>423</v>
      </c>
      <c r="I1419">
        <v>75</v>
      </c>
      <c r="J1419" s="3">
        <v>8436500</v>
      </c>
      <c r="K1419" s="3">
        <v>632737500</v>
      </c>
      <c r="L1419" s="2" t="s">
        <v>33</v>
      </c>
      <c r="M1419" s="2" t="s">
        <v>26</v>
      </c>
      <c r="N1419">
        <v>2024</v>
      </c>
      <c r="O1419" s="2" t="s">
        <v>143</v>
      </c>
      <c r="P1419" s="2" t="s">
        <v>146</v>
      </c>
      <c r="Q1419">
        <v>6</v>
      </c>
      <c r="R1419" s="4">
        <v>45444</v>
      </c>
      <c r="S1419" s="3">
        <v>8436500</v>
      </c>
      <c r="T1419" s="3">
        <v>63.27</v>
      </c>
    </row>
    <row r="1420" spans="1:20" x14ac:dyDescent="0.3">
      <c r="A1420" s="1">
        <v>45448</v>
      </c>
      <c r="B1420" s="2" t="s">
        <v>84</v>
      </c>
      <c r="C1420" s="2" t="s">
        <v>93</v>
      </c>
      <c r="D1420" s="2" t="s">
        <v>67</v>
      </c>
      <c r="E1420" s="2" t="s">
        <v>68</v>
      </c>
      <c r="F1420" s="2" t="s">
        <v>24</v>
      </c>
      <c r="G1420">
        <v>66</v>
      </c>
      <c r="H1420">
        <v>440</v>
      </c>
      <c r="I1420">
        <v>28</v>
      </c>
      <c r="J1420" s="3">
        <v>6022500</v>
      </c>
      <c r="K1420" s="3">
        <v>168630000</v>
      </c>
      <c r="L1420" s="2" t="s">
        <v>33</v>
      </c>
      <c r="M1420" s="2" t="s">
        <v>26</v>
      </c>
      <c r="N1420">
        <v>2024</v>
      </c>
      <c r="O1420" s="2" t="s">
        <v>143</v>
      </c>
      <c r="P1420" s="2" t="s">
        <v>146</v>
      </c>
      <c r="Q1420">
        <v>6</v>
      </c>
      <c r="R1420" s="4">
        <v>45444</v>
      </c>
      <c r="S1420" s="3">
        <v>6022500</v>
      </c>
      <c r="T1420" s="3">
        <v>16.86</v>
      </c>
    </row>
    <row r="1421" spans="1:20" x14ac:dyDescent="0.3">
      <c r="A1421" s="1">
        <v>45448</v>
      </c>
      <c r="B1421" s="2" t="s">
        <v>84</v>
      </c>
      <c r="C1421" s="2" t="s">
        <v>113</v>
      </c>
      <c r="D1421" s="2" t="s">
        <v>70</v>
      </c>
      <c r="E1421" s="2" t="s">
        <v>74</v>
      </c>
      <c r="F1421" s="2" t="s">
        <v>24</v>
      </c>
      <c r="G1421">
        <v>25</v>
      </c>
      <c r="H1421">
        <v>32</v>
      </c>
      <c r="I1421">
        <v>25</v>
      </c>
      <c r="J1421" s="3">
        <v>1082500</v>
      </c>
      <c r="K1421" s="3">
        <v>27062500</v>
      </c>
      <c r="L1421" s="2" t="s">
        <v>92</v>
      </c>
      <c r="M1421" s="2" t="s">
        <v>77</v>
      </c>
      <c r="N1421">
        <v>2024</v>
      </c>
      <c r="O1421" s="2" t="s">
        <v>143</v>
      </c>
      <c r="P1421" s="2" t="s">
        <v>146</v>
      </c>
      <c r="Q1421">
        <v>6</v>
      </c>
      <c r="R1421" s="4">
        <v>45444</v>
      </c>
      <c r="S1421" s="3">
        <v>1082500</v>
      </c>
      <c r="T1421" s="3">
        <v>2.71</v>
      </c>
    </row>
    <row r="1422" spans="1:20" x14ac:dyDescent="0.3">
      <c r="A1422" s="1">
        <v>45448</v>
      </c>
      <c r="B1422" s="2" t="s">
        <v>59</v>
      </c>
      <c r="C1422" s="2" t="s">
        <v>60</v>
      </c>
      <c r="D1422" s="2" t="s">
        <v>79</v>
      </c>
      <c r="E1422" s="2" t="s">
        <v>80</v>
      </c>
      <c r="F1422" s="2" t="s">
        <v>24</v>
      </c>
      <c r="G1422">
        <v>69</v>
      </c>
      <c r="H1422">
        <v>418</v>
      </c>
      <c r="I1422">
        <v>20</v>
      </c>
      <c r="J1422" s="3">
        <v>6441300</v>
      </c>
      <c r="K1422" s="3">
        <v>128826000</v>
      </c>
      <c r="L1422" s="2" t="s">
        <v>92</v>
      </c>
      <c r="M1422" s="2" t="s">
        <v>77</v>
      </c>
      <c r="N1422">
        <v>2024</v>
      </c>
      <c r="O1422" s="2" t="s">
        <v>143</v>
      </c>
      <c r="P1422" s="2" t="s">
        <v>146</v>
      </c>
      <c r="Q1422">
        <v>6</v>
      </c>
      <c r="R1422" s="4">
        <v>45444</v>
      </c>
      <c r="S1422" s="3">
        <v>6441300</v>
      </c>
      <c r="T1422" s="3">
        <v>12.88</v>
      </c>
    </row>
    <row r="1423" spans="1:20" x14ac:dyDescent="0.3">
      <c r="A1423" s="1">
        <v>45448</v>
      </c>
      <c r="B1423" s="2" t="s">
        <v>44</v>
      </c>
      <c r="C1423" s="2" t="s">
        <v>117</v>
      </c>
      <c r="D1423" s="2" t="s">
        <v>57</v>
      </c>
      <c r="E1423" s="2" t="s">
        <v>58</v>
      </c>
      <c r="F1423" s="2" t="s">
        <v>39</v>
      </c>
      <c r="G1423">
        <v>72</v>
      </c>
      <c r="H1423">
        <v>488</v>
      </c>
      <c r="I1423">
        <v>147</v>
      </c>
      <c r="J1423" s="3">
        <v>4617400</v>
      </c>
      <c r="K1423" s="3">
        <v>678757800</v>
      </c>
      <c r="L1423" s="2" t="s">
        <v>33</v>
      </c>
      <c r="M1423" s="2" t="s">
        <v>26</v>
      </c>
      <c r="N1423">
        <v>2024</v>
      </c>
      <c r="O1423" s="2" t="s">
        <v>143</v>
      </c>
      <c r="P1423" s="2" t="s">
        <v>146</v>
      </c>
      <c r="Q1423">
        <v>6</v>
      </c>
      <c r="R1423" s="4">
        <v>45444</v>
      </c>
      <c r="S1423" s="3">
        <v>4617400</v>
      </c>
      <c r="T1423" s="3">
        <v>67.88</v>
      </c>
    </row>
    <row r="1424" spans="1:20" x14ac:dyDescent="0.3">
      <c r="A1424" s="1">
        <v>45448</v>
      </c>
      <c r="B1424" s="2" t="s">
        <v>90</v>
      </c>
      <c r="C1424" s="2" t="s">
        <v>128</v>
      </c>
      <c r="D1424" s="2" t="s">
        <v>37</v>
      </c>
      <c r="E1424" s="2" t="s">
        <v>38</v>
      </c>
      <c r="F1424" s="2" t="s">
        <v>39</v>
      </c>
      <c r="G1424">
        <v>66</v>
      </c>
      <c r="H1424">
        <v>423</v>
      </c>
      <c r="I1424">
        <v>55</v>
      </c>
      <c r="J1424" s="3">
        <v>8350500</v>
      </c>
      <c r="K1424" s="3">
        <v>459277500</v>
      </c>
      <c r="L1424" s="2" t="s">
        <v>33</v>
      </c>
      <c r="M1424" s="2" t="s">
        <v>77</v>
      </c>
      <c r="N1424">
        <v>2024</v>
      </c>
      <c r="O1424" s="2" t="s">
        <v>143</v>
      </c>
      <c r="P1424" s="2" t="s">
        <v>146</v>
      </c>
      <c r="Q1424">
        <v>6</v>
      </c>
      <c r="R1424" s="4">
        <v>45444</v>
      </c>
      <c r="S1424" s="3">
        <v>8350500</v>
      </c>
      <c r="T1424" s="3">
        <v>45.93</v>
      </c>
    </row>
    <row r="1425" spans="1:20" x14ac:dyDescent="0.3">
      <c r="A1425" s="1">
        <v>45448</v>
      </c>
      <c r="B1425" s="2" t="s">
        <v>46</v>
      </c>
      <c r="C1425" s="2" t="s">
        <v>56</v>
      </c>
      <c r="D1425" s="2" t="s">
        <v>57</v>
      </c>
      <c r="E1425" s="2" t="s">
        <v>86</v>
      </c>
      <c r="F1425" s="2" t="s">
        <v>39</v>
      </c>
      <c r="G1425">
        <v>48</v>
      </c>
      <c r="H1425">
        <v>39</v>
      </c>
      <c r="I1425">
        <v>45</v>
      </c>
      <c r="J1425" s="3">
        <v>2414200</v>
      </c>
      <c r="K1425" s="3">
        <v>108639000</v>
      </c>
      <c r="L1425" s="2" t="s">
        <v>92</v>
      </c>
      <c r="M1425" s="2" t="s">
        <v>26</v>
      </c>
      <c r="N1425">
        <v>2024</v>
      </c>
      <c r="O1425" s="2" t="s">
        <v>143</v>
      </c>
      <c r="P1425" s="2" t="s">
        <v>146</v>
      </c>
      <c r="Q1425">
        <v>6</v>
      </c>
      <c r="R1425" s="4">
        <v>45444</v>
      </c>
      <c r="S1425" s="3">
        <v>2414200</v>
      </c>
      <c r="T1425" s="3">
        <v>10.86</v>
      </c>
    </row>
    <row r="1426" spans="1:20" x14ac:dyDescent="0.3">
      <c r="A1426" s="1">
        <v>45449</v>
      </c>
      <c r="B1426" s="2" t="s">
        <v>75</v>
      </c>
      <c r="C1426" s="2" t="s">
        <v>122</v>
      </c>
      <c r="D1426" s="2" t="s">
        <v>70</v>
      </c>
      <c r="E1426" s="2" t="s">
        <v>74</v>
      </c>
      <c r="F1426" s="2" t="s">
        <v>39</v>
      </c>
      <c r="G1426">
        <v>25</v>
      </c>
      <c r="H1426">
        <v>32</v>
      </c>
      <c r="I1426">
        <v>102</v>
      </c>
      <c r="J1426" s="3">
        <v>1105900</v>
      </c>
      <c r="K1426" s="3">
        <v>112801800</v>
      </c>
      <c r="L1426" s="2" t="s">
        <v>33</v>
      </c>
      <c r="M1426" s="2" t="s">
        <v>26</v>
      </c>
      <c r="N1426">
        <v>2024</v>
      </c>
      <c r="O1426" s="2" t="s">
        <v>143</v>
      </c>
      <c r="P1426" s="2" t="s">
        <v>146</v>
      </c>
      <c r="Q1426">
        <v>6</v>
      </c>
      <c r="R1426" s="4">
        <v>45444</v>
      </c>
      <c r="S1426" s="3">
        <v>1105900</v>
      </c>
      <c r="T1426" s="3">
        <v>11.28</v>
      </c>
    </row>
    <row r="1427" spans="1:20" x14ac:dyDescent="0.3">
      <c r="A1427" s="1">
        <v>45450</v>
      </c>
      <c r="B1427" s="2" t="s">
        <v>40</v>
      </c>
      <c r="C1427" s="2" t="s">
        <v>105</v>
      </c>
      <c r="D1427" s="2" t="s">
        <v>22</v>
      </c>
      <c r="E1427" s="2" t="s">
        <v>23</v>
      </c>
      <c r="F1427" s="2" t="s">
        <v>24</v>
      </c>
      <c r="G1427">
        <v>82</v>
      </c>
      <c r="H1427">
        <v>520</v>
      </c>
      <c r="I1427">
        <v>29</v>
      </c>
      <c r="J1427" s="3">
        <v>5968200</v>
      </c>
      <c r="K1427" s="3">
        <v>173077800</v>
      </c>
      <c r="L1427" s="2" t="s">
        <v>92</v>
      </c>
      <c r="M1427" s="2" t="s">
        <v>77</v>
      </c>
      <c r="N1427">
        <v>2024</v>
      </c>
      <c r="O1427" s="2" t="s">
        <v>143</v>
      </c>
      <c r="P1427" s="2" t="s">
        <v>146</v>
      </c>
      <c r="Q1427">
        <v>6</v>
      </c>
      <c r="R1427" s="4">
        <v>45444</v>
      </c>
      <c r="S1427" s="3">
        <v>5968200</v>
      </c>
      <c r="T1427" s="3">
        <v>17.309999999999999</v>
      </c>
    </row>
    <row r="1428" spans="1:20" x14ac:dyDescent="0.3">
      <c r="A1428" s="1">
        <v>45450</v>
      </c>
      <c r="B1428" s="2" t="s">
        <v>40</v>
      </c>
      <c r="C1428" s="2" t="s">
        <v>136</v>
      </c>
      <c r="D1428" s="2" t="s">
        <v>31</v>
      </c>
      <c r="E1428" s="2" t="s">
        <v>124</v>
      </c>
      <c r="F1428" s="2" t="s">
        <v>24</v>
      </c>
      <c r="G1428">
        <v>3</v>
      </c>
      <c r="H1428">
        <v>151</v>
      </c>
      <c r="I1428">
        <v>129</v>
      </c>
      <c r="J1428" s="3">
        <v>103800</v>
      </c>
      <c r="K1428" s="3">
        <v>13390200</v>
      </c>
      <c r="L1428" s="2" t="s">
        <v>33</v>
      </c>
      <c r="M1428" s="2" t="s">
        <v>34</v>
      </c>
      <c r="N1428">
        <v>2024</v>
      </c>
      <c r="O1428" s="2" t="s">
        <v>143</v>
      </c>
      <c r="P1428" s="2" t="s">
        <v>146</v>
      </c>
      <c r="Q1428">
        <v>6</v>
      </c>
      <c r="R1428" s="4">
        <v>45444</v>
      </c>
      <c r="S1428" s="3">
        <v>103800</v>
      </c>
      <c r="T1428" s="3">
        <v>1.34</v>
      </c>
    </row>
    <row r="1429" spans="1:20" x14ac:dyDescent="0.3">
      <c r="A1429" s="1">
        <v>45453</v>
      </c>
      <c r="B1429" s="2" t="s">
        <v>20</v>
      </c>
      <c r="C1429" s="2" t="s">
        <v>112</v>
      </c>
      <c r="D1429" s="2" t="s">
        <v>82</v>
      </c>
      <c r="E1429" s="2" t="s">
        <v>83</v>
      </c>
      <c r="F1429" s="2" t="s">
        <v>72</v>
      </c>
      <c r="G1429">
        <v>40</v>
      </c>
      <c r="H1429">
        <v>39</v>
      </c>
      <c r="I1429">
        <v>97</v>
      </c>
      <c r="J1429" s="3">
        <v>2398500</v>
      </c>
      <c r="K1429" s="3">
        <v>232654500</v>
      </c>
      <c r="L1429" s="2" t="s">
        <v>33</v>
      </c>
      <c r="M1429" s="2" t="s">
        <v>77</v>
      </c>
      <c r="N1429">
        <v>2024</v>
      </c>
      <c r="O1429" s="2" t="s">
        <v>143</v>
      </c>
      <c r="P1429" s="2" t="s">
        <v>146</v>
      </c>
      <c r="Q1429">
        <v>6</v>
      </c>
      <c r="R1429" s="4">
        <v>45444</v>
      </c>
      <c r="S1429" s="3">
        <v>2398500</v>
      </c>
      <c r="T1429" s="3">
        <v>23.27</v>
      </c>
    </row>
    <row r="1430" spans="1:20" x14ac:dyDescent="0.3">
      <c r="A1430" s="1">
        <v>45453</v>
      </c>
      <c r="B1430" s="2" t="s">
        <v>48</v>
      </c>
      <c r="C1430" s="2" t="s">
        <v>69</v>
      </c>
      <c r="D1430" s="2" t="s">
        <v>70</v>
      </c>
      <c r="E1430" s="2" t="s">
        <v>74</v>
      </c>
      <c r="F1430" s="2" t="s">
        <v>24</v>
      </c>
      <c r="G1430">
        <v>25</v>
      </c>
      <c r="H1430">
        <v>32</v>
      </c>
      <c r="I1430">
        <v>131</v>
      </c>
      <c r="J1430" s="3">
        <v>1141400</v>
      </c>
      <c r="K1430" s="3">
        <v>149523400</v>
      </c>
      <c r="L1430" s="2" t="s">
        <v>33</v>
      </c>
      <c r="M1430" s="2" t="s">
        <v>77</v>
      </c>
      <c r="N1430">
        <v>2024</v>
      </c>
      <c r="O1430" s="2" t="s">
        <v>143</v>
      </c>
      <c r="P1430" s="2" t="s">
        <v>146</v>
      </c>
      <c r="Q1430">
        <v>6</v>
      </c>
      <c r="R1430" s="4">
        <v>45444</v>
      </c>
      <c r="S1430" s="3">
        <v>1141400</v>
      </c>
      <c r="T1430" s="3">
        <v>14.95</v>
      </c>
    </row>
    <row r="1431" spans="1:20" x14ac:dyDescent="0.3">
      <c r="A1431" s="1">
        <v>45454</v>
      </c>
      <c r="B1431" s="2" t="s">
        <v>61</v>
      </c>
      <c r="C1431" s="2" t="s">
        <v>147</v>
      </c>
      <c r="D1431" s="2" t="s">
        <v>63</v>
      </c>
      <c r="E1431" s="2" t="s">
        <v>64</v>
      </c>
      <c r="F1431" s="2" t="s">
        <v>24</v>
      </c>
      <c r="G1431">
        <v>3</v>
      </c>
      <c r="H1431">
        <v>127</v>
      </c>
      <c r="I1431">
        <v>136</v>
      </c>
      <c r="J1431" s="3">
        <v>163200</v>
      </c>
      <c r="K1431" s="3">
        <v>22195200</v>
      </c>
      <c r="L1431" s="2" t="s">
        <v>33</v>
      </c>
      <c r="M1431" s="2" t="s">
        <v>26</v>
      </c>
      <c r="N1431">
        <v>2024</v>
      </c>
      <c r="O1431" s="2" t="s">
        <v>143</v>
      </c>
      <c r="P1431" s="2" t="s">
        <v>146</v>
      </c>
      <c r="Q1431">
        <v>6</v>
      </c>
      <c r="R1431" s="4">
        <v>45444</v>
      </c>
      <c r="S1431" s="3">
        <v>163200</v>
      </c>
      <c r="T1431" s="3">
        <v>2.2200000000000002</v>
      </c>
    </row>
    <row r="1432" spans="1:20" x14ac:dyDescent="0.3">
      <c r="A1432" s="1">
        <v>45454</v>
      </c>
      <c r="B1432" s="2" t="s">
        <v>106</v>
      </c>
      <c r="C1432" s="2" t="s">
        <v>120</v>
      </c>
      <c r="D1432" s="2" t="s">
        <v>57</v>
      </c>
      <c r="E1432" s="2" t="s">
        <v>86</v>
      </c>
      <c r="F1432" s="2" t="s">
        <v>39</v>
      </c>
      <c r="G1432">
        <v>48</v>
      </c>
      <c r="H1432">
        <v>39</v>
      </c>
      <c r="I1432">
        <v>21</v>
      </c>
      <c r="J1432" s="3">
        <v>2661300</v>
      </c>
      <c r="K1432" s="3">
        <v>55887300</v>
      </c>
      <c r="L1432" s="2" t="s">
        <v>33</v>
      </c>
      <c r="M1432" s="2" t="s">
        <v>26</v>
      </c>
      <c r="N1432">
        <v>2024</v>
      </c>
      <c r="O1432" s="2" t="s">
        <v>143</v>
      </c>
      <c r="P1432" s="2" t="s">
        <v>146</v>
      </c>
      <c r="Q1432">
        <v>6</v>
      </c>
      <c r="R1432" s="4">
        <v>45444</v>
      </c>
      <c r="S1432" s="3">
        <v>2661300</v>
      </c>
      <c r="T1432" s="3">
        <v>5.59</v>
      </c>
    </row>
    <row r="1433" spans="1:20" x14ac:dyDescent="0.3">
      <c r="A1433" s="1">
        <v>45454</v>
      </c>
      <c r="B1433" s="2" t="s">
        <v>61</v>
      </c>
      <c r="C1433" s="2" t="s">
        <v>147</v>
      </c>
      <c r="D1433" s="2" t="s">
        <v>67</v>
      </c>
      <c r="E1433" s="2" t="s">
        <v>118</v>
      </c>
      <c r="F1433" s="2" t="s">
        <v>72</v>
      </c>
      <c r="G1433">
        <v>84</v>
      </c>
      <c r="H1433">
        <v>590</v>
      </c>
      <c r="I1433">
        <v>64</v>
      </c>
      <c r="J1433" s="3">
        <v>7025700</v>
      </c>
      <c r="K1433" s="3">
        <v>449644800</v>
      </c>
      <c r="L1433" s="2" t="s">
        <v>33</v>
      </c>
      <c r="M1433" s="2" t="s">
        <v>77</v>
      </c>
      <c r="N1433">
        <v>2024</v>
      </c>
      <c r="O1433" s="2" t="s">
        <v>143</v>
      </c>
      <c r="P1433" s="2" t="s">
        <v>146</v>
      </c>
      <c r="Q1433">
        <v>6</v>
      </c>
      <c r="R1433" s="4">
        <v>45444</v>
      </c>
      <c r="S1433" s="3">
        <v>7025700</v>
      </c>
      <c r="T1433" s="3">
        <v>44.96</v>
      </c>
    </row>
    <row r="1434" spans="1:20" x14ac:dyDescent="0.3">
      <c r="A1434" s="1">
        <v>45454</v>
      </c>
      <c r="B1434" s="2" t="s">
        <v>48</v>
      </c>
      <c r="C1434" s="2" t="s">
        <v>73</v>
      </c>
      <c r="D1434" s="2" t="s">
        <v>31</v>
      </c>
      <c r="E1434" s="2" t="s">
        <v>124</v>
      </c>
      <c r="F1434" s="2" t="s">
        <v>24</v>
      </c>
      <c r="G1434">
        <v>3</v>
      </c>
      <c r="H1434">
        <v>151</v>
      </c>
      <c r="I1434">
        <v>23</v>
      </c>
      <c r="J1434" s="3">
        <v>108100</v>
      </c>
      <c r="K1434" s="3">
        <v>2486300</v>
      </c>
      <c r="L1434" s="2" t="s">
        <v>33</v>
      </c>
      <c r="M1434" s="2" t="s">
        <v>26</v>
      </c>
      <c r="N1434">
        <v>2024</v>
      </c>
      <c r="O1434" s="2" t="s">
        <v>143</v>
      </c>
      <c r="P1434" s="2" t="s">
        <v>146</v>
      </c>
      <c r="Q1434">
        <v>6</v>
      </c>
      <c r="R1434" s="4">
        <v>45444</v>
      </c>
      <c r="S1434" s="3">
        <v>108100</v>
      </c>
      <c r="T1434" s="3">
        <v>0.25</v>
      </c>
    </row>
    <row r="1435" spans="1:20" x14ac:dyDescent="0.3">
      <c r="A1435" s="1">
        <v>45454</v>
      </c>
      <c r="B1435" s="2" t="s">
        <v>29</v>
      </c>
      <c r="C1435" s="2" t="s">
        <v>104</v>
      </c>
      <c r="D1435" s="2" t="s">
        <v>42</v>
      </c>
      <c r="E1435" s="2" t="s">
        <v>43</v>
      </c>
      <c r="F1435" s="2" t="s">
        <v>24</v>
      </c>
      <c r="G1435">
        <v>3</v>
      </c>
      <c r="H1435">
        <v>135</v>
      </c>
      <c r="I1435">
        <v>35</v>
      </c>
      <c r="J1435" s="3">
        <v>119300</v>
      </c>
      <c r="K1435" s="3">
        <v>4175500</v>
      </c>
      <c r="L1435" s="2" t="s">
        <v>33</v>
      </c>
      <c r="M1435" s="2" t="s">
        <v>77</v>
      </c>
      <c r="N1435">
        <v>2024</v>
      </c>
      <c r="O1435" s="2" t="s">
        <v>143</v>
      </c>
      <c r="P1435" s="2" t="s">
        <v>146</v>
      </c>
      <c r="Q1435">
        <v>6</v>
      </c>
      <c r="R1435" s="4">
        <v>45444</v>
      </c>
      <c r="S1435" s="3">
        <v>119300</v>
      </c>
      <c r="T1435" s="3">
        <v>0.42</v>
      </c>
    </row>
    <row r="1436" spans="1:20" x14ac:dyDescent="0.3">
      <c r="A1436" s="1">
        <v>45455</v>
      </c>
      <c r="B1436" s="2" t="s">
        <v>75</v>
      </c>
      <c r="C1436" s="2" t="s">
        <v>76</v>
      </c>
      <c r="D1436" s="2" t="s">
        <v>63</v>
      </c>
      <c r="E1436" s="2" t="s">
        <v>64</v>
      </c>
      <c r="F1436" s="2" t="s">
        <v>24</v>
      </c>
      <c r="G1436">
        <v>3</v>
      </c>
      <c r="H1436">
        <v>127</v>
      </c>
      <c r="I1436">
        <v>138</v>
      </c>
      <c r="J1436" s="3">
        <v>181300</v>
      </c>
      <c r="K1436" s="3">
        <v>25019400</v>
      </c>
      <c r="L1436" s="2" t="s">
        <v>33</v>
      </c>
      <c r="M1436" s="2" t="s">
        <v>34</v>
      </c>
      <c r="N1436">
        <v>2024</v>
      </c>
      <c r="O1436" s="2" t="s">
        <v>143</v>
      </c>
      <c r="P1436" s="2" t="s">
        <v>146</v>
      </c>
      <c r="Q1436">
        <v>6</v>
      </c>
      <c r="R1436" s="4">
        <v>45444</v>
      </c>
      <c r="S1436" s="3">
        <v>181300</v>
      </c>
      <c r="T1436" s="3">
        <v>2.5</v>
      </c>
    </row>
    <row r="1437" spans="1:20" x14ac:dyDescent="0.3">
      <c r="A1437" s="1">
        <v>45456</v>
      </c>
      <c r="B1437" s="2" t="s">
        <v>20</v>
      </c>
      <c r="C1437" s="2" t="s">
        <v>125</v>
      </c>
      <c r="D1437" s="2" t="s">
        <v>94</v>
      </c>
      <c r="E1437" s="2" t="s">
        <v>115</v>
      </c>
      <c r="F1437" s="2" t="s">
        <v>39</v>
      </c>
      <c r="G1437">
        <v>24</v>
      </c>
      <c r="H1437">
        <v>24</v>
      </c>
      <c r="I1437">
        <v>19</v>
      </c>
      <c r="J1437" s="3">
        <v>1340400</v>
      </c>
      <c r="K1437" s="3">
        <v>25467600</v>
      </c>
      <c r="L1437" s="2" t="s">
        <v>25</v>
      </c>
      <c r="M1437" s="2" t="s">
        <v>26</v>
      </c>
      <c r="N1437">
        <v>2024</v>
      </c>
      <c r="O1437" s="2" t="s">
        <v>143</v>
      </c>
      <c r="P1437" s="2" t="s">
        <v>146</v>
      </c>
      <c r="Q1437">
        <v>6</v>
      </c>
      <c r="R1437" s="4">
        <v>45444</v>
      </c>
      <c r="S1437" s="3">
        <v>1340400</v>
      </c>
      <c r="T1437" s="3">
        <v>2.5499999999999998</v>
      </c>
    </row>
    <row r="1438" spans="1:20" x14ac:dyDescent="0.3">
      <c r="A1438" s="1">
        <v>45457</v>
      </c>
      <c r="B1438" s="2" t="s">
        <v>20</v>
      </c>
      <c r="C1438" s="2" t="s">
        <v>21</v>
      </c>
      <c r="D1438" s="2" t="s">
        <v>63</v>
      </c>
      <c r="E1438" s="2" t="s">
        <v>64</v>
      </c>
      <c r="F1438" s="2" t="s">
        <v>24</v>
      </c>
      <c r="G1438">
        <v>3</v>
      </c>
      <c r="H1438">
        <v>127</v>
      </c>
      <c r="I1438">
        <v>35</v>
      </c>
      <c r="J1438" s="3">
        <v>171100</v>
      </c>
      <c r="K1438" s="3">
        <v>5988500</v>
      </c>
      <c r="L1438" s="2" t="s">
        <v>25</v>
      </c>
      <c r="M1438" s="2" t="s">
        <v>77</v>
      </c>
      <c r="N1438">
        <v>2024</v>
      </c>
      <c r="O1438" s="2" t="s">
        <v>143</v>
      </c>
      <c r="P1438" s="2" t="s">
        <v>146</v>
      </c>
      <c r="Q1438">
        <v>6</v>
      </c>
      <c r="R1438" s="4">
        <v>45444</v>
      </c>
      <c r="S1438" s="3">
        <v>171100</v>
      </c>
      <c r="T1438" s="3">
        <v>0.6</v>
      </c>
    </row>
    <row r="1439" spans="1:20" x14ac:dyDescent="0.3">
      <c r="A1439" s="1">
        <v>45457</v>
      </c>
      <c r="B1439" s="2" t="s">
        <v>29</v>
      </c>
      <c r="C1439" s="2" t="s">
        <v>30</v>
      </c>
      <c r="D1439" s="2" t="s">
        <v>37</v>
      </c>
      <c r="E1439" s="2" t="s">
        <v>38</v>
      </c>
      <c r="F1439" s="2" t="s">
        <v>24</v>
      </c>
      <c r="G1439">
        <v>66</v>
      </c>
      <c r="H1439">
        <v>423</v>
      </c>
      <c r="I1439">
        <v>77</v>
      </c>
      <c r="J1439" s="3">
        <v>7223900</v>
      </c>
      <c r="K1439" s="3">
        <v>556240300</v>
      </c>
      <c r="L1439" s="2" t="s">
        <v>25</v>
      </c>
      <c r="M1439" s="2" t="s">
        <v>26</v>
      </c>
      <c r="N1439">
        <v>2024</v>
      </c>
      <c r="O1439" s="2" t="s">
        <v>143</v>
      </c>
      <c r="P1439" s="2" t="s">
        <v>146</v>
      </c>
      <c r="Q1439">
        <v>6</v>
      </c>
      <c r="R1439" s="4">
        <v>45444</v>
      </c>
      <c r="S1439" s="3">
        <v>7223900</v>
      </c>
      <c r="T1439" s="3">
        <v>55.62</v>
      </c>
    </row>
    <row r="1440" spans="1:20" x14ac:dyDescent="0.3">
      <c r="A1440" s="1">
        <v>45457</v>
      </c>
      <c r="B1440" s="2" t="s">
        <v>40</v>
      </c>
      <c r="C1440" s="2" t="s">
        <v>136</v>
      </c>
      <c r="D1440" s="2" t="s">
        <v>31</v>
      </c>
      <c r="E1440" s="2" t="s">
        <v>32</v>
      </c>
      <c r="F1440" s="2" t="s">
        <v>24</v>
      </c>
      <c r="G1440">
        <v>4</v>
      </c>
      <c r="H1440">
        <v>195</v>
      </c>
      <c r="I1440">
        <v>101</v>
      </c>
      <c r="J1440" s="3">
        <v>147700</v>
      </c>
      <c r="K1440" s="3">
        <v>14917700</v>
      </c>
      <c r="L1440" s="2" t="s">
        <v>33</v>
      </c>
      <c r="M1440" s="2" t="s">
        <v>34</v>
      </c>
      <c r="N1440">
        <v>2024</v>
      </c>
      <c r="O1440" s="2" t="s">
        <v>143</v>
      </c>
      <c r="P1440" s="2" t="s">
        <v>146</v>
      </c>
      <c r="Q1440">
        <v>6</v>
      </c>
      <c r="R1440" s="4">
        <v>45444</v>
      </c>
      <c r="S1440" s="3">
        <v>147700</v>
      </c>
      <c r="T1440" s="3">
        <v>1.49</v>
      </c>
    </row>
    <row r="1441" spans="1:20" x14ac:dyDescent="0.3">
      <c r="A1441" s="1">
        <v>45458</v>
      </c>
      <c r="B1441" s="2" t="s">
        <v>40</v>
      </c>
      <c r="C1441" s="2" t="s">
        <v>136</v>
      </c>
      <c r="D1441" s="2" t="s">
        <v>100</v>
      </c>
      <c r="E1441" s="2" t="s">
        <v>101</v>
      </c>
      <c r="F1441" s="2" t="s">
        <v>24</v>
      </c>
      <c r="G1441">
        <v>3</v>
      </c>
      <c r="H1441">
        <v>150</v>
      </c>
      <c r="I1441">
        <v>161</v>
      </c>
      <c r="J1441" s="3">
        <v>176700</v>
      </c>
      <c r="K1441" s="3">
        <v>28448700</v>
      </c>
      <c r="L1441" s="2" t="s">
        <v>33</v>
      </c>
      <c r="M1441" s="2" t="s">
        <v>77</v>
      </c>
      <c r="N1441">
        <v>2024</v>
      </c>
      <c r="O1441" s="2" t="s">
        <v>143</v>
      </c>
      <c r="P1441" s="2" t="s">
        <v>146</v>
      </c>
      <c r="Q1441">
        <v>6</v>
      </c>
      <c r="R1441" s="4">
        <v>45444</v>
      </c>
      <c r="S1441" s="3">
        <v>176700</v>
      </c>
      <c r="T1441" s="3">
        <v>2.84</v>
      </c>
    </row>
    <row r="1442" spans="1:20" x14ac:dyDescent="0.3">
      <c r="A1442" s="1">
        <v>45458</v>
      </c>
      <c r="B1442" s="2" t="s">
        <v>29</v>
      </c>
      <c r="C1442" s="2" t="s">
        <v>30</v>
      </c>
      <c r="D1442" s="2" t="s">
        <v>102</v>
      </c>
      <c r="E1442" s="2" t="s">
        <v>103</v>
      </c>
      <c r="F1442" s="2" t="s">
        <v>24</v>
      </c>
      <c r="G1442">
        <v>5</v>
      </c>
      <c r="H1442">
        <v>150</v>
      </c>
      <c r="I1442">
        <v>86</v>
      </c>
      <c r="J1442" s="3">
        <v>156400</v>
      </c>
      <c r="K1442" s="3">
        <v>13450400</v>
      </c>
      <c r="L1442" s="2" t="s">
        <v>33</v>
      </c>
      <c r="M1442" s="2" t="s">
        <v>26</v>
      </c>
      <c r="N1442">
        <v>2024</v>
      </c>
      <c r="O1442" s="2" t="s">
        <v>143</v>
      </c>
      <c r="P1442" s="2" t="s">
        <v>146</v>
      </c>
      <c r="Q1442">
        <v>6</v>
      </c>
      <c r="R1442" s="4">
        <v>45444</v>
      </c>
      <c r="S1442" s="3">
        <v>156400</v>
      </c>
      <c r="T1442" s="3">
        <v>1.35</v>
      </c>
    </row>
    <row r="1443" spans="1:20" x14ac:dyDescent="0.3">
      <c r="A1443" s="1">
        <v>45458</v>
      </c>
      <c r="B1443" s="2" t="s">
        <v>48</v>
      </c>
      <c r="C1443" s="2" t="s">
        <v>73</v>
      </c>
      <c r="D1443" s="2" t="s">
        <v>102</v>
      </c>
      <c r="E1443" s="2" t="s">
        <v>103</v>
      </c>
      <c r="F1443" s="2" t="s">
        <v>24</v>
      </c>
      <c r="G1443">
        <v>5</v>
      </c>
      <c r="H1443">
        <v>150</v>
      </c>
      <c r="I1443">
        <v>169</v>
      </c>
      <c r="J1443" s="3">
        <v>182600</v>
      </c>
      <c r="K1443" s="3">
        <v>30859400</v>
      </c>
      <c r="L1443" s="2" t="s">
        <v>33</v>
      </c>
      <c r="M1443" s="2" t="s">
        <v>77</v>
      </c>
      <c r="N1443">
        <v>2024</v>
      </c>
      <c r="O1443" s="2" t="s">
        <v>143</v>
      </c>
      <c r="P1443" s="2" t="s">
        <v>146</v>
      </c>
      <c r="Q1443">
        <v>6</v>
      </c>
      <c r="R1443" s="4">
        <v>45444</v>
      </c>
      <c r="S1443" s="3">
        <v>182600</v>
      </c>
      <c r="T1443" s="3">
        <v>3.09</v>
      </c>
    </row>
    <row r="1444" spans="1:20" x14ac:dyDescent="0.3">
      <c r="A1444" s="1">
        <v>45458</v>
      </c>
      <c r="B1444" s="2" t="s">
        <v>84</v>
      </c>
      <c r="C1444" s="2" t="s">
        <v>113</v>
      </c>
      <c r="D1444" s="2" t="s">
        <v>70</v>
      </c>
      <c r="E1444" s="2" t="s">
        <v>74</v>
      </c>
      <c r="F1444" s="2" t="s">
        <v>24</v>
      </c>
      <c r="G1444">
        <v>25</v>
      </c>
      <c r="H1444">
        <v>32</v>
      </c>
      <c r="I1444">
        <v>159</v>
      </c>
      <c r="J1444" s="3">
        <v>1173100</v>
      </c>
      <c r="K1444" s="3">
        <v>186522900</v>
      </c>
      <c r="L1444" s="2" t="s">
        <v>25</v>
      </c>
      <c r="M1444" s="2" t="s">
        <v>26</v>
      </c>
      <c r="N1444">
        <v>2024</v>
      </c>
      <c r="O1444" s="2" t="s">
        <v>143</v>
      </c>
      <c r="P1444" s="2" t="s">
        <v>146</v>
      </c>
      <c r="Q1444">
        <v>6</v>
      </c>
      <c r="R1444" s="4">
        <v>45444</v>
      </c>
      <c r="S1444" s="3">
        <v>1173100</v>
      </c>
      <c r="T1444" s="3">
        <v>18.649999999999999</v>
      </c>
    </row>
    <row r="1445" spans="1:20" x14ac:dyDescent="0.3">
      <c r="A1445" s="1">
        <v>45459</v>
      </c>
      <c r="B1445" s="2" t="s">
        <v>46</v>
      </c>
      <c r="C1445" s="2" t="s">
        <v>47</v>
      </c>
      <c r="D1445" s="2" t="s">
        <v>50</v>
      </c>
      <c r="E1445" s="2" t="s">
        <v>51</v>
      </c>
      <c r="F1445" s="2" t="s">
        <v>24</v>
      </c>
      <c r="G1445">
        <v>77</v>
      </c>
      <c r="H1445">
        <v>528</v>
      </c>
      <c r="I1445">
        <v>66</v>
      </c>
      <c r="J1445" s="3">
        <v>5612800</v>
      </c>
      <c r="K1445" s="3">
        <v>370444800</v>
      </c>
      <c r="L1445" s="2" t="s">
        <v>25</v>
      </c>
      <c r="M1445" s="2" t="s">
        <v>26</v>
      </c>
      <c r="N1445">
        <v>2024</v>
      </c>
      <c r="O1445" s="2" t="s">
        <v>143</v>
      </c>
      <c r="P1445" s="2" t="s">
        <v>146</v>
      </c>
      <c r="Q1445">
        <v>6</v>
      </c>
      <c r="R1445" s="4">
        <v>45444</v>
      </c>
      <c r="S1445" s="3">
        <v>5612800</v>
      </c>
      <c r="T1445" s="3">
        <v>37.04</v>
      </c>
    </row>
    <row r="1446" spans="1:20" x14ac:dyDescent="0.3">
      <c r="A1446" s="1">
        <v>45459</v>
      </c>
      <c r="B1446" s="2" t="s">
        <v>108</v>
      </c>
      <c r="C1446" s="2" t="s">
        <v>133</v>
      </c>
      <c r="D1446" s="2" t="s">
        <v>70</v>
      </c>
      <c r="E1446" s="2" t="s">
        <v>74</v>
      </c>
      <c r="F1446" s="2" t="s">
        <v>24</v>
      </c>
      <c r="G1446">
        <v>25</v>
      </c>
      <c r="H1446">
        <v>32</v>
      </c>
      <c r="I1446">
        <v>68</v>
      </c>
      <c r="J1446" s="3">
        <v>1299100</v>
      </c>
      <c r="K1446" s="3">
        <v>88338800</v>
      </c>
      <c r="L1446" s="2" t="s">
        <v>33</v>
      </c>
      <c r="M1446" s="2" t="s">
        <v>26</v>
      </c>
      <c r="N1446">
        <v>2024</v>
      </c>
      <c r="O1446" s="2" t="s">
        <v>143</v>
      </c>
      <c r="P1446" s="2" t="s">
        <v>146</v>
      </c>
      <c r="Q1446">
        <v>6</v>
      </c>
      <c r="R1446" s="4">
        <v>45444</v>
      </c>
      <c r="S1446" s="3">
        <v>1299100</v>
      </c>
      <c r="T1446" s="3">
        <v>8.83</v>
      </c>
    </row>
    <row r="1447" spans="1:20" x14ac:dyDescent="0.3">
      <c r="A1447" s="1">
        <v>45459</v>
      </c>
      <c r="B1447" s="2" t="s">
        <v>106</v>
      </c>
      <c r="C1447" s="2" t="s">
        <v>120</v>
      </c>
      <c r="D1447" s="2" t="s">
        <v>31</v>
      </c>
      <c r="E1447" s="2" t="s">
        <v>32</v>
      </c>
      <c r="F1447" s="2" t="s">
        <v>24</v>
      </c>
      <c r="G1447">
        <v>4</v>
      </c>
      <c r="H1447">
        <v>195</v>
      </c>
      <c r="I1447">
        <v>64</v>
      </c>
      <c r="J1447" s="3">
        <v>128800</v>
      </c>
      <c r="K1447" s="3">
        <v>8243200</v>
      </c>
      <c r="L1447" s="2" t="s">
        <v>25</v>
      </c>
      <c r="M1447" s="2" t="s">
        <v>26</v>
      </c>
      <c r="N1447">
        <v>2024</v>
      </c>
      <c r="O1447" s="2" t="s">
        <v>143</v>
      </c>
      <c r="P1447" s="2" t="s">
        <v>146</v>
      </c>
      <c r="Q1447">
        <v>6</v>
      </c>
      <c r="R1447" s="4">
        <v>45444</v>
      </c>
      <c r="S1447" s="3">
        <v>128800</v>
      </c>
      <c r="T1447" s="3">
        <v>0.82</v>
      </c>
    </row>
    <row r="1448" spans="1:20" x14ac:dyDescent="0.3">
      <c r="A1448" s="1">
        <v>45460</v>
      </c>
      <c r="B1448" s="2" t="s">
        <v>46</v>
      </c>
      <c r="C1448" s="2" t="s">
        <v>110</v>
      </c>
      <c r="D1448" s="2" t="s">
        <v>67</v>
      </c>
      <c r="E1448" s="2" t="s">
        <v>68</v>
      </c>
      <c r="F1448" s="2" t="s">
        <v>39</v>
      </c>
      <c r="G1448">
        <v>66</v>
      </c>
      <c r="H1448">
        <v>440</v>
      </c>
      <c r="I1448">
        <v>60</v>
      </c>
      <c r="J1448" s="3">
        <v>5729100</v>
      </c>
      <c r="K1448" s="3">
        <v>343746000</v>
      </c>
      <c r="L1448" s="2" t="s">
        <v>92</v>
      </c>
      <c r="M1448" s="2" t="s">
        <v>34</v>
      </c>
      <c r="N1448">
        <v>2024</v>
      </c>
      <c r="O1448" s="2" t="s">
        <v>143</v>
      </c>
      <c r="P1448" s="2" t="s">
        <v>146</v>
      </c>
      <c r="Q1448">
        <v>6</v>
      </c>
      <c r="R1448" s="4">
        <v>45444</v>
      </c>
      <c r="S1448" s="3">
        <v>5729100</v>
      </c>
      <c r="T1448" s="3">
        <v>34.369999999999997</v>
      </c>
    </row>
    <row r="1449" spans="1:20" x14ac:dyDescent="0.3">
      <c r="A1449" s="1">
        <v>45460</v>
      </c>
      <c r="B1449" s="2" t="s">
        <v>29</v>
      </c>
      <c r="C1449" s="2" t="s">
        <v>96</v>
      </c>
      <c r="D1449" s="2" t="s">
        <v>50</v>
      </c>
      <c r="E1449" s="2" t="s">
        <v>51</v>
      </c>
      <c r="F1449" s="2" t="s">
        <v>138</v>
      </c>
      <c r="G1449">
        <v>77</v>
      </c>
      <c r="H1449">
        <v>528</v>
      </c>
      <c r="I1449">
        <v>13</v>
      </c>
      <c r="J1449" s="3">
        <v>5553300</v>
      </c>
      <c r="K1449" s="3">
        <v>72192900</v>
      </c>
      <c r="L1449" s="2" t="s">
        <v>33</v>
      </c>
      <c r="M1449" s="2" t="s">
        <v>77</v>
      </c>
      <c r="N1449">
        <v>2024</v>
      </c>
      <c r="O1449" s="2" t="s">
        <v>143</v>
      </c>
      <c r="P1449" s="2" t="s">
        <v>146</v>
      </c>
      <c r="Q1449">
        <v>6</v>
      </c>
      <c r="R1449" s="4">
        <v>45444</v>
      </c>
      <c r="S1449" s="3">
        <v>5553300</v>
      </c>
      <c r="T1449" s="3">
        <v>7.22</v>
      </c>
    </row>
    <row r="1450" spans="1:20" x14ac:dyDescent="0.3">
      <c r="A1450" s="1">
        <v>45460</v>
      </c>
      <c r="B1450" s="2" t="s">
        <v>108</v>
      </c>
      <c r="C1450" s="2" t="s">
        <v>131</v>
      </c>
      <c r="D1450" s="2" t="s">
        <v>22</v>
      </c>
      <c r="E1450" s="2" t="s">
        <v>23</v>
      </c>
      <c r="F1450" s="2" t="s">
        <v>138</v>
      </c>
      <c r="G1450">
        <v>82</v>
      </c>
      <c r="H1450">
        <v>520</v>
      </c>
      <c r="I1450">
        <v>62</v>
      </c>
      <c r="J1450" s="3">
        <v>7568000</v>
      </c>
      <c r="K1450" s="3">
        <v>469216000</v>
      </c>
      <c r="L1450" s="2" t="s">
        <v>25</v>
      </c>
      <c r="M1450" s="2" t="s">
        <v>34</v>
      </c>
      <c r="N1450">
        <v>2024</v>
      </c>
      <c r="O1450" s="2" t="s">
        <v>143</v>
      </c>
      <c r="P1450" s="2" t="s">
        <v>146</v>
      </c>
      <c r="Q1450">
        <v>6</v>
      </c>
      <c r="R1450" s="4">
        <v>45444</v>
      </c>
      <c r="S1450" s="3">
        <v>7568000</v>
      </c>
      <c r="T1450" s="3">
        <v>46.92</v>
      </c>
    </row>
    <row r="1451" spans="1:20" x14ac:dyDescent="0.3">
      <c r="A1451" s="1">
        <v>45460</v>
      </c>
      <c r="B1451" s="2" t="s">
        <v>52</v>
      </c>
      <c r="C1451" s="2" t="s">
        <v>66</v>
      </c>
      <c r="D1451" s="2" t="s">
        <v>63</v>
      </c>
      <c r="E1451" s="2" t="s">
        <v>64</v>
      </c>
      <c r="F1451" s="2" t="s">
        <v>24</v>
      </c>
      <c r="G1451">
        <v>3</v>
      </c>
      <c r="H1451">
        <v>127</v>
      </c>
      <c r="I1451">
        <v>178</v>
      </c>
      <c r="J1451" s="3">
        <v>164600</v>
      </c>
      <c r="K1451" s="3">
        <v>29298800</v>
      </c>
      <c r="L1451" s="2" t="s">
        <v>33</v>
      </c>
      <c r="M1451" s="2" t="s">
        <v>34</v>
      </c>
      <c r="N1451">
        <v>2024</v>
      </c>
      <c r="O1451" s="2" t="s">
        <v>143</v>
      </c>
      <c r="P1451" s="2" t="s">
        <v>146</v>
      </c>
      <c r="Q1451">
        <v>6</v>
      </c>
      <c r="R1451" s="4">
        <v>45444</v>
      </c>
      <c r="S1451" s="3">
        <v>164600</v>
      </c>
      <c r="T1451" s="3">
        <v>2.93</v>
      </c>
    </row>
    <row r="1452" spans="1:20" x14ac:dyDescent="0.3">
      <c r="A1452" s="1">
        <v>45461</v>
      </c>
      <c r="B1452" s="2" t="s">
        <v>46</v>
      </c>
      <c r="C1452" s="2" t="s">
        <v>56</v>
      </c>
      <c r="D1452" s="2" t="s">
        <v>54</v>
      </c>
      <c r="E1452" s="2" t="s">
        <v>55</v>
      </c>
      <c r="F1452" s="2" t="s">
        <v>24</v>
      </c>
      <c r="G1452">
        <v>30</v>
      </c>
      <c r="H1452">
        <v>320</v>
      </c>
      <c r="I1452">
        <v>78</v>
      </c>
      <c r="J1452" s="3">
        <v>1227000</v>
      </c>
      <c r="K1452" s="3">
        <v>95706000</v>
      </c>
      <c r="L1452" s="2" t="s">
        <v>33</v>
      </c>
      <c r="M1452" s="2" t="s">
        <v>26</v>
      </c>
      <c r="N1452">
        <v>2024</v>
      </c>
      <c r="O1452" s="2" t="s">
        <v>143</v>
      </c>
      <c r="P1452" s="2" t="s">
        <v>146</v>
      </c>
      <c r="Q1452">
        <v>6</v>
      </c>
      <c r="R1452" s="4">
        <v>45444</v>
      </c>
      <c r="S1452" s="3">
        <v>1227000</v>
      </c>
      <c r="T1452" s="3">
        <v>9.57</v>
      </c>
    </row>
    <row r="1453" spans="1:20" x14ac:dyDescent="0.3">
      <c r="A1453" s="1">
        <v>45461</v>
      </c>
      <c r="B1453" s="2" t="s">
        <v>40</v>
      </c>
      <c r="C1453" s="2" t="s">
        <v>136</v>
      </c>
      <c r="D1453" s="2" t="s">
        <v>22</v>
      </c>
      <c r="E1453" s="2" t="s">
        <v>23</v>
      </c>
      <c r="F1453" s="2" t="s">
        <v>24</v>
      </c>
      <c r="G1453">
        <v>82</v>
      </c>
      <c r="H1453">
        <v>520</v>
      </c>
      <c r="I1453">
        <v>32</v>
      </c>
      <c r="J1453" s="3">
        <v>6470200</v>
      </c>
      <c r="K1453" s="3">
        <v>207046400</v>
      </c>
      <c r="L1453" s="2" t="s">
        <v>25</v>
      </c>
      <c r="M1453" s="2" t="s">
        <v>26</v>
      </c>
      <c r="N1453">
        <v>2024</v>
      </c>
      <c r="O1453" s="2" t="s">
        <v>143</v>
      </c>
      <c r="P1453" s="2" t="s">
        <v>146</v>
      </c>
      <c r="Q1453">
        <v>6</v>
      </c>
      <c r="R1453" s="4">
        <v>45444</v>
      </c>
      <c r="S1453" s="3">
        <v>6470200</v>
      </c>
      <c r="T1453" s="3">
        <v>20.7</v>
      </c>
    </row>
    <row r="1454" spans="1:20" x14ac:dyDescent="0.3">
      <c r="A1454" s="1">
        <v>45461</v>
      </c>
      <c r="B1454" s="2" t="s">
        <v>35</v>
      </c>
      <c r="C1454" s="2" t="s">
        <v>36</v>
      </c>
      <c r="D1454" s="2" t="s">
        <v>100</v>
      </c>
      <c r="E1454" s="2" t="s">
        <v>101</v>
      </c>
      <c r="F1454" s="2" t="s">
        <v>24</v>
      </c>
      <c r="G1454">
        <v>3</v>
      </c>
      <c r="H1454">
        <v>150</v>
      </c>
      <c r="I1454">
        <v>107</v>
      </c>
      <c r="J1454" s="3">
        <v>137400</v>
      </c>
      <c r="K1454" s="3">
        <v>14701800</v>
      </c>
      <c r="L1454" s="2" t="s">
        <v>33</v>
      </c>
      <c r="M1454" s="2" t="s">
        <v>26</v>
      </c>
      <c r="N1454">
        <v>2024</v>
      </c>
      <c r="O1454" s="2" t="s">
        <v>143</v>
      </c>
      <c r="P1454" s="2" t="s">
        <v>146</v>
      </c>
      <c r="Q1454">
        <v>6</v>
      </c>
      <c r="R1454" s="4">
        <v>45444</v>
      </c>
      <c r="S1454" s="3">
        <v>137400</v>
      </c>
      <c r="T1454" s="3">
        <v>1.47</v>
      </c>
    </row>
    <row r="1455" spans="1:20" x14ac:dyDescent="0.3">
      <c r="A1455" s="1">
        <v>45462</v>
      </c>
      <c r="B1455" s="2" t="s">
        <v>75</v>
      </c>
      <c r="C1455" s="2" t="s">
        <v>76</v>
      </c>
      <c r="D1455" s="2" t="s">
        <v>94</v>
      </c>
      <c r="E1455" s="2" t="s">
        <v>95</v>
      </c>
      <c r="F1455" s="2" t="s">
        <v>72</v>
      </c>
      <c r="G1455">
        <v>40</v>
      </c>
      <c r="H1455">
        <v>30</v>
      </c>
      <c r="I1455">
        <v>164</v>
      </c>
      <c r="J1455" s="3">
        <v>2070300</v>
      </c>
      <c r="K1455" s="3">
        <v>339529200</v>
      </c>
      <c r="L1455" s="2" t="s">
        <v>25</v>
      </c>
      <c r="M1455" s="2" t="s">
        <v>26</v>
      </c>
      <c r="N1455">
        <v>2024</v>
      </c>
      <c r="O1455" s="2" t="s">
        <v>143</v>
      </c>
      <c r="P1455" s="2" t="s">
        <v>146</v>
      </c>
      <c r="Q1455">
        <v>6</v>
      </c>
      <c r="R1455" s="4">
        <v>45444</v>
      </c>
      <c r="S1455" s="3">
        <v>2070300</v>
      </c>
      <c r="T1455" s="3">
        <v>33.950000000000003</v>
      </c>
    </row>
    <row r="1456" spans="1:20" x14ac:dyDescent="0.3">
      <c r="A1456" s="1">
        <v>45462</v>
      </c>
      <c r="B1456" s="2" t="s">
        <v>59</v>
      </c>
      <c r="C1456" s="2" t="s">
        <v>81</v>
      </c>
      <c r="D1456" s="2" t="s">
        <v>22</v>
      </c>
      <c r="E1456" s="2" t="s">
        <v>23</v>
      </c>
      <c r="F1456" s="2" t="s">
        <v>24</v>
      </c>
      <c r="G1456">
        <v>82</v>
      </c>
      <c r="H1456">
        <v>520</v>
      </c>
      <c r="I1456">
        <v>26</v>
      </c>
      <c r="J1456" s="3">
        <v>6039500</v>
      </c>
      <c r="K1456" s="3">
        <v>157027000</v>
      </c>
      <c r="L1456" s="2" t="s">
        <v>33</v>
      </c>
      <c r="M1456" s="2" t="s">
        <v>26</v>
      </c>
      <c r="N1456">
        <v>2024</v>
      </c>
      <c r="O1456" s="2" t="s">
        <v>143</v>
      </c>
      <c r="P1456" s="2" t="s">
        <v>146</v>
      </c>
      <c r="Q1456">
        <v>6</v>
      </c>
      <c r="R1456" s="4">
        <v>45444</v>
      </c>
      <c r="S1456" s="3">
        <v>6039500</v>
      </c>
      <c r="T1456" s="3">
        <v>15.7</v>
      </c>
    </row>
    <row r="1457" spans="1:20" x14ac:dyDescent="0.3">
      <c r="A1457" s="1">
        <v>45462</v>
      </c>
      <c r="B1457" s="2" t="s">
        <v>29</v>
      </c>
      <c r="C1457" s="2" t="s">
        <v>104</v>
      </c>
      <c r="D1457" s="2" t="s">
        <v>57</v>
      </c>
      <c r="E1457" s="2" t="s">
        <v>58</v>
      </c>
      <c r="F1457" s="2" t="s">
        <v>24</v>
      </c>
      <c r="G1457">
        <v>72</v>
      </c>
      <c r="H1457">
        <v>488</v>
      </c>
      <c r="I1457">
        <v>142</v>
      </c>
      <c r="J1457" s="3">
        <v>5157300</v>
      </c>
      <c r="K1457" s="3">
        <v>732336600</v>
      </c>
      <c r="L1457" s="2" t="s">
        <v>33</v>
      </c>
      <c r="M1457" s="2" t="s">
        <v>77</v>
      </c>
      <c r="N1457">
        <v>2024</v>
      </c>
      <c r="O1457" s="2" t="s">
        <v>143</v>
      </c>
      <c r="P1457" s="2" t="s">
        <v>146</v>
      </c>
      <c r="Q1457">
        <v>6</v>
      </c>
      <c r="R1457" s="4">
        <v>45444</v>
      </c>
      <c r="S1457" s="3">
        <v>5157300</v>
      </c>
      <c r="T1457" s="3">
        <v>73.23</v>
      </c>
    </row>
    <row r="1458" spans="1:20" x14ac:dyDescent="0.3">
      <c r="A1458" s="1">
        <v>45463</v>
      </c>
      <c r="B1458" s="2" t="s">
        <v>35</v>
      </c>
      <c r="C1458" s="2" t="s">
        <v>132</v>
      </c>
      <c r="D1458" s="2" t="s">
        <v>100</v>
      </c>
      <c r="E1458" s="2" t="s">
        <v>101</v>
      </c>
      <c r="F1458" s="2" t="s">
        <v>24</v>
      </c>
      <c r="G1458">
        <v>3</v>
      </c>
      <c r="H1458">
        <v>150</v>
      </c>
      <c r="I1458">
        <v>143</v>
      </c>
      <c r="J1458" s="3">
        <v>168100</v>
      </c>
      <c r="K1458" s="3">
        <v>24038300</v>
      </c>
      <c r="L1458" s="2" t="s">
        <v>33</v>
      </c>
      <c r="M1458" s="2" t="s">
        <v>26</v>
      </c>
      <c r="N1458">
        <v>2024</v>
      </c>
      <c r="O1458" s="2" t="s">
        <v>143</v>
      </c>
      <c r="P1458" s="2" t="s">
        <v>146</v>
      </c>
      <c r="Q1458">
        <v>6</v>
      </c>
      <c r="R1458" s="4">
        <v>45444</v>
      </c>
      <c r="S1458" s="3">
        <v>168100</v>
      </c>
      <c r="T1458" s="3">
        <v>2.4</v>
      </c>
    </row>
    <row r="1459" spans="1:20" x14ac:dyDescent="0.3">
      <c r="A1459" s="1">
        <v>45463</v>
      </c>
      <c r="B1459" s="2" t="s">
        <v>52</v>
      </c>
      <c r="C1459" s="2" t="s">
        <v>66</v>
      </c>
      <c r="D1459" s="2" t="s">
        <v>88</v>
      </c>
      <c r="E1459" s="2" t="s">
        <v>89</v>
      </c>
      <c r="F1459" s="2" t="s">
        <v>24</v>
      </c>
      <c r="G1459">
        <v>82</v>
      </c>
      <c r="H1459">
        <v>580</v>
      </c>
      <c r="I1459">
        <v>74</v>
      </c>
      <c r="J1459" s="3">
        <v>4513900</v>
      </c>
      <c r="K1459" s="3">
        <v>334028600</v>
      </c>
      <c r="L1459" s="2" t="s">
        <v>25</v>
      </c>
      <c r="M1459" s="2" t="s">
        <v>77</v>
      </c>
      <c r="N1459">
        <v>2024</v>
      </c>
      <c r="O1459" s="2" t="s">
        <v>143</v>
      </c>
      <c r="P1459" s="2" t="s">
        <v>146</v>
      </c>
      <c r="Q1459">
        <v>6</v>
      </c>
      <c r="R1459" s="4">
        <v>45444</v>
      </c>
      <c r="S1459" s="3">
        <v>4513900</v>
      </c>
      <c r="T1459" s="3">
        <v>33.4</v>
      </c>
    </row>
    <row r="1460" spans="1:20" x14ac:dyDescent="0.3">
      <c r="A1460" s="1">
        <v>45463</v>
      </c>
      <c r="B1460" s="2" t="s">
        <v>44</v>
      </c>
      <c r="C1460" s="2" t="s">
        <v>45</v>
      </c>
      <c r="D1460" s="2" t="s">
        <v>94</v>
      </c>
      <c r="E1460" s="2" t="s">
        <v>115</v>
      </c>
      <c r="F1460" s="2" t="s">
        <v>24</v>
      </c>
      <c r="G1460">
        <v>24</v>
      </c>
      <c r="H1460">
        <v>24</v>
      </c>
      <c r="I1460">
        <v>146</v>
      </c>
      <c r="J1460" s="3">
        <v>1549600</v>
      </c>
      <c r="K1460" s="3">
        <v>226241600</v>
      </c>
      <c r="L1460" s="2" t="s">
        <v>33</v>
      </c>
      <c r="M1460" s="2" t="s">
        <v>26</v>
      </c>
      <c r="N1460">
        <v>2024</v>
      </c>
      <c r="O1460" s="2" t="s">
        <v>143</v>
      </c>
      <c r="P1460" s="2" t="s">
        <v>146</v>
      </c>
      <c r="Q1460">
        <v>6</v>
      </c>
      <c r="R1460" s="4">
        <v>45444</v>
      </c>
      <c r="S1460" s="3">
        <v>1549600</v>
      </c>
      <c r="T1460" s="3">
        <v>22.62</v>
      </c>
    </row>
    <row r="1461" spans="1:20" x14ac:dyDescent="0.3">
      <c r="A1461" s="1">
        <v>45464</v>
      </c>
      <c r="B1461" s="2" t="s">
        <v>29</v>
      </c>
      <c r="C1461" s="2" t="s">
        <v>65</v>
      </c>
      <c r="D1461" s="2" t="s">
        <v>42</v>
      </c>
      <c r="E1461" s="2" t="s">
        <v>43</v>
      </c>
      <c r="F1461" s="2" t="s">
        <v>24</v>
      </c>
      <c r="G1461">
        <v>3</v>
      </c>
      <c r="H1461">
        <v>135</v>
      </c>
      <c r="I1461">
        <v>176</v>
      </c>
      <c r="J1461" s="3">
        <v>117700</v>
      </c>
      <c r="K1461" s="3">
        <v>20715200</v>
      </c>
      <c r="L1461" s="2" t="s">
        <v>33</v>
      </c>
      <c r="M1461" s="2" t="s">
        <v>26</v>
      </c>
      <c r="N1461">
        <v>2024</v>
      </c>
      <c r="O1461" s="2" t="s">
        <v>143</v>
      </c>
      <c r="P1461" s="2" t="s">
        <v>146</v>
      </c>
      <c r="Q1461">
        <v>6</v>
      </c>
      <c r="R1461" s="4">
        <v>45444</v>
      </c>
      <c r="S1461" s="3">
        <v>117700</v>
      </c>
      <c r="T1461" s="3">
        <v>2.0699999999999998</v>
      </c>
    </row>
    <row r="1462" spans="1:20" x14ac:dyDescent="0.3">
      <c r="A1462" s="1">
        <v>45464</v>
      </c>
      <c r="B1462" s="2" t="s">
        <v>40</v>
      </c>
      <c r="C1462" s="2" t="s">
        <v>41</v>
      </c>
      <c r="D1462" s="2" t="s">
        <v>31</v>
      </c>
      <c r="E1462" s="2" t="s">
        <v>124</v>
      </c>
      <c r="F1462" s="2" t="s">
        <v>24</v>
      </c>
      <c r="G1462">
        <v>3</v>
      </c>
      <c r="H1462">
        <v>151</v>
      </c>
      <c r="I1462">
        <v>160</v>
      </c>
      <c r="J1462" s="3">
        <v>127000</v>
      </c>
      <c r="K1462" s="3">
        <v>20320000</v>
      </c>
      <c r="L1462" s="2" t="s">
        <v>33</v>
      </c>
      <c r="M1462" s="2" t="s">
        <v>26</v>
      </c>
      <c r="N1462">
        <v>2024</v>
      </c>
      <c r="O1462" s="2" t="s">
        <v>143</v>
      </c>
      <c r="P1462" s="2" t="s">
        <v>146</v>
      </c>
      <c r="Q1462">
        <v>6</v>
      </c>
      <c r="R1462" s="4">
        <v>45444</v>
      </c>
      <c r="S1462" s="3">
        <v>127000</v>
      </c>
      <c r="T1462" s="3">
        <v>2.0299999999999998</v>
      </c>
    </row>
    <row r="1463" spans="1:20" x14ac:dyDescent="0.3">
      <c r="A1463" s="1">
        <v>45464</v>
      </c>
      <c r="B1463" s="2" t="s">
        <v>48</v>
      </c>
      <c r="C1463" s="2" t="s">
        <v>73</v>
      </c>
      <c r="D1463" s="2" t="s">
        <v>37</v>
      </c>
      <c r="E1463" s="2" t="s">
        <v>38</v>
      </c>
      <c r="F1463" s="2" t="s">
        <v>24</v>
      </c>
      <c r="G1463">
        <v>66</v>
      </c>
      <c r="H1463">
        <v>423</v>
      </c>
      <c r="I1463">
        <v>10</v>
      </c>
      <c r="J1463" s="3">
        <v>9047500</v>
      </c>
      <c r="K1463" s="3">
        <v>90475000</v>
      </c>
      <c r="L1463" s="2" t="s">
        <v>33</v>
      </c>
      <c r="M1463" s="2" t="s">
        <v>26</v>
      </c>
      <c r="N1463">
        <v>2024</v>
      </c>
      <c r="O1463" s="2" t="s">
        <v>143</v>
      </c>
      <c r="P1463" s="2" t="s">
        <v>146</v>
      </c>
      <c r="Q1463">
        <v>6</v>
      </c>
      <c r="R1463" s="4">
        <v>45444</v>
      </c>
      <c r="S1463" s="3">
        <v>9047500</v>
      </c>
      <c r="T1463" s="3">
        <v>9.0500000000000007</v>
      </c>
    </row>
    <row r="1464" spans="1:20" x14ac:dyDescent="0.3">
      <c r="A1464" s="1">
        <v>45464</v>
      </c>
      <c r="B1464" s="2" t="s">
        <v>75</v>
      </c>
      <c r="C1464" s="2" t="s">
        <v>122</v>
      </c>
      <c r="D1464" s="2" t="s">
        <v>42</v>
      </c>
      <c r="E1464" s="2" t="s">
        <v>43</v>
      </c>
      <c r="F1464" s="2" t="s">
        <v>24</v>
      </c>
      <c r="G1464">
        <v>3</v>
      </c>
      <c r="H1464">
        <v>135</v>
      </c>
      <c r="I1464">
        <v>82</v>
      </c>
      <c r="J1464" s="3">
        <v>128000</v>
      </c>
      <c r="K1464" s="3">
        <v>10496000</v>
      </c>
      <c r="L1464" s="2" t="s">
        <v>33</v>
      </c>
      <c r="M1464" s="2" t="s">
        <v>77</v>
      </c>
      <c r="N1464">
        <v>2024</v>
      </c>
      <c r="O1464" s="2" t="s">
        <v>143</v>
      </c>
      <c r="P1464" s="2" t="s">
        <v>146</v>
      </c>
      <c r="Q1464">
        <v>6</v>
      </c>
      <c r="R1464" s="4">
        <v>45444</v>
      </c>
      <c r="S1464" s="3">
        <v>128000</v>
      </c>
      <c r="T1464" s="3">
        <v>1.05</v>
      </c>
    </row>
    <row r="1465" spans="1:20" x14ac:dyDescent="0.3">
      <c r="A1465" s="1">
        <v>45465</v>
      </c>
      <c r="B1465" s="2" t="s">
        <v>44</v>
      </c>
      <c r="C1465" s="2" t="s">
        <v>117</v>
      </c>
      <c r="D1465" s="2" t="s">
        <v>67</v>
      </c>
      <c r="E1465" s="2" t="s">
        <v>68</v>
      </c>
      <c r="F1465" s="2" t="s">
        <v>72</v>
      </c>
      <c r="G1465">
        <v>66</v>
      </c>
      <c r="H1465">
        <v>440</v>
      </c>
      <c r="I1465">
        <v>7</v>
      </c>
      <c r="J1465" s="3">
        <v>6680800</v>
      </c>
      <c r="K1465" s="3">
        <v>46765600</v>
      </c>
      <c r="L1465" s="2" t="s">
        <v>92</v>
      </c>
      <c r="M1465" s="2" t="s">
        <v>34</v>
      </c>
      <c r="N1465">
        <v>2024</v>
      </c>
      <c r="O1465" s="2" t="s">
        <v>143</v>
      </c>
      <c r="P1465" s="2" t="s">
        <v>146</v>
      </c>
      <c r="Q1465">
        <v>6</v>
      </c>
      <c r="R1465" s="4">
        <v>45444</v>
      </c>
      <c r="S1465" s="3">
        <v>6680800</v>
      </c>
      <c r="T1465" s="3">
        <v>4.68</v>
      </c>
    </row>
    <row r="1466" spans="1:20" x14ac:dyDescent="0.3">
      <c r="A1466" s="1">
        <v>45465</v>
      </c>
      <c r="B1466" s="2" t="s">
        <v>108</v>
      </c>
      <c r="C1466" s="2" t="s">
        <v>133</v>
      </c>
      <c r="D1466" s="2" t="s">
        <v>42</v>
      </c>
      <c r="E1466" s="2" t="s">
        <v>43</v>
      </c>
      <c r="F1466" s="2" t="s">
        <v>24</v>
      </c>
      <c r="G1466">
        <v>3</v>
      </c>
      <c r="H1466">
        <v>135</v>
      </c>
      <c r="I1466">
        <v>21</v>
      </c>
      <c r="J1466" s="3">
        <v>129500</v>
      </c>
      <c r="K1466" s="3">
        <v>2719500</v>
      </c>
      <c r="L1466" s="2" t="s">
        <v>33</v>
      </c>
      <c r="M1466" s="2" t="s">
        <v>26</v>
      </c>
      <c r="N1466">
        <v>2024</v>
      </c>
      <c r="O1466" s="2" t="s">
        <v>143</v>
      </c>
      <c r="P1466" s="2" t="s">
        <v>146</v>
      </c>
      <c r="Q1466">
        <v>6</v>
      </c>
      <c r="R1466" s="4">
        <v>45444</v>
      </c>
      <c r="S1466" s="3">
        <v>129500</v>
      </c>
      <c r="T1466" s="3">
        <v>0.27</v>
      </c>
    </row>
    <row r="1467" spans="1:20" x14ac:dyDescent="0.3">
      <c r="A1467" s="1">
        <v>45465</v>
      </c>
      <c r="B1467" s="2" t="s">
        <v>84</v>
      </c>
      <c r="C1467" s="2" t="s">
        <v>113</v>
      </c>
      <c r="D1467" s="2" t="s">
        <v>50</v>
      </c>
      <c r="E1467" s="2" t="s">
        <v>51</v>
      </c>
      <c r="F1467" s="2" t="s">
        <v>72</v>
      </c>
      <c r="G1467">
        <v>77</v>
      </c>
      <c r="H1467">
        <v>528</v>
      </c>
      <c r="I1467">
        <v>5</v>
      </c>
      <c r="J1467" s="3">
        <v>5512100</v>
      </c>
      <c r="K1467" s="3">
        <v>27560500</v>
      </c>
      <c r="L1467" s="2" t="s">
        <v>33</v>
      </c>
      <c r="M1467" s="2" t="s">
        <v>26</v>
      </c>
      <c r="N1467">
        <v>2024</v>
      </c>
      <c r="O1467" s="2" t="s">
        <v>143</v>
      </c>
      <c r="P1467" s="2" t="s">
        <v>146</v>
      </c>
      <c r="Q1467">
        <v>6</v>
      </c>
      <c r="R1467" s="4">
        <v>45444</v>
      </c>
      <c r="S1467" s="3">
        <v>5512100</v>
      </c>
      <c r="T1467" s="3">
        <v>2.76</v>
      </c>
    </row>
    <row r="1468" spans="1:20" x14ac:dyDescent="0.3">
      <c r="A1468" s="1">
        <v>45466</v>
      </c>
      <c r="B1468" s="2" t="s">
        <v>59</v>
      </c>
      <c r="C1468" s="2" t="s">
        <v>135</v>
      </c>
      <c r="D1468" s="2" t="s">
        <v>42</v>
      </c>
      <c r="E1468" s="2" t="s">
        <v>43</v>
      </c>
      <c r="F1468" s="2" t="s">
        <v>24</v>
      </c>
      <c r="G1468">
        <v>3</v>
      </c>
      <c r="H1468">
        <v>135</v>
      </c>
      <c r="I1468">
        <v>46</v>
      </c>
      <c r="J1468" s="3">
        <v>107200</v>
      </c>
      <c r="K1468" s="3">
        <v>4931200</v>
      </c>
      <c r="L1468" s="2" t="s">
        <v>33</v>
      </c>
      <c r="M1468" s="2" t="s">
        <v>26</v>
      </c>
      <c r="N1468">
        <v>2024</v>
      </c>
      <c r="O1468" s="2" t="s">
        <v>143</v>
      </c>
      <c r="P1468" s="2" t="s">
        <v>146</v>
      </c>
      <c r="Q1468">
        <v>6</v>
      </c>
      <c r="R1468" s="4">
        <v>45444</v>
      </c>
      <c r="S1468" s="3">
        <v>107200</v>
      </c>
      <c r="T1468" s="3">
        <v>0.49</v>
      </c>
    </row>
    <row r="1469" spans="1:20" x14ac:dyDescent="0.3">
      <c r="A1469" s="1">
        <v>45466</v>
      </c>
      <c r="B1469" s="2" t="s">
        <v>90</v>
      </c>
      <c r="C1469" s="2" t="s">
        <v>114</v>
      </c>
      <c r="D1469" s="2" t="s">
        <v>94</v>
      </c>
      <c r="E1469" s="2" t="s">
        <v>115</v>
      </c>
      <c r="F1469" s="2" t="s">
        <v>39</v>
      </c>
      <c r="G1469">
        <v>24</v>
      </c>
      <c r="H1469">
        <v>24</v>
      </c>
      <c r="I1469">
        <v>86</v>
      </c>
      <c r="J1469" s="3">
        <v>1668200</v>
      </c>
      <c r="K1469" s="3">
        <v>143465200</v>
      </c>
      <c r="L1469" s="2" t="s">
        <v>25</v>
      </c>
      <c r="M1469" s="2" t="s">
        <v>97</v>
      </c>
      <c r="N1469">
        <v>2024</v>
      </c>
      <c r="O1469" s="2" t="s">
        <v>143</v>
      </c>
      <c r="P1469" s="2" t="s">
        <v>146</v>
      </c>
      <c r="Q1469">
        <v>6</v>
      </c>
      <c r="R1469" s="4">
        <v>45444</v>
      </c>
      <c r="S1469" s="3">
        <v>1668200</v>
      </c>
      <c r="T1469" s="3">
        <v>14.35</v>
      </c>
    </row>
    <row r="1470" spans="1:20" x14ac:dyDescent="0.3">
      <c r="A1470" s="1">
        <v>45467</v>
      </c>
      <c r="B1470" s="2" t="s">
        <v>61</v>
      </c>
      <c r="C1470" s="2" t="s">
        <v>147</v>
      </c>
      <c r="D1470" s="2" t="s">
        <v>102</v>
      </c>
      <c r="E1470" s="2" t="s">
        <v>103</v>
      </c>
      <c r="F1470" s="2" t="s">
        <v>24</v>
      </c>
      <c r="G1470">
        <v>5</v>
      </c>
      <c r="H1470">
        <v>150</v>
      </c>
      <c r="I1470">
        <v>70</v>
      </c>
      <c r="J1470" s="3">
        <v>189200</v>
      </c>
      <c r="K1470" s="3">
        <v>13244000</v>
      </c>
      <c r="L1470" s="2" t="s">
        <v>33</v>
      </c>
      <c r="M1470" s="2" t="s">
        <v>97</v>
      </c>
      <c r="N1470">
        <v>2024</v>
      </c>
      <c r="O1470" s="2" t="s">
        <v>143</v>
      </c>
      <c r="P1470" s="2" t="s">
        <v>146</v>
      </c>
      <c r="Q1470">
        <v>6</v>
      </c>
      <c r="R1470" s="4">
        <v>45444</v>
      </c>
      <c r="S1470" s="3">
        <v>189200</v>
      </c>
      <c r="T1470" s="3">
        <v>1.32</v>
      </c>
    </row>
    <row r="1471" spans="1:20" x14ac:dyDescent="0.3">
      <c r="A1471" s="1">
        <v>45467</v>
      </c>
      <c r="B1471" s="2" t="s">
        <v>44</v>
      </c>
      <c r="C1471" s="2" t="s">
        <v>45</v>
      </c>
      <c r="D1471" s="2" t="s">
        <v>31</v>
      </c>
      <c r="E1471" s="2" t="s">
        <v>32</v>
      </c>
      <c r="F1471" s="2" t="s">
        <v>24</v>
      </c>
      <c r="G1471">
        <v>4</v>
      </c>
      <c r="H1471">
        <v>195</v>
      </c>
      <c r="I1471">
        <v>59</v>
      </c>
      <c r="J1471" s="3">
        <v>158100</v>
      </c>
      <c r="K1471" s="3">
        <v>9327900</v>
      </c>
      <c r="L1471" s="2" t="s">
        <v>33</v>
      </c>
      <c r="M1471" s="2" t="s">
        <v>77</v>
      </c>
      <c r="N1471">
        <v>2024</v>
      </c>
      <c r="O1471" s="2" t="s">
        <v>143</v>
      </c>
      <c r="P1471" s="2" t="s">
        <v>146</v>
      </c>
      <c r="Q1471">
        <v>6</v>
      </c>
      <c r="R1471" s="4">
        <v>45444</v>
      </c>
      <c r="S1471" s="3">
        <v>158100</v>
      </c>
      <c r="T1471" s="3">
        <v>0.93</v>
      </c>
    </row>
    <row r="1472" spans="1:20" x14ac:dyDescent="0.3">
      <c r="A1472" s="1">
        <v>45467</v>
      </c>
      <c r="B1472" s="2" t="s">
        <v>84</v>
      </c>
      <c r="C1472" s="2" t="s">
        <v>93</v>
      </c>
      <c r="D1472" s="2" t="s">
        <v>31</v>
      </c>
      <c r="E1472" s="2" t="s">
        <v>124</v>
      </c>
      <c r="F1472" s="2" t="s">
        <v>24</v>
      </c>
      <c r="G1472">
        <v>3</v>
      </c>
      <c r="H1472">
        <v>151</v>
      </c>
      <c r="I1472">
        <v>24</v>
      </c>
      <c r="J1472" s="3">
        <v>90700</v>
      </c>
      <c r="K1472" s="3">
        <v>2176800</v>
      </c>
      <c r="L1472" s="2" t="s">
        <v>33</v>
      </c>
      <c r="M1472" s="2" t="s">
        <v>77</v>
      </c>
      <c r="N1472">
        <v>2024</v>
      </c>
      <c r="O1472" s="2" t="s">
        <v>143</v>
      </c>
      <c r="P1472" s="2" t="s">
        <v>146</v>
      </c>
      <c r="Q1472">
        <v>6</v>
      </c>
      <c r="R1472" s="4">
        <v>45444</v>
      </c>
      <c r="S1472" s="3">
        <v>90700</v>
      </c>
      <c r="T1472" s="3">
        <v>0.22</v>
      </c>
    </row>
    <row r="1473" spans="1:20" x14ac:dyDescent="0.3">
      <c r="A1473" s="1">
        <v>45468</v>
      </c>
      <c r="B1473" s="2" t="s">
        <v>35</v>
      </c>
      <c r="C1473" s="2" t="s">
        <v>36</v>
      </c>
      <c r="D1473" s="2" t="s">
        <v>57</v>
      </c>
      <c r="E1473" s="2" t="s">
        <v>58</v>
      </c>
      <c r="F1473" s="2" t="s">
        <v>24</v>
      </c>
      <c r="G1473">
        <v>72</v>
      </c>
      <c r="H1473">
        <v>488</v>
      </c>
      <c r="I1473">
        <v>113</v>
      </c>
      <c r="J1473" s="3">
        <v>4470500</v>
      </c>
      <c r="K1473" s="3">
        <v>505166500</v>
      </c>
      <c r="L1473" s="2" t="s">
        <v>33</v>
      </c>
      <c r="M1473" s="2" t="s">
        <v>26</v>
      </c>
      <c r="N1473">
        <v>2024</v>
      </c>
      <c r="O1473" s="2" t="s">
        <v>143</v>
      </c>
      <c r="P1473" s="2" t="s">
        <v>146</v>
      </c>
      <c r="Q1473">
        <v>6</v>
      </c>
      <c r="R1473" s="4">
        <v>45444</v>
      </c>
      <c r="S1473" s="3">
        <v>4470500</v>
      </c>
      <c r="T1473" s="3">
        <v>50.52</v>
      </c>
    </row>
    <row r="1474" spans="1:20" x14ac:dyDescent="0.3">
      <c r="A1474" s="1">
        <v>45468</v>
      </c>
      <c r="B1474" s="2" t="s">
        <v>35</v>
      </c>
      <c r="C1474" s="2" t="s">
        <v>132</v>
      </c>
      <c r="D1474" s="2" t="s">
        <v>31</v>
      </c>
      <c r="E1474" s="2" t="s">
        <v>32</v>
      </c>
      <c r="F1474" s="2" t="s">
        <v>24</v>
      </c>
      <c r="G1474">
        <v>4</v>
      </c>
      <c r="H1474">
        <v>195</v>
      </c>
      <c r="I1474">
        <v>148</v>
      </c>
      <c r="J1474" s="3">
        <v>150700</v>
      </c>
      <c r="K1474" s="3">
        <v>22303600</v>
      </c>
      <c r="L1474" s="2" t="s">
        <v>25</v>
      </c>
      <c r="M1474" s="2" t="s">
        <v>77</v>
      </c>
      <c r="N1474">
        <v>2024</v>
      </c>
      <c r="O1474" s="2" t="s">
        <v>143</v>
      </c>
      <c r="P1474" s="2" t="s">
        <v>146</v>
      </c>
      <c r="Q1474">
        <v>6</v>
      </c>
      <c r="R1474" s="4">
        <v>45444</v>
      </c>
      <c r="S1474" s="3">
        <v>150700</v>
      </c>
      <c r="T1474" s="3">
        <v>2.23</v>
      </c>
    </row>
    <row r="1475" spans="1:20" x14ac:dyDescent="0.3">
      <c r="A1475" s="1">
        <v>45468</v>
      </c>
      <c r="B1475" s="2" t="s">
        <v>35</v>
      </c>
      <c r="C1475" s="2" t="s">
        <v>121</v>
      </c>
      <c r="D1475" s="2" t="s">
        <v>22</v>
      </c>
      <c r="E1475" s="2" t="s">
        <v>23</v>
      </c>
      <c r="F1475" s="2" t="s">
        <v>39</v>
      </c>
      <c r="G1475">
        <v>82</v>
      </c>
      <c r="H1475">
        <v>520</v>
      </c>
      <c r="I1475">
        <v>69</v>
      </c>
      <c r="J1475" s="3">
        <v>6231100</v>
      </c>
      <c r="K1475" s="3">
        <v>429945900</v>
      </c>
      <c r="L1475" s="2" t="s">
        <v>33</v>
      </c>
      <c r="M1475" s="2" t="s">
        <v>26</v>
      </c>
      <c r="N1475">
        <v>2024</v>
      </c>
      <c r="O1475" s="2" t="s">
        <v>143</v>
      </c>
      <c r="P1475" s="2" t="s">
        <v>146</v>
      </c>
      <c r="Q1475">
        <v>6</v>
      </c>
      <c r="R1475" s="4">
        <v>45444</v>
      </c>
      <c r="S1475" s="3">
        <v>6231100</v>
      </c>
      <c r="T1475" s="3">
        <v>42.99</v>
      </c>
    </row>
    <row r="1476" spans="1:20" x14ac:dyDescent="0.3">
      <c r="A1476" s="1">
        <v>45469</v>
      </c>
      <c r="B1476" s="2" t="s">
        <v>48</v>
      </c>
      <c r="C1476" s="2" t="s">
        <v>98</v>
      </c>
      <c r="D1476" s="2" t="s">
        <v>67</v>
      </c>
      <c r="E1476" s="2" t="s">
        <v>118</v>
      </c>
      <c r="F1476" s="2" t="s">
        <v>24</v>
      </c>
      <c r="G1476">
        <v>84</v>
      </c>
      <c r="H1476">
        <v>590</v>
      </c>
      <c r="I1476">
        <v>19</v>
      </c>
      <c r="J1476" s="3">
        <v>7744600</v>
      </c>
      <c r="K1476" s="3">
        <v>147147400</v>
      </c>
      <c r="L1476" s="2" t="s">
        <v>33</v>
      </c>
      <c r="M1476" s="2" t="s">
        <v>26</v>
      </c>
      <c r="N1476">
        <v>2024</v>
      </c>
      <c r="O1476" s="2" t="s">
        <v>143</v>
      </c>
      <c r="P1476" s="2" t="s">
        <v>146</v>
      </c>
      <c r="Q1476">
        <v>6</v>
      </c>
      <c r="R1476" s="4">
        <v>45444</v>
      </c>
      <c r="S1476" s="3">
        <v>7744600</v>
      </c>
      <c r="T1476" s="3">
        <v>14.71</v>
      </c>
    </row>
    <row r="1477" spans="1:20" x14ac:dyDescent="0.3">
      <c r="A1477" s="1">
        <v>45469</v>
      </c>
      <c r="B1477" s="2" t="s">
        <v>46</v>
      </c>
      <c r="C1477" s="2" t="s">
        <v>137</v>
      </c>
      <c r="D1477" s="2" t="s">
        <v>67</v>
      </c>
      <c r="E1477" s="2" t="s">
        <v>68</v>
      </c>
      <c r="F1477" s="2" t="s">
        <v>24</v>
      </c>
      <c r="G1477">
        <v>66</v>
      </c>
      <c r="H1477">
        <v>440</v>
      </c>
      <c r="I1477">
        <v>43</v>
      </c>
      <c r="J1477" s="3">
        <v>5758400</v>
      </c>
      <c r="K1477" s="3">
        <v>247611200</v>
      </c>
      <c r="L1477" s="2" t="s">
        <v>33</v>
      </c>
      <c r="M1477" s="2" t="s">
        <v>77</v>
      </c>
      <c r="N1477">
        <v>2024</v>
      </c>
      <c r="O1477" s="2" t="s">
        <v>143</v>
      </c>
      <c r="P1477" s="2" t="s">
        <v>146</v>
      </c>
      <c r="Q1477">
        <v>6</v>
      </c>
      <c r="R1477" s="4">
        <v>45444</v>
      </c>
      <c r="S1477" s="3">
        <v>5758400</v>
      </c>
      <c r="T1477" s="3">
        <v>24.76</v>
      </c>
    </row>
    <row r="1478" spans="1:20" x14ac:dyDescent="0.3">
      <c r="A1478" s="1">
        <v>45469</v>
      </c>
      <c r="B1478" s="2" t="s">
        <v>40</v>
      </c>
      <c r="C1478" s="2" t="s">
        <v>41</v>
      </c>
      <c r="D1478" s="2" t="s">
        <v>22</v>
      </c>
      <c r="E1478" s="2" t="s">
        <v>23</v>
      </c>
      <c r="F1478" s="2" t="s">
        <v>39</v>
      </c>
      <c r="G1478">
        <v>82</v>
      </c>
      <c r="H1478">
        <v>520</v>
      </c>
      <c r="I1478">
        <v>9</v>
      </c>
      <c r="J1478" s="3">
        <v>5848400</v>
      </c>
      <c r="K1478" s="3">
        <v>52635600</v>
      </c>
      <c r="L1478" s="2" t="s">
        <v>33</v>
      </c>
      <c r="M1478" s="2" t="s">
        <v>26</v>
      </c>
      <c r="N1478">
        <v>2024</v>
      </c>
      <c r="O1478" s="2" t="s">
        <v>143</v>
      </c>
      <c r="P1478" s="2" t="s">
        <v>146</v>
      </c>
      <c r="Q1478">
        <v>6</v>
      </c>
      <c r="R1478" s="4">
        <v>45444</v>
      </c>
      <c r="S1478" s="3">
        <v>5848400</v>
      </c>
      <c r="T1478" s="3">
        <v>5.26</v>
      </c>
    </row>
    <row r="1479" spans="1:20" x14ac:dyDescent="0.3">
      <c r="A1479" s="1">
        <v>45470</v>
      </c>
      <c r="B1479" s="2" t="s">
        <v>35</v>
      </c>
      <c r="C1479" s="2" t="s">
        <v>87</v>
      </c>
      <c r="D1479" s="2" t="s">
        <v>67</v>
      </c>
      <c r="E1479" s="2" t="s">
        <v>68</v>
      </c>
      <c r="F1479" s="2" t="s">
        <v>24</v>
      </c>
      <c r="G1479">
        <v>66</v>
      </c>
      <c r="H1479">
        <v>440</v>
      </c>
      <c r="I1479">
        <v>49</v>
      </c>
      <c r="J1479" s="3">
        <v>5665200</v>
      </c>
      <c r="K1479" s="3">
        <v>277594800</v>
      </c>
      <c r="L1479" s="2" t="s">
        <v>33</v>
      </c>
      <c r="M1479" s="2" t="s">
        <v>77</v>
      </c>
      <c r="N1479">
        <v>2024</v>
      </c>
      <c r="O1479" s="2" t="s">
        <v>143</v>
      </c>
      <c r="P1479" s="2" t="s">
        <v>146</v>
      </c>
      <c r="Q1479">
        <v>6</v>
      </c>
      <c r="R1479" s="4">
        <v>45444</v>
      </c>
      <c r="S1479" s="3">
        <v>5665200</v>
      </c>
      <c r="T1479" s="3">
        <v>27.76</v>
      </c>
    </row>
    <row r="1480" spans="1:20" x14ac:dyDescent="0.3">
      <c r="A1480" s="1">
        <v>45470</v>
      </c>
      <c r="B1480" s="2" t="s">
        <v>59</v>
      </c>
      <c r="C1480" s="2" t="s">
        <v>60</v>
      </c>
      <c r="D1480" s="2" t="s">
        <v>88</v>
      </c>
      <c r="E1480" s="2" t="s">
        <v>89</v>
      </c>
      <c r="F1480" s="2" t="s">
        <v>39</v>
      </c>
      <c r="G1480">
        <v>82</v>
      </c>
      <c r="H1480">
        <v>580</v>
      </c>
      <c r="I1480">
        <v>51</v>
      </c>
      <c r="J1480" s="3">
        <v>5574800</v>
      </c>
      <c r="K1480" s="3">
        <v>284314800</v>
      </c>
      <c r="L1480" s="2" t="s">
        <v>33</v>
      </c>
      <c r="M1480" s="2" t="s">
        <v>97</v>
      </c>
      <c r="N1480">
        <v>2024</v>
      </c>
      <c r="O1480" s="2" t="s">
        <v>143</v>
      </c>
      <c r="P1480" s="2" t="s">
        <v>146</v>
      </c>
      <c r="Q1480">
        <v>6</v>
      </c>
      <c r="R1480" s="4">
        <v>45444</v>
      </c>
      <c r="S1480" s="3">
        <v>5574800</v>
      </c>
      <c r="T1480" s="3">
        <v>28.43</v>
      </c>
    </row>
    <row r="1481" spans="1:20" x14ac:dyDescent="0.3">
      <c r="A1481" s="1">
        <v>45470</v>
      </c>
      <c r="B1481" s="2" t="s">
        <v>90</v>
      </c>
      <c r="C1481" s="2" t="s">
        <v>128</v>
      </c>
      <c r="D1481" s="2" t="s">
        <v>94</v>
      </c>
      <c r="E1481" s="2" t="s">
        <v>140</v>
      </c>
      <c r="F1481" s="2" t="s">
        <v>24</v>
      </c>
      <c r="G1481">
        <v>35</v>
      </c>
      <c r="H1481">
        <v>32</v>
      </c>
      <c r="I1481">
        <v>161</v>
      </c>
      <c r="J1481" s="3">
        <v>2155700</v>
      </c>
      <c r="K1481" s="3">
        <v>347067700</v>
      </c>
      <c r="L1481" s="2" t="s">
        <v>33</v>
      </c>
      <c r="M1481" s="2" t="s">
        <v>26</v>
      </c>
      <c r="N1481">
        <v>2024</v>
      </c>
      <c r="O1481" s="2" t="s">
        <v>143</v>
      </c>
      <c r="P1481" s="2" t="s">
        <v>146</v>
      </c>
      <c r="Q1481">
        <v>6</v>
      </c>
      <c r="R1481" s="4">
        <v>45444</v>
      </c>
      <c r="S1481" s="3">
        <v>2155700</v>
      </c>
      <c r="T1481" s="3">
        <v>34.71</v>
      </c>
    </row>
    <row r="1482" spans="1:20" x14ac:dyDescent="0.3">
      <c r="A1482" s="1">
        <v>45470</v>
      </c>
      <c r="B1482" s="2" t="s">
        <v>48</v>
      </c>
      <c r="C1482" s="2" t="s">
        <v>49</v>
      </c>
      <c r="D1482" s="2" t="s">
        <v>63</v>
      </c>
      <c r="E1482" s="2" t="s">
        <v>64</v>
      </c>
      <c r="F1482" s="2" t="s">
        <v>24</v>
      </c>
      <c r="G1482">
        <v>3</v>
      </c>
      <c r="H1482">
        <v>127</v>
      </c>
      <c r="I1482">
        <v>69</v>
      </c>
      <c r="J1482" s="3">
        <v>141500</v>
      </c>
      <c r="K1482" s="3">
        <v>9763500</v>
      </c>
      <c r="L1482" s="2" t="s">
        <v>33</v>
      </c>
      <c r="M1482" s="2" t="s">
        <v>34</v>
      </c>
      <c r="N1482">
        <v>2024</v>
      </c>
      <c r="O1482" s="2" t="s">
        <v>143</v>
      </c>
      <c r="P1482" s="2" t="s">
        <v>146</v>
      </c>
      <c r="Q1482">
        <v>6</v>
      </c>
      <c r="R1482" s="4">
        <v>45444</v>
      </c>
      <c r="S1482" s="3">
        <v>141500</v>
      </c>
      <c r="T1482" s="3">
        <v>0.98</v>
      </c>
    </row>
    <row r="1483" spans="1:20" x14ac:dyDescent="0.3">
      <c r="A1483" s="1">
        <v>45471</v>
      </c>
      <c r="B1483" s="2" t="s">
        <v>108</v>
      </c>
      <c r="C1483" s="2" t="s">
        <v>123</v>
      </c>
      <c r="D1483" s="2" t="s">
        <v>22</v>
      </c>
      <c r="E1483" s="2" t="s">
        <v>23</v>
      </c>
      <c r="F1483" s="2" t="s">
        <v>39</v>
      </c>
      <c r="G1483">
        <v>82</v>
      </c>
      <c r="H1483">
        <v>520</v>
      </c>
      <c r="I1483">
        <v>70</v>
      </c>
      <c r="J1483" s="3">
        <v>6624200</v>
      </c>
      <c r="K1483" s="3">
        <v>463694000</v>
      </c>
      <c r="L1483" s="2" t="s">
        <v>33</v>
      </c>
      <c r="M1483" s="2" t="s">
        <v>77</v>
      </c>
      <c r="N1483">
        <v>2024</v>
      </c>
      <c r="O1483" s="2" t="s">
        <v>143</v>
      </c>
      <c r="P1483" s="2" t="s">
        <v>146</v>
      </c>
      <c r="Q1483">
        <v>6</v>
      </c>
      <c r="R1483" s="4">
        <v>45444</v>
      </c>
      <c r="S1483" s="3">
        <v>6624200</v>
      </c>
      <c r="T1483" s="3">
        <v>46.37</v>
      </c>
    </row>
    <row r="1484" spans="1:20" x14ac:dyDescent="0.3">
      <c r="A1484" s="1">
        <v>45471</v>
      </c>
      <c r="B1484" s="2" t="s">
        <v>106</v>
      </c>
      <c r="C1484" s="2" t="s">
        <v>107</v>
      </c>
      <c r="D1484" s="2" t="s">
        <v>42</v>
      </c>
      <c r="E1484" s="2" t="s">
        <v>43</v>
      </c>
      <c r="F1484" s="2" t="s">
        <v>24</v>
      </c>
      <c r="G1484">
        <v>3</v>
      </c>
      <c r="H1484">
        <v>135</v>
      </c>
      <c r="I1484">
        <v>25</v>
      </c>
      <c r="J1484" s="3">
        <v>126800</v>
      </c>
      <c r="K1484" s="3">
        <v>3170000</v>
      </c>
      <c r="L1484" s="2" t="s">
        <v>25</v>
      </c>
      <c r="M1484" s="2" t="s">
        <v>34</v>
      </c>
      <c r="N1484">
        <v>2024</v>
      </c>
      <c r="O1484" s="2" t="s">
        <v>143</v>
      </c>
      <c r="P1484" s="2" t="s">
        <v>146</v>
      </c>
      <c r="Q1484">
        <v>6</v>
      </c>
      <c r="R1484" s="4">
        <v>45444</v>
      </c>
      <c r="S1484" s="3">
        <v>126800</v>
      </c>
      <c r="T1484" s="3">
        <v>0.32</v>
      </c>
    </row>
    <row r="1485" spans="1:20" x14ac:dyDescent="0.3">
      <c r="A1485" s="1">
        <v>45471</v>
      </c>
      <c r="B1485" s="2" t="s">
        <v>40</v>
      </c>
      <c r="C1485" s="2" t="s">
        <v>105</v>
      </c>
      <c r="D1485" s="2" t="s">
        <v>102</v>
      </c>
      <c r="E1485" s="2" t="s">
        <v>103</v>
      </c>
      <c r="F1485" s="2" t="s">
        <v>24</v>
      </c>
      <c r="G1485">
        <v>5</v>
      </c>
      <c r="H1485">
        <v>150</v>
      </c>
      <c r="I1485">
        <v>98</v>
      </c>
      <c r="J1485" s="3">
        <v>184200</v>
      </c>
      <c r="K1485" s="3">
        <v>18051600</v>
      </c>
      <c r="L1485" s="2" t="s">
        <v>25</v>
      </c>
      <c r="M1485" s="2" t="s">
        <v>77</v>
      </c>
      <c r="N1485">
        <v>2024</v>
      </c>
      <c r="O1485" s="2" t="s">
        <v>143</v>
      </c>
      <c r="P1485" s="2" t="s">
        <v>146</v>
      </c>
      <c r="Q1485">
        <v>6</v>
      </c>
      <c r="R1485" s="4">
        <v>45444</v>
      </c>
      <c r="S1485" s="3">
        <v>184200</v>
      </c>
      <c r="T1485" s="3">
        <v>1.81</v>
      </c>
    </row>
    <row r="1486" spans="1:20" x14ac:dyDescent="0.3">
      <c r="A1486" s="1">
        <v>45472</v>
      </c>
      <c r="B1486" s="2" t="s">
        <v>35</v>
      </c>
      <c r="C1486" s="2" t="s">
        <v>36</v>
      </c>
      <c r="D1486" s="2" t="s">
        <v>102</v>
      </c>
      <c r="E1486" s="2" t="s">
        <v>103</v>
      </c>
      <c r="F1486" s="2" t="s">
        <v>24</v>
      </c>
      <c r="G1486">
        <v>5</v>
      </c>
      <c r="H1486">
        <v>150</v>
      </c>
      <c r="I1486">
        <v>102</v>
      </c>
      <c r="J1486" s="3">
        <v>166400</v>
      </c>
      <c r="K1486" s="3">
        <v>16972800</v>
      </c>
      <c r="L1486" s="2" t="s">
        <v>33</v>
      </c>
      <c r="M1486" s="2" t="s">
        <v>26</v>
      </c>
      <c r="N1486">
        <v>2024</v>
      </c>
      <c r="O1486" s="2" t="s">
        <v>143</v>
      </c>
      <c r="P1486" s="2" t="s">
        <v>146</v>
      </c>
      <c r="Q1486">
        <v>6</v>
      </c>
      <c r="R1486" s="4">
        <v>45444</v>
      </c>
      <c r="S1486" s="3">
        <v>166400</v>
      </c>
      <c r="T1486" s="3">
        <v>1.7</v>
      </c>
    </row>
    <row r="1487" spans="1:20" x14ac:dyDescent="0.3">
      <c r="A1487" s="1">
        <v>45472</v>
      </c>
      <c r="B1487" s="2" t="s">
        <v>84</v>
      </c>
      <c r="C1487" s="2" t="s">
        <v>113</v>
      </c>
      <c r="D1487" s="2" t="s">
        <v>22</v>
      </c>
      <c r="E1487" s="2" t="s">
        <v>23</v>
      </c>
      <c r="F1487" s="2" t="s">
        <v>72</v>
      </c>
      <c r="G1487">
        <v>82</v>
      </c>
      <c r="H1487">
        <v>520</v>
      </c>
      <c r="I1487">
        <v>22</v>
      </c>
      <c r="J1487" s="3">
        <v>6402300</v>
      </c>
      <c r="K1487" s="3">
        <v>140850600</v>
      </c>
      <c r="L1487" s="2" t="s">
        <v>33</v>
      </c>
      <c r="M1487" s="2" t="s">
        <v>26</v>
      </c>
      <c r="N1487">
        <v>2024</v>
      </c>
      <c r="O1487" s="2" t="s">
        <v>143</v>
      </c>
      <c r="P1487" s="2" t="s">
        <v>146</v>
      </c>
      <c r="Q1487">
        <v>6</v>
      </c>
      <c r="R1487" s="4">
        <v>45444</v>
      </c>
      <c r="S1487" s="3">
        <v>6402300</v>
      </c>
      <c r="T1487" s="3">
        <v>14.09</v>
      </c>
    </row>
    <row r="1488" spans="1:20" x14ac:dyDescent="0.3">
      <c r="A1488" s="1">
        <v>45472</v>
      </c>
      <c r="B1488" s="2" t="s">
        <v>40</v>
      </c>
      <c r="C1488" s="2" t="s">
        <v>41</v>
      </c>
      <c r="D1488" s="2" t="s">
        <v>37</v>
      </c>
      <c r="E1488" s="2" t="s">
        <v>38</v>
      </c>
      <c r="F1488" s="2" t="s">
        <v>24</v>
      </c>
      <c r="G1488">
        <v>66</v>
      </c>
      <c r="H1488">
        <v>423</v>
      </c>
      <c r="I1488">
        <v>7</v>
      </c>
      <c r="J1488" s="3">
        <v>7412600</v>
      </c>
      <c r="K1488" s="3">
        <v>51888200</v>
      </c>
      <c r="L1488" s="2" t="s">
        <v>33</v>
      </c>
      <c r="M1488" s="2" t="s">
        <v>26</v>
      </c>
      <c r="N1488">
        <v>2024</v>
      </c>
      <c r="O1488" s="2" t="s">
        <v>143</v>
      </c>
      <c r="P1488" s="2" t="s">
        <v>146</v>
      </c>
      <c r="Q1488">
        <v>6</v>
      </c>
      <c r="R1488" s="4">
        <v>45444</v>
      </c>
      <c r="S1488" s="3">
        <v>7412600</v>
      </c>
      <c r="T1488" s="3">
        <v>5.19</v>
      </c>
    </row>
    <row r="1489" spans="1:20" x14ac:dyDescent="0.3">
      <c r="A1489" s="1">
        <v>45472</v>
      </c>
      <c r="B1489" s="2" t="s">
        <v>20</v>
      </c>
      <c r="C1489" s="2" t="s">
        <v>125</v>
      </c>
      <c r="D1489" s="2" t="s">
        <v>70</v>
      </c>
      <c r="E1489" s="2" t="s">
        <v>71</v>
      </c>
      <c r="F1489" s="2" t="s">
        <v>24</v>
      </c>
      <c r="G1489">
        <v>50</v>
      </c>
      <c r="H1489">
        <v>46</v>
      </c>
      <c r="I1489">
        <v>52</v>
      </c>
      <c r="J1489" s="3">
        <v>2167300</v>
      </c>
      <c r="K1489" s="3">
        <v>112699600</v>
      </c>
      <c r="L1489" s="2" t="s">
        <v>33</v>
      </c>
      <c r="M1489" s="2" t="s">
        <v>26</v>
      </c>
      <c r="N1489">
        <v>2024</v>
      </c>
      <c r="O1489" s="2" t="s">
        <v>143</v>
      </c>
      <c r="P1489" s="2" t="s">
        <v>146</v>
      </c>
      <c r="Q1489">
        <v>6</v>
      </c>
      <c r="R1489" s="4">
        <v>45444</v>
      </c>
      <c r="S1489" s="3">
        <v>2167300</v>
      </c>
      <c r="T1489" s="3">
        <v>11.27</v>
      </c>
    </row>
    <row r="1490" spans="1:20" x14ac:dyDescent="0.3">
      <c r="A1490" s="1">
        <v>45473</v>
      </c>
      <c r="B1490" s="2" t="s">
        <v>106</v>
      </c>
      <c r="C1490" s="2" t="s">
        <v>120</v>
      </c>
      <c r="D1490" s="2" t="s">
        <v>79</v>
      </c>
      <c r="E1490" s="2" t="s">
        <v>80</v>
      </c>
      <c r="F1490" s="2" t="s">
        <v>24</v>
      </c>
      <c r="G1490">
        <v>69</v>
      </c>
      <c r="H1490">
        <v>418</v>
      </c>
      <c r="I1490">
        <v>14</v>
      </c>
      <c r="J1490" s="3">
        <v>5619700</v>
      </c>
      <c r="K1490" s="3">
        <v>78675800</v>
      </c>
      <c r="L1490" s="2" t="s">
        <v>33</v>
      </c>
      <c r="M1490" s="2" t="s">
        <v>26</v>
      </c>
      <c r="N1490">
        <v>2024</v>
      </c>
      <c r="O1490" s="2" t="s">
        <v>143</v>
      </c>
      <c r="P1490" s="2" t="s">
        <v>146</v>
      </c>
      <c r="Q1490">
        <v>6</v>
      </c>
      <c r="R1490" s="4">
        <v>45444</v>
      </c>
      <c r="S1490" s="3">
        <v>5619700</v>
      </c>
      <c r="T1490" s="3">
        <v>7.87</v>
      </c>
    </row>
    <row r="1491" spans="1:20" x14ac:dyDescent="0.3">
      <c r="A1491" s="1">
        <v>45473</v>
      </c>
      <c r="B1491" s="2" t="s">
        <v>20</v>
      </c>
      <c r="C1491" s="2" t="s">
        <v>125</v>
      </c>
      <c r="D1491" s="2" t="s">
        <v>67</v>
      </c>
      <c r="E1491" s="2" t="s">
        <v>68</v>
      </c>
      <c r="F1491" s="2" t="s">
        <v>39</v>
      </c>
      <c r="G1491">
        <v>66</v>
      </c>
      <c r="H1491">
        <v>440</v>
      </c>
      <c r="I1491">
        <v>43</v>
      </c>
      <c r="J1491" s="3">
        <v>5462800</v>
      </c>
      <c r="K1491" s="3">
        <v>234900400</v>
      </c>
      <c r="L1491" s="2" t="s">
        <v>33</v>
      </c>
      <c r="M1491" s="2" t="s">
        <v>77</v>
      </c>
      <c r="N1491">
        <v>2024</v>
      </c>
      <c r="O1491" s="2" t="s">
        <v>143</v>
      </c>
      <c r="P1491" s="2" t="s">
        <v>146</v>
      </c>
      <c r="Q1491">
        <v>6</v>
      </c>
      <c r="R1491" s="4">
        <v>45444</v>
      </c>
      <c r="S1491" s="3">
        <v>5462800</v>
      </c>
      <c r="T1491" s="3">
        <v>23.49</v>
      </c>
    </row>
    <row r="1492" spans="1:20" x14ac:dyDescent="0.3">
      <c r="A1492" s="1">
        <v>45474</v>
      </c>
      <c r="B1492" s="2" t="s">
        <v>40</v>
      </c>
      <c r="C1492" s="2" t="s">
        <v>78</v>
      </c>
      <c r="D1492" s="2" t="s">
        <v>37</v>
      </c>
      <c r="E1492" s="2" t="s">
        <v>38</v>
      </c>
      <c r="F1492" s="2" t="s">
        <v>24</v>
      </c>
      <c r="G1492">
        <v>66</v>
      </c>
      <c r="H1492">
        <v>423</v>
      </c>
      <c r="I1492">
        <v>32</v>
      </c>
      <c r="J1492" s="3">
        <v>7136900</v>
      </c>
      <c r="K1492" s="3">
        <v>228380800</v>
      </c>
      <c r="L1492" s="2" t="s">
        <v>33</v>
      </c>
      <c r="M1492" s="2" t="s">
        <v>26</v>
      </c>
      <c r="N1492">
        <v>2024</v>
      </c>
      <c r="O1492" s="2" t="s">
        <v>148</v>
      </c>
      <c r="P1492" s="2" t="s">
        <v>149</v>
      </c>
      <c r="Q1492">
        <v>7</v>
      </c>
      <c r="R1492" s="4">
        <v>45474</v>
      </c>
      <c r="S1492" s="3">
        <v>7136900</v>
      </c>
      <c r="T1492" s="3">
        <v>22.84</v>
      </c>
    </row>
    <row r="1493" spans="1:20" x14ac:dyDescent="0.3">
      <c r="A1493" s="1">
        <v>45474</v>
      </c>
      <c r="B1493" s="2" t="s">
        <v>40</v>
      </c>
      <c r="C1493" s="2" t="s">
        <v>78</v>
      </c>
      <c r="D1493" s="2" t="s">
        <v>31</v>
      </c>
      <c r="E1493" s="2" t="s">
        <v>32</v>
      </c>
      <c r="F1493" s="2" t="s">
        <v>24</v>
      </c>
      <c r="G1493">
        <v>4</v>
      </c>
      <c r="H1493">
        <v>195</v>
      </c>
      <c r="I1493">
        <v>96</v>
      </c>
      <c r="J1493" s="3">
        <v>146500</v>
      </c>
      <c r="K1493" s="3">
        <v>14064000</v>
      </c>
      <c r="L1493" s="2" t="s">
        <v>33</v>
      </c>
      <c r="M1493" s="2" t="s">
        <v>26</v>
      </c>
      <c r="N1493">
        <v>2024</v>
      </c>
      <c r="O1493" s="2" t="s">
        <v>148</v>
      </c>
      <c r="P1493" s="2" t="s">
        <v>149</v>
      </c>
      <c r="Q1493">
        <v>7</v>
      </c>
      <c r="R1493" s="4">
        <v>45474</v>
      </c>
      <c r="S1493" s="3">
        <v>146500</v>
      </c>
      <c r="T1493" s="3">
        <v>1.41</v>
      </c>
    </row>
    <row r="1494" spans="1:20" x14ac:dyDescent="0.3">
      <c r="A1494" s="1">
        <v>45475</v>
      </c>
      <c r="B1494" s="2" t="s">
        <v>40</v>
      </c>
      <c r="C1494" s="2" t="s">
        <v>136</v>
      </c>
      <c r="D1494" s="2" t="s">
        <v>67</v>
      </c>
      <c r="E1494" s="2" t="s">
        <v>68</v>
      </c>
      <c r="F1494" s="2" t="s">
        <v>138</v>
      </c>
      <c r="G1494">
        <v>66</v>
      </c>
      <c r="H1494">
        <v>440</v>
      </c>
      <c r="I1494">
        <v>30</v>
      </c>
      <c r="J1494" s="3">
        <v>6712600</v>
      </c>
      <c r="K1494" s="3">
        <v>201378000</v>
      </c>
      <c r="L1494" s="2" t="s">
        <v>33</v>
      </c>
      <c r="M1494" s="2" t="s">
        <v>26</v>
      </c>
      <c r="N1494">
        <v>2024</v>
      </c>
      <c r="O1494" s="2" t="s">
        <v>148</v>
      </c>
      <c r="P1494" s="2" t="s">
        <v>149</v>
      </c>
      <c r="Q1494">
        <v>7</v>
      </c>
      <c r="R1494" s="4">
        <v>45474</v>
      </c>
      <c r="S1494" s="3">
        <v>6712600</v>
      </c>
      <c r="T1494" s="3">
        <v>20.14</v>
      </c>
    </row>
    <row r="1495" spans="1:20" x14ac:dyDescent="0.3">
      <c r="A1495" s="1">
        <v>45476</v>
      </c>
      <c r="B1495" s="2" t="s">
        <v>40</v>
      </c>
      <c r="C1495" s="2" t="s">
        <v>136</v>
      </c>
      <c r="D1495" s="2" t="s">
        <v>100</v>
      </c>
      <c r="E1495" s="2" t="s">
        <v>101</v>
      </c>
      <c r="F1495" s="2" t="s">
        <v>24</v>
      </c>
      <c r="G1495">
        <v>3</v>
      </c>
      <c r="H1495">
        <v>150</v>
      </c>
      <c r="I1495">
        <v>116</v>
      </c>
      <c r="J1495" s="3">
        <v>165400</v>
      </c>
      <c r="K1495" s="3">
        <v>19186400</v>
      </c>
      <c r="L1495" s="2" t="s">
        <v>25</v>
      </c>
      <c r="M1495" s="2" t="s">
        <v>26</v>
      </c>
      <c r="N1495">
        <v>2024</v>
      </c>
      <c r="O1495" s="2" t="s">
        <v>148</v>
      </c>
      <c r="P1495" s="2" t="s">
        <v>149</v>
      </c>
      <c r="Q1495">
        <v>7</v>
      </c>
      <c r="R1495" s="4">
        <v>45474</v>
      </c>
      <c r="S1495" s="3">
        <v>165400</v>
      </c>
      <c r="T1495" s="3">
        <v>1.92</v>
      </c>
    </row>
    <row r="1496" spans="1:20" x14ac:dyDescent="0.3">
      <c r="A1496" s="1">
        <v>45476</v>
      </c>
      <c r="B1496" s="2" t="s">
        <v>46</v>
      </c>
      <c r="C1496" s="2" t="s">
        <v>110</v>
      </c>
      <c r="D1496" s="2" t="s">
        <v>54</v>
      </c>
      <c r="E1496" s="2" t="s">
        <v>55</v>
      </c>
      <c r="F1496" s="2" t="s">
        <v>24</v>
      </c>
      <c r="G1496">
        <v>30</v>
      </c>
      <c r="H1496">
        <v>320</v>
      </c>
      <c r="I1496">
        <v>8</v>
      </c>
      <c r="J1496" s="3">
        <v>1269800</v>
      </c>
      <c r="K1496" s="3">
        <v>10158400</v>
      </c>
      <c r="L1496" s="2" t="s">
        <v>33</v>
      </c>
      <c r="M1496" s="2" t="s">
        <v>77</v>
      </c>
      <c r="N1496">
        <v>2024</v>
      </c>
      <c r="O1496" s="2" t="s">
        <v>148</v>
      </c>
      <c r="P1496" s="2" t="s">
        <v>149</v>
      </c>
      <c r="Q1496">
        <v>7</v>
      </c>
      <c r="R1496" s="4">
        <v>45474</v>
      </c>
      <c r="S1496" s="3">
        <v>1269800</v>
      </c>
      <c r="T1496" s="3">
        <v>1.02</v>
      </c>
    </row>
    <row r="1497" spans="1:20" x14ac:dyDescent="0.3">
      <c r="A1497" s="1">
        <v>45476</v>
      </c>
      <c r="B1497" s="2" t="s">
        <v>84</v>
      </c>
      <c r="C1497" s="2" t="s">
        <v>126</v>
      </c>
      <c r="D1497" s="2" t="s">
        <v>79</v>
      </c>
      <c r="E1497" s="2" t="s">
        <v>80</v>
      </c>
      <c r="F1497" s="2" t="s">
        <v>24</v>
      </c>
      <c r="G1497">
        <v>69</v>
      </c>
      <c r="H1497">
        <v>418</v>
      </c>
      <c r="I1497">
        <v>33</v>
      </c>
      <c r="J1497" s="3">
        <v>6146600</v>
      </c>
      <c r="K1497" s="3">
        <v>202837800</v>
      </c>
      <c r="L1497" s="2" t="s">
        <v>33</v>
      </c>
      <c r="M1497" s="2" t="s">
        <v>34</v>
      </c>
      <c r="N1497">
        <v>2024</v>
      </c>
      <c r="O1497" s="2" t="s">
        <v>148</v>
      </c>
      <c r="P1497" s="2" t="s">
        <v>149</v>
      </c>
      <c r="Q1497">
        <v>7</v>
      </c>
      <c r="R1497" s="4">
        <v>45474</v>
      </c>
      <c r="S1497" s="3">
        <v>6146600</v>
      </c>
      <c r="T1497" s="3">
        <v>20.28</v>
      </c>
    </row>
    <row r="1498" spans="1:20" x14ac:dyDescent="0.3">
      <c r="A1498" s="1">
        <v>45476</v>
      </c>
      <c r="B1498" s="2" t="s">
        <v>40</v>
      </c>
      <c r="C1498" s="2" t="s">
        <v>41</v>
      </c>
      <c r="D1498" s="2" t="s">
        <v>100</v>
      </c>
      <c r="E1498" s="2" t="s">
        <v>101</v>
      </c>
      <c r="F1498" s="2" t="s">
        <v>24</v>
      </c>
      <c r="G1498">
        <v>3</v>
      </c>
      <c r="H1498">
        <v>150</v>
      </c>
      <c r="I1498">
        <v>177</v>
      </c>
      <c r="J1498" s="3">
        <v>159200</v>
      </c>
      <c r="K1498" s="3">
        <v>28178400</v>
      </c>
      <c r="L1498" s="2" t="s">
        <v>33</v>
      </c>
      <c r="M1498" s="2" t="s">
        <v>77</v>
      </c>
      <c r="N1498">
        <v>2024</v>
      </c>
      <c r="O1498" s="2" t="s">
        <v>148</v>
      </c>
      <c r="P1498" s="2" t="s">
        <v>149</v>
      </c>
      <c r="Q1498">
        <v>7</v>
      </c>
      <c r="R1498" s="4">
        <v>45474</v>
      </c>
      <c r="S1498" s="3">
        <v>159200</v>
      </c>
      <c r="T1498" s="3">
        <v>2.82</v>
      </c>
    </row>
    <row r="1499" spans="1:20" x14ac:dyDescent="0.3">
      <c r="A1499" s="1">
        <v>45476</v>
      </c>
      <c r="B1499" s="2" t="s">
        <v>46</v>
      </c>
      <c r="C1499" s="2" t="s">
        <v>110</v>
      </c>
      <c r="D1499" s="2" t="s">
        <v>67</v>
      </c>
      <c r="E1499" s="2" t="s">
        <v>68</v>
      </c>
      <c r="F1499" s="2" t="s">
        <v>24</v>
      </c>
      <c r="G1499">
        <v>66</v>
      </c>
      <c r="H1499">
        <v>440</v>
      </c>
      <c r="I1499">
        <v>14</v>
      </c>
      <c r="J1499" s="3">
        <v>5718300</v>
      </c>
      <c r="K1499" s="3">
        <v>80056200</v>
      </c>
      <c r="L1499" s="2" t="s">
        <v>25</v>
      </c>
      <c r="M1499" s="2" t="s">
        <v>26</v>
      </c>
      <c r="N1499">
        <v>2024</v>
      </c>
      <c r="O1499" s="2" t="s">
        <v>148</v>
      </c>
      <c r="P1499" s="2" t="s">
        <v>149</v>
      </c>
      <c r="Q1499">
        <v>7</v>
      </c>
      <c r="R1499" s="4">
        <v>45474</v>
      </c>
      <c r="S1499" s="3">
        <v>5718300</v>
      </c>
      <c r="T1499" s="3">
        <v>8.01</v>
      </c>
    </row>
    <row r="1500" spans="1:20" x14ac:dyDescent="0.3">
      <c r="A1500" s="1">
        <v>45476</v>
      </c>
      <c r="B1500" s="2" t="s">
        <v>46</v>
      </c>
      <c r="C1500" s="2" t="s">
        <v>137</v>
      </c>
      <c r="D1500" s="2" t="s">
        <v>54</v>
      </c>
      <c r="E1500" s="2" t="s">
        <v>55</v>
      </c>
      <c r="F1500" s="2" t="s">
        <v>24</v>
      </c>
      <c r="G1500">
        <v>30</v>
      </c>
      <c r="H1500">
        <v>320</v>
      </c>
      <c r="I1500">
        <v>22</v>
      </c>
      <c r="J1500" s="3">
        <v>1595300</v>
      </c>
      <c r="K1500" s="3">
        <v>35096600</v>
      </c>
      <c r="L1500" s="2" t="s">
        <v>33</v>
      </c>
      <c r="M1500" s="2" t="s">
        <v>34</v>
      </c>
      <c r="N1500">
        <v>2024</v>
      </c>
      <c r="O1500" s="2" t="s">
        <v>148</v>
      </c>
      <c r="P1500" s="2" t="s">
        <v>149</v>
      </c>
      <c r="Q1500">
        <v>7</v>
      </c>
      <c r="R1500" s="4">
        <v>45474</v>
      </c>
      <c r="S1500" s="3">
        <v>1595300</v>
      </c>
      <c r="T1500" s="3">
        <v>3.51</v>
      </c>
    </row>
    <row r="1501" spans="1:20" x14ac:dyDescent="0.3">
      <c r="A1501" s="1">
        <v>45476</v>
      </c>
      <c r="B1501" s="2" t="s">
        <v>46</v>
      </c>
      <c r="C1501" s="2" t="s">
        <v>110</v>
      </c>
      <c r="D1501" s="2" t="s">
        <v>88</v>
      </c>
      <c r="E1501" s="2" t="s">
        <v>111</v>
      </c>
      <c r="F1501" s="2" t="s">
        <v>24</v>
      </c>
      <c r="G1501">
        <v>60</v>
      </c>
      <c r="H1501">
        <v>480</v>
      </c>
      <c r="I1501">
        <v>30</v>
      </c>
      <c r="J1501" s="3">
        <v>3702200</v>
      </c>
      <c r="K1501" s="3">
        <v>111066000</v>
      </c>
      <c r="L1501" s="2" t="s">
        <v>33</v>
      </c>
      <c r="M1501" s="2" t="s">
        <v>34</v>
      </c>
      <c r="N1501">
        <v>2024</v>
      </c>
      <c r="O1501" s="2" t="s">
        <v>148</v>
      </c>
      <c r="P1501" s="2" t="s">
        <v>149</v>
      </c>
      <c r="Q1501">
        <v>7</v>
      </c>
      <c r="R1501" s="4">
        <v>45474</v>
      </c>
      <c r="S1501" s="3">
        <v>3702200</v>
      </c>
      <c r="T1501" s="3">
        <v>11.11</v>
      </c>
    </row>
    <row r="1502" spans="1:20" x14ac:dyDescent="0.3">
      <c r="A1502" s="1">
        <v>45476</v>
      </c>
      <c r="B1502" s="2" t="s">
        <v>44</v>
      </c>
      <c r="C1502" s="2" t="s">
        <v>117</v>
      </c>
      <c r="D1502" s="2" t="s">
        <v>37</v>
      </c>
      <c r="E1502" s="2" t="s">
        <v>38</v>
      </c>
      <c r="F1502" s="2" t="s">
        <v>24</v>
      </c>
      <c r="G1502">
        <v>66</v>
      </c>
      <c r="H1502">
        <v>423</v>
      </c>
      <c r="I1502">
        <v>12</v>
      </c>
      <c r="J1502" s="3">
        <v>8526300</v>
      </c>
      <c r="K1502" s="3">
        <v>102315600</v>
      </c>
      <c r="L1502" s="2" t="s">
        <v>33</v>
      </c>
      <c r="M1502" s="2" t="s">
        <v>34</v>
      </c>
      <c r="N1502">
        <v>2024</v>
      </c>
      <c r="O1502" s="2" t="s">
        <v>148</v>
      </c>
      <c r="P1502" s="2" t="s">
        <v>149</v>
      </c>
      <c r="Q1502">
        <v>7</v>
      </c>
      <c r="R1502" s="4">
        <v>45474</v>
      </c>
      <c r="S1502" s="3">
        <v>8526300</v>
      </c>
      <c r="T1502" s="3">
        <v>10.23</v>
      </c>
    </row>
    <row r="1503" spans="1:20" x14ac:dyDescent="0.3">
      <c r="A1503" s="1">
        <v>45477</v>
      </c>
      <c r="B1503" s="2" t="s">
        <v>48</v>
      </c>
      <c r="C1503" s="2" t="s">
        <v>69</v>
      </c>
      <c r="D1503" s="2" t="s">
        <v>63</v>
      </c>
      <c r="E1503" s="2" t="s">
        <v>64</v>
      </c>
      <c r="F1503" s="2" t="s">
        <v>24</v>
      </c>
      <c r="G1503">
        <v>3</v>
      </c>
      <c r="H1503">
        <v>127</v>
      </c>
      <c r="I1503">
        <v>113</v>
      </c>
      <c r="J1503" s="3">
        <v>177200</v>
      </c>
      <c r="K1503" s="3">
        <v>20023600</v>
      </c>
      <c r="L1503" s="2" t="s">
        <v>33</v>
      </c>
      <c r="M1503" s="2" t="s">
        <v>77</v>
      </c>
      <c r="N1503">
        <v>2024</v>
      </c>
      <c r="O1503" s="2" t="s">
        <v>148</v>
      </c>
      <c r="P1503" s="2" t="s">
        <v>149</v>
      </c>
      <c r="Q1503">
        <v>7</v>
      </c>
      <c r="R1503" s="4">
        <v>45474</v>
      </c>
      <c r="S1503" s="3">
        <v>177200</v>
      </c>
      <c r="T1503" s="3">
        <v>2</v>
      </c>
    </row>
    <row r="1504" spans="1:20" x14ac:dyDescent="0.3">
      <c r="A1504" s="1">
        <v>45478</v>
      </c>
      <c r="B1504" s="2" t="s">
        <v>84</v>
      </c>
      <c r="C1504" s="2" t="s">
        <v>126</v>
      </c>
      <c r="D1504" s="2" t="s">
        <v>94</v>
      </c>
      <c r="E1504" s="2" t="s">
        <v>115</v>
      </c>
      <c r="F1504" s="2" t="s">
        <v>72</v>
      </c>
      <c r="G1504">
        <v>24</v>
      </c>
      <c r="H1504">
        <v>24</v>
      </c>
      <c r="I1504">
        <v>142</v>
      </c>
      <c r="J1504" s="3">
        <v>1382100</v>
      </c>
      <c r="K1504" s="3">
        <v>196258200</v>
      </c>
      <c r="L1504" s="2" t="s">
        <v>33</v>
      </c>
      <c r="M1504" s="2" t="s">
        <v>26</v>
      </c>
      <c r="N1504">
        <v>2024</v>
      </c>
      <c r="O1504" s="2" t="s">
        <v>148</v>
      </c>
      <c r="P1504" s="2" t="s">
        <v>149</v>
      </c>
      <c r="Q1504">
        <v>7</v>
      </c>
      <c r="R1504" s="4">
        <v>45474</v>
      </c>
      <c r="S1504" s="3">
        <v>1382100</v>
      </c>
      <c r="T1504" s="3">
        <v>19.63</v>
      </c>
    </row>
    <row r="1505" spans="1:20" x14ac:dyDescent="0.3">
      <c r="A1505" s="1">
        <v>45479</v>
      </c>
      <c r="B1505" s="2" t="s">
        <v>90</v>
      </c>
      <c r="C1505" s="2" t="s">
        <v>99</v>
      </c>
      <c r="D1505" s="2" t="s">
        <v>70</v>
      </c>
      <c r="E1505" s="2" t="s">
        <v>74</v>
      </c>
      <c r="F1505" s="2" t="s">
        <v>24</v>
      </c>
      <c r="G1505">
        <v>25</v>
      </c>
      <c r="H1505">
        <v>32</v>
      </c>
      <c r="I1505">
        <v>88</v>
      </c>
      <c r="J1505" s="3">
        <v>1206800</v>
      </c>
      <c r="K1505" s="3">
        <v>106198400</v>
      </c>
      <c r="L1505" s="2" t="s">
        <v>25</v>
      </c>
      <c r="M1505" s="2" t="s">
        <v>77</v>
      </c>
      <c r="N1505">
        <v>2024</v>
      </c>
      <c r="O1505" s="2" t="s">
        <v>148</v>
      </c>
      <c r="P1505" s="2" t="s">
        <v>149</v>
      </c>
      <c r="Q1505">
        <v>7</v>
      </c>
      <c r="R1505" s="4">
        <v>45474</v>
      </c>
      <c r="S1505" s="3">
        <v>1206800</v>
      </c>
      <c r="T1505" s="3">
        <v>10.62</v>
      </c>
    </row>
    <row r="1506" spans="1:20" x14ac:dyDescent="0.3">
      <c r="A1506" s="1">
        <v>45479</v>
      </c>
      <c r="B1506" s="2" t="s">
        <v>75</v>
      </c>
      <c r="C1506" s="2" t="s">
        <v>134</v>
      </c>
      <c r="D1506" s="2" t="s">
        <v>94</v>
      </c>
      <c r="E1506" s="2" t="s">
        <v>115</v>
      </c>
      <c r="F1506" s="2" t="s">
        <v>24</v>
      </c>
      <c r="G1506">
        <v>24</v>
      </c>
      <c r="H1506">
        <v>24</v>
      </c>
      <c r="I1506">
        <v>28</v>
      </c>
      <c r="J1506" s="3">
        <v>1454800</v>
      </c>
      <c r="K1506" s="3">
        <v>40734400</v>
      </c>
      <c r="L1506" s="2" t="s">
        <v>33</v>
      </c>
      <c r="M1506" s="2" t="s">
        <v>26</v>
      </c>
      <c r="N1506">
        <v>2024</v>
      </c>
      <c r="O1506" s="2" t="s">
        <v>148</v>
      </c>
      <c r="P1506" s="2" t="s">
        <v>149</v>
      </c>
      <c r="Q1506">
        <v>7</v>
      </c>
      <c r="R1506" s="4">
        <v>45474</v>
      </c>
      <c r="S1506" s="3">
        <v>1454800</v>
      </c>
      <c r="T1506" s="3">
        <v>4.07</v>
      </c>
    </row>
    <row r="1507" spans="1:20" x14ac:dyDescent="0.3">
      <c r="A1507" s="1">
        <v>45479</v>
      </c>
      <c r="B1507" s="2" t="s">
        <v>46</v>
      </c>
      <c r="C1507" s="2" t="s">
        <v>56</v>
      </c>
      <c r="D1507" s="2" t="s">
        <v>22</v>
      </c>
      <c r="E1507" s="2" t="s">
        <v>23</v>
      </c>
      <c r="F1507" s="2" t="s">
        <v>24</v>
      </c>
      <c r="G1507">
        <v>82</v>
      </c>
      <c r="H1507">
        <v>520</v>
      </c>
      <c r="I1507">
        <v>30</v>
      </c>
      <c r="J1507" s="3">
        <v>7510100</v>
      </c>
      <c r="K1507" s="3">
        <v>225303000</v>
      </c>
      <c r="L1507" s="2" t="s">
        <v>33</v>
      </c>
      <c r="M1507" s="2" t="s">
        <v>26</v>
      </c>
      <c r="N1507">
        <v>2024</v>
      </c>
      <c r="O1507" s="2" t="s">
        <v>148</v>
      </c>
      <c r="P1507" s="2" t="s">
        <v>149</v>
      </c>
      <c r="Q1507">
        <v>7</v>
      </c>
      <c r="R1507" s="4">
        <v>45474</v>
      </c>
      <c r="S1507" s="3">
        <v>7510100</v>
      </c>
      <c r="T1507" s="3">
        <v>22.53</v>
      </c>
    </row>
    <row r="1508" spans="1:20" x14ac:dyDescent="0.3">
      <c r="A1508" s="1">
        <v>45480</v>
      </c>
      <c r="B1508" s="2" t="s">
        <v>29</v>
      </c>
      <c r="C1508" s="2" t="s">
        <v>104</v>
      </c>
      <c r="D1508" s="2" t="s">
        <v>88</v>
      </c>
      <c r="E1508" s="2" t="s">
        <v>111</v>
      </c>
      <c r="F1508" s="2" t="s">
        <v>24</v>
      </c>
      <c r="G1508">
        <v>60</v>
      </c>
      <c r="H1508">
        <v>480</v>
      </c>
      <c r="I1508">
        <v>75</v>
      </c>
      <c r="J1508" s="3">
        <v>3127800</v>
      </c>
      <c r="K1508" s="3">
        <v>234585000</v>
      </c>
      <c r="L1508" s="2" t="s">
        <v>25</v>
      </c>
      <c r="M1508" s="2" t="s">
        <v>26</v>
      </c>
      <c r="N1508">
        <v>2024</v>
      </c>
      <c r="O1508" s="2" t="s">
        <v>148</v>
      </c>
      <c r="P1508" s="2" t="s">
        <v>149</v>
      </c>
      <c r="Q1508">
        <v>7</v>
      </c>
      <c r="R1508" s="4">
        <v>45474</v>
      </c>
      <c r="S1508" s="3">
        <v>3127800</v>
      </c>
      <c r="T1508" s="3">
        <v>23.46</v>
      </c>
    </row>
    <row r="1509" spans="1:20" x14ac:dyDescent="0.3">
      <c r="A1509" s="1">
        <v>45480</v>
      </c>
      <c r="B1509" s="2" t="s">
        <v>46</v>
      </c>
      <c r="C1509" s="2" t="s">
        <v>137</v>
      </c>
      <c r="D1509" s="2" t="s">
        <v>100</v>
      </c>
      <c r="E1509" s="2" t="s">
        <v>101</v>
      </c>
      <c r="F1509" s="2" t="s">
        <v>24</v>
      </c>
      <c r="G1509">
        <v>3</v>
      </c>
      <c r="H1509">
        <v>150</v>
      </c>
      <c r="I1509">
        <v>21</v>
      </c>
      <c r="J1509" s="3">
        <v>136000</v>
      </c>
      <c r="K1509" s="3">
        <v>2856000</v>
      </c>
      <c r="L1509" s="2" t="s">
        <v>33</v>
      </c>
      <c r="M1509" s="2" t="s">
        <v>26</v>
      </c>
      <c r="N1509">
        <v>2024</v>
      </c>
      <c r="O1509" s="2" t="s">
        <v>148</v>
      </c>
      <c r="P1509" s="2" t="s">
        <v>149</v>
      </c>
      <c r="Q1509">
        <v>7</v>
      </c>
      <c r="R1509" s="4">
        <v>45474</v>
      </c>
      <c r="S1509" s="3">
        <v>136000</v>
      </c>
      <c r="T1509" s="3">
        <v>0.28999999999999998</v>
      </c>
    </row>
    <row r="1510" spans="1:20" x14ac:dyDescent="0.3">
      <c r="A1510" s="1">
        <v>45480</v>
      </c>
      <c r="B1510" s="2" t="s">
        <v>48</v>
      </c>
      <c r="C1510" s="2" t="s">
        <v>49</v>
      </c>
      <c r="D1510" s="2" t="s">
        <v>67</v>
      </c>
      <c r="E1510" s="2" t="s">
        <v>68</v>
      </c>
      <c r="F1510" s="2" t="s">
        <v>72</v>
      </c>
      <c r="G1510">
        <v>66</v>
      </c>
      <c r="H1510">
        <v>440</v>
      </c>
      <c r="I1510">
        <v>26</v>
      </c>
      <c r="J1510" s="3">
        <v>6446400</v>
      </c>
      <c r="K1510" s="3">
        <v>167606400</v>
      </c>
      <c r="L1510" s="2" t="s">
        <v>33</v>
      </c>
      <c r="M1510" s="2" t="s">
        <v>26</v>
      </c>
      <c r="N1510">
        <v>2024</v>
      </c>
      <c r="O1510" s="2" t="s">
        <v>148</v>
      </c>
      <c r="P1510" s="2" t="s">
        <v>149</v>
      </c>
      <c r="Q1510">
        <v>7</v>
      </c>
      <c r="R1510" s="4">
        <v>45474</v>
      </c>
      <c r="S1510" s="3">
        <v>6446400</v>
      </c>
      <c r="T1510" s="3">
        <v>16.760000000000002</v>
      </c>
    </row>
    <row r="1511" spans="1:20" x14ac:dyDescent="0.3">
      <c r="A1511" s="1">
        <v>45480</v>
      </c>
      <c r="B1511" s="2" t="s">
        <v>59</v>
      </c>
      <c r="C1511" s="2" t="s">
        <v>129</v>
      </c>
      <c r="D1511" s="2" t="s">
        <v>22</v>
      </c>
      <c r="E1511" s="2" t="s">
        <v>23</v>
      </c>
      <c r="F1511" s="2" t="s">
        <v>39</v>
      </c>
      <c r="G1511">
        <v>82</v>
      </c>
      <c r="H1511">
        <v>520</v>
      </c>
      <c r="I1511">
        <v>28</v>
      </c>
      <c r="J1511" s="3">
        <v>6764600</v>
      </c>
      <c r="K1511" s="3">
        <v>189408800</v>
      </c>
      <c r="L1511" s="2" t="s">
        <v>33</v>
      </c>
      <c r="M1511" s="2" t="s">
        <v>26</v>
      </c>
      <c r="N1511">
        <v>2024</v>
      </c>
      <c r="O1511" s="2" t="s">
        <v>148</v>
      </c>
      <c r="P1511" s="2" t="s">
        <v>149</v>
      </c>
      <c r="Q1511">
        <v>7</v>
      </c>
      <c r="R1511" s="4">
        <v>45474</v>
      </c>
      <c r="S1511" s="3">
        <v>6764600</v>
      </c>
      <c r="T1511" s="3">
        <v>18.940000000000001</v>
      </c>
    </row>
    <row r="1512" spans="1:20" x14ac:dyDescent="0.3">
      <c r="A1512" s="1">
        <v>45480</v>
      </c>
      <c r="B1512" s="2" t="s">
        <v>90</v>
      </c>
      <c r="C1512" s="2" t="s">
        <v>91</v>
      </c>
      <c r="D1512" s="2" t="s">
        <v>37</v>
      </c>
      <c r="E1512" s="2" t="s">
        <v>38</v>
      </c>
      <c r="F1512" s="2" t="s">
        <v>24</v>
      </c>
      <c r="G1512">
        <v>66</v>
      </c>
      <c r="H1512">
        <v>423</v>
      </c>
      <c r="I1512">
        <v>16</v>
      </c>
      <c r="J1512" s="3">
        <v>7380100</v>
      </c>
      <c r="K1512" s="3">
        <v>118081600</v>
      </c>
      <c r="L1512" s="2" t="s">
        <v>33</v>
      </c>
      <c r="M1512" s="2" t="s">
        <v>26</v>
      </c>
      <c r="N1512">
        <v>2024</v>
      </c>
      <c r="O1512" s="2" t="s">
        <v>148</v>
      </c>
      <c r="P1512" s="2" t="s">
        <v>149</v>
      </c>
      <c r="Q1512">
        <v>7</v>
      </c>
      <c r="R1512" s="4">
        <v>45474</v>
      </c>
      <c r="S1512" s="3">
        <v>7380100</v>
      </c>
      <c r="T1512" s="3">
        <v>11.81</v>
      </c>
    </row>
    <row r="1513" spans="1:20" x14ac:dyDescent="0.3">
      <c r="A1513" s="1">
        <v>45481</v>
      </c>
      <c r="B1513" s="2" t="s">
        <v>84</v>
      </c>
      <c r="C1513" s="2" t="s">
        <v>85</v>
      </c>
      <c r="D1513" s="2" t="s">
        <v>22</v>
      </c>
      <c r="E1513" s="2" t="s">
        <v>23</v>
      </c>
      <c r="F1513" s="2" t="s">
        <v>24</v>
      </c>
      <c r="G1513">
        <v>82</v>
      </c>
      <c r="H1513">
        <v>520</v>
      </c>
      <c r="I1513">
        <v>7</v>
      </c>
      <c r="J1513" s="3">
        <v>6573000</v>
      </c>
      <c r="K1513" s="3">
        <v>46011000</v>
      </c>
      <c r="L1513" s="2" t="s">
        <v>25</v>
      </c>
      <c r="M1513" s="2" t="s">
        <v>26</v>
      </c>
      <c r="N1513">
        <v>2024</v>
      </c>
      <c r="O1513" s="2" t="s">
        <v>148</v>
      </c>
      <c r="P1513" s="2" t="s">
        <v>149</v>
      </c>
      <c r="Q1513">
        <v>7</v>
      </c>
      <c r="R1513" s="4">
        <v>45474</v>
      </c>
      <c r="S1513" s="3">
        <v>6573000</v>
      </c>
      <c r="T1513" s="3">
        <v>4.5999999999999996</v>
      </c>
    </row>
    <row r="1514" spans="1:20" x14ac:dyDescent="0.3">
      <c r="A1514" s="1">
        <v>45482</v>
      </c>
      <c r="B1514" s="2" t="s">
        <v>52</v>
      </c>
      <c r="C1514" s="2" t="s">
        <v>53</v>
      </c>
      <c r="D1514" s="2" t="s">
        <v>42</v>
      </c>
      <c r="E1514" s="2" t="s">
        <v>43</v>
      </c>
      <c r="F1514" s="2" t="s">
        <v>24</v>
      </c>
      <c r="G1514">
        <v>3</v>
      </c>
      <c r="H1514">
        <v>135</v>
      </c>
      <c r="I1514">
        <v>158</v>
      </c>
      <c r="J1514" s="3">
        <v>101700</v>
      </c>
      <c r="K1514" s="3">
        <v>16068600</v>
      </c>
      <c r="L1514" s="2" t="s">
        <v>33</v>
      </c>
      <c r="M1514" s="2" t="s">
        <v>34</v>
      </c>
      <c r="N1514">
        <v>2024</v>
      </c>
      <c r="O1514" s="2" t="s">
        <v>148</v>
      </c>
      <c r="P1514" s="2" t="s">
        <v>149</v>
      </c>
      <c r="Q1514">
        <v>7</v>
      </c>
      <c r="R1514" s="4">
        <v>45474</v>
      </c>
      <c r="S1514" s="3">
        <v>101700</v>
      </c>
      <c r="T1514" s="3">
        <v>1.61</v>
      </c>
    </row>
    <row r="1515" spans="1:20" x14ac:dyDescent="0.3">
      <c r="A1515" s="1">
        <v>45482</v>
      </c>
      <c r="B1515" s="2" t="s">
        <v>40</v>
      </c>
      <c r="C1515" s="2" t="s">
        <v>105</v>
      </c>
      <c r="D1515" s="2" t="s">
        <v>82</v>
      </c>
      <c r="E1515" s="2" t="s">
        <v>83</v>
      </c>
      <c r="F1515" s="2" t="s">
        <v>24</v>
      </c>
      <c r="G1515">
        <v>40</v>
      </c>
      <c r="H1515">
        <v>39</v>
      </c>
      <c r="I1515">
        <v>172</v>
      </c>
      <c r="J1515" s="3">
        <v>2550800</v>
      </c>
      <c r="K1515" s="3">
        <v>438737600</v>
      </c>
      <c r="L1515" s="2" t="s">
        <v>33</v>
      </c>
      <c r="M1515" s="2" t="s">
        <v>26</v>
      </c>
      <c r="N1515">
        <v>2024</v>
      </c>
      <c r="O1515" s="2" t="s">
        <v>148</v>
      </c>
      <c r="P1515" s="2" t="s">
        <v>149</v>
      </c>
      <c r="Q1515">
        <v>7</v>
      </c>
      <c r="R1515" s="4">
        <v>45474</v>
      </c>
      <c r="S1515" s="3">
        <v>2550800</v>
      </c>
      <c r="T1515" s="3">
        <v>43.87</v>
      </c>
    </row>
    <row r="1516" spans="1:20" x14ac:dyDescent="0.3">
      <c r="A1516" s="1">
        <v>45483</v>
      </c>
      <c r="B1516" s="2" t="s">
        <v>35</v>
      </c>
      <c r="C1516" s="2" t="s">
        <v>87</v>
      </c>
      <c r="D1516" s="2" t="s">
        <v>102</v>
      </c>
      <c r="E1516" s="2" t="s">
        <v>103</v>
      </c>
      <c r="F1516" s="2" t="s">
        <v>24</v>
      </c>
      <c r="G1516">
        <v>5</v>
      </c>
      <c r="H1516">
        <v>150</v>
      </c>
      <c r="I1516">
        <v>81</v>
      </c>
      <c r="J1516" s="3">
        <v>176500</v>
      </c>
      <c r="K1516" s="3">
        <v>14296500</v>
      </c>
      <c r="L1516" s="2" t="s">
        <v>25</v>
      </c>
      <c r="M1516" s="2" t="s">
        <v>77</v>
      </c>
      <c r="N1516">
        <v>2024</v>
      </c>
      <c r="O1516" s="2" t="s">
        <v>148</v>
      </c>
      <c r="P1516" s="2" t="s">
        <v>149</v>
      </c>
      <c r="Q1516">
        <v>7</v>
      </c>
      <c r="R1516" s="4">
        <v>45474</v>
      </c>
      <c r="S1516" s="3">
        <v>176500</v>
      </c>
      <c r="T1516" s="3">
        <v>1.43</v>
      </c>
    </row>
    <row r="1517" spans="1:20" x14ac:dyDescent="0.3">
      <c r="A1517" s="1">
        <v>45483</v>
      </c>
      <c r="B1517" s="2" t="s">
        <v>20</v>
      </c>
      <c r="C1517" s="2" t="s">
        <v>125</v>
      </c>
      <c r="D1517" s="2" t="s">
        <v>54</v>
      </c>
      <c r="E1517" s="2" t="s">
        <v>55</v>
      </c>
      <c r="F1517" s="2" t="s">
        <v>72</v>
      </c>
      <c r="G1517">
        <v>30</v>
      </c>
      <c r="H1517">
        <v>320</v>
      </c>
      <c r="I1517">
        <v>63</v>
      </c>
      <c r="J1517" s="3">
        <v>1398300</v>
      </c>
      <c r="K1517" s="3">
        <v>88092900</v>
      </c>
      <c r="L1517" s="2" t="s">
        <v>33</v>
      </c>
      <c r="M1517" s="2" t="s">
        <v>26</v>
      </c>
      <c r="N1517">
        <v>2024</v>
      </c>
      <c r="O1517" s="2" t="s">
        <v>148</v>
      </c>
      <c r="P1517" s="2" t="s">
        <v>149</v>
      </c>
      <c r="Q1517">
        <v>7</v>
      </c>
      <c r="R1517" s="4">
        <v>45474</v>
      </c>
      <c r="S1517" s="3">
        <v>1398300</v>
      </c>
      <c r="T1517" s="3">
        <v>8.81</v>
      </c>
    </row>
    <row r="1518" spans="1:20" x14ac:dyDescent="0.3">
      <c r="A1518" s="1">
        <v>45483</v>
      </c>
      <c r="B1518" s="2" t="s">
        <v>75</v>
      </c>
      <c r="C1518" s="2" t="s">
        <v>122</v>
      </c>
      <c r="D1518" s="2" t="s">
        <v>63</v>
      </c>
      <c r="E1518" s="2" t="s">
        <v>64</v>
      </c>
      <c r="F1518" s="2" t="s">
        <v>24</v>
      </c>
      <c r="G1518">
        <v>3</v>
      </c>
      <c r="H1518">
        <v>127</v>
      </c>
      <c r="I1518">
        <v>143</v>
      </c>
      <c r="J1518" s="3">
        <v>162700</v>
      </c>
      <c r="K1518" s="3">
        <v>23266100</v>
      </c>
      <c r="L1518" s="2" t="s">
        <v>33</v>
      </c>
      <c r="M1518" s="2" t="s">
        <v>26</v>
      </c>
      <c r="N1518">
        <v>2024</v>
      </c>
      <c r="O1518" s="2" t="s">
        <v>148</v>
      </c>
      <c r="P1518" s="2" t="s">
        <v>149</v>
      </c>
      <c r="Q1518">
        <v>7</v>
      </c>
      <c r="R1518" s="4">
        <v>45474</v>
      </c>
      <c r="S1518" s="3">
        <v>162700</v>
      </c>
      <c r="T1518" s="3">
        <v>2.33</v>
      </c>
    </row>
    <row r="1519" spans="1:20" x14ac:dyDescent="0.3">
      <c r="A1519" s="1">
        <v>45485</v>
      </c>
      <c r="B1519" s="2" t="s">
        <v>46</v>
      </c>
      <c r="C1519" s="2" t="s">
        <v>47</v>
      </c>
      <c r="D1519" s="2" t="s">
        <v>50</v>
      </c>
      <c r="E1519" s="2" t="s">
        <v>51</v>
      </c>
      <c r="F1519" s="2" t="s">
        <v>39</v>
      </c>
      <c r="G1519">
        <v>77</v>
      </c>
      <c r="H1519">
        <v>528</v>
      </c>
      <c r="I1519">
        <v>19</v>
      </c>
      <c r="J1519" s="3">
        <v>4575500</v>
      </c>
      <c r="K1519" s="3">
        <v>86934500</v>
      </c>
      <c r="L1519" s="2" t="s">
        <v>25</v>
      </c>
      <c r="M1519" s="2" t="s">
        <v>77</v>
      </c>
      <c r="N1519">
        <v>2024</v>
      </c>
      <c r="O1519" s="2" t="s">
        <v>148</v>
      </c>
      <c r="P1519" s="2" t="s">
        <v>149</v>
      </c>
      <c r="Q1519">
        <v>7</v>
      </c>
      <c r="R1519" s="4">
        <v>45474</v>
      </c>
      <c r="S1519" s="3">
        <v>4575500</v>
      </c>
      <c r="T1519" s="3">
        <v>8.69</v>
      </c>
    </row>
    <row r="1520" spans="1:20" x14ac:dyDescent="0.3">
      <c r="A1520" s="1">
        <v>45486</v>
      </c>
      <c r="B1520" s="2" t="s">
        <v>106</v>
      </c>
      <c r="C1520" s="2" t="s">
        <v>119</v>
      </c>
      <c r="D1520" s="2" t="s">
        <v>102</v>
      </c>
      <c r="E1520" s="2" t="s">
        <v>103</v>
      </c>
      <c r="F1520" s="2" t="s">
        <v>24</v>
      </c>
      <c r="G1520">
        <v>5</v>
      </c>
      <c r="H1520">
        <v>150</v>
      </c>
      <c r="I1520">
        <v>112</v>
      </c>
      <c r="J1520" s="3">
        <v>168400</v>
      </c>
      <c r="K1520" s="3">
        <v>18860800</v>
      </c>
      <c r="L1520" s="2" t="s">
        <v>33</v>
      </c>
      <c r="M1520" s="2" t="s">
        <v>26</v>
      </c>
      <c r="N1520">
        <v>2024</v>
      </c>
      <c r="O1520" s="2" t="s">
        <v>148</v>
      </c>
      <c r="P1520" s="2" t="s">
        <v>149</v>
      </c>
      <c r="Q1520">
        <v>7</v>
      </c>
      <c r="R1520" s="4">
        <v>45474</v>
      </c>
      <c r="S1520" s="3">
        <v>168400</v>
      </c>
      <c r="T1520" s="3">
        <v>1.89</v>
      </c>
    </row>
    <row r="1521" spans="1:20" x14ac:dyDescent="0.3">
      <c r="A1521" s="1">
        <v>45486</v>
      </c>
      <c r="B1521" s="2" t="s">
        <v>40</v>
      </c>
      <c r="C1521" s="2" t="s">
        <v>105</v>
      </c>
      <c r="D1521" s="2" t="s">
        <v>100</v>
      </c>
      <c r="E1521" s="2" t="s">
        <v>101</v>
      </c>
      <c r="F1521" s="2" t="s">
        <v>24</v>
      </c>
      <c r="G1521">
        <v>3</v>
      </c>
      <c r="H1521">
        <v>150</v>
      </c>
      <c r="I1521">
        <v>109</v>
      </c>
      <c r="J1521" s="3">
        <v>160100</v>
      </c>
      <c r="K1521" s="3">
        <v>17450900</v>
      </c>
      <c r="L1521" s="2" t="s">
        <v>33</v>
      </c>
      <c r="M1521" s="2" t="s">
        <v>77</v>
      </c>
      <c r="N1521">
        <v>2024</v>
      </c>
      <c r="O1521" s="2" t="s">
        <v>148</v>
      </c>
      <c r="P1521" s="2" t="s">
        <v>149</v>
      </c>
      <c r="Q1521">
        <v>7</v>
      </c>
      <c r="R1521" s="4">
        <v>45474</v>
      </c>
      <c r="S1521" s="3">
        <v>160100</v>
      </c>
      <c r="T1521" s="3">
        <v>1.75</v>
      </c>
    </row>
    <row r="1522" spans="1:20" x14ac:dyDescent="0.3">
      <c r="A1522" s="1">
        <v>45486</v>
      </c>
      <c r="B1522" s="2" t="s">
        <v>44</v>
      </c>
      <c r="C1522" s="2" t="s">
        <v>142</v>
      </c>
      <c r="D1522" s="2" t="s">
        <v>82</v>
      </c>
      <c r="E1522" s="2" t="s">
        <v>83</v>
      </c>
      <c r="F1522" s="2" t="s">
        <v>24</v>
      </c>
      <c r="G1522">
        <v>40</v>
      </c>
      <c r="H1522">
        <v>39</v>
      </c>
      <c r="I1522">
        <v>110</v>
      </c>
      <c r="J1522" s="3">
        <v>2399600</v>
      </c>
      <c r="K1522" s="3">
        <v>263956000</v>
      </c>
      <c r="L1522" s="2" t="s">
        <v>25</v>
      </c>
      <c r="M1522" s="2" t="s">
        <v>34</v>
      </c>
      <c r="N1522">
        <v>2024</v>
      </c>
      <c r="O1522" s="2" t="s">
        <v>148</v>
      </c>
      <c r="P1522" s="2" t="s">
        <v>149</v>
      </c>
      <c r="Q1522">
        <v>7</v>
      </c>
      <c r="R1522" s="4">
        <v>45474</v>
      </c>
      <c r="S1522" s="3">
        <v>2399600</v>
      </c>
      <c r="T1522" s="3">
        <v>26.4</v>
      </c>
    </row>
    <row r="1523" spans="1:20" x14ac:dyDescent="0.3">
      <c r="A1523" s="1">
        <v>45487</v>
      </c>
      <c r="B1523" s="2" t="s">
        <v>46</v>
      </c>
      <c r="C1523" s="2" t="s">
        <v>137</v>
      </c>
      <c r="D1523" s="2" t="s">
        <v>57</v>
      </c>
      <c r="E1523" s="2" t="s">
        <v>58</v>
      </c>
      <c r="F1523" s="2" t="s">
        <v>24</v>
      </c>
      <c r="G1523">
        <v>72</v>
      </c>
      <c r="H1523">
        <v>488</v>
      </c>
      <c r="I1523">
        <v>131</v>
      </c>
      <c r="J1523" s="3">
        <v>4310800</v>
      </c>
      <c r="K1523" s="3">
        <v>564714800</v>
      </c>
      <c r="L1523" s="2" t="s">
        <v>33</v>
      </c>
      <c r="M1523" s="2" t="s">
        <v>34</v>
      </c>
      <c r="N1523">
        <v>2024</v>
      </c>
      <c r="O1523" s="2" t="s">
        <v>148</v>
      </c>
      <c r="P1523" s="2" t="s">
        <v>149</v>
      </c>
      <c r="Q1523">
        <v>7</v>
      </c>
      <c r="R1523" s="4">
        <v>45474</v>
      </c>
      <c r="S1523" s="3">
        <v>4310800</v>
      </c>
      <c r="T1523" s="3">
        <v>56.47</v>
      </c>
    </row>
    <row r="1524" spans="1:20" x14ac:dyDescent="0.3">
      <c r="A1524" s="1">
        <v>45487</v>
      </c>
      <c r="B1524" s="2" t="s">
        <v>40</v>
      </c>
      <c r="C1524" s="2" t="s">
        <v>105</v>
      </c>
      <c r="D1524" s="2" t="s">
        <v>50</v>
      </c>
      <c r="E1524" s="2" t="s">
        <v>51</v>
      </c>
      <c r="F1524" s="2" t="s">
        <v>24</v>
      </c>
      <c r="G1524">
        <v>77</v>
      </c>
      <c r="H1524">
        <v>528</v>
      </c>
      <c r="I1524">
        <v>60</v>
      </c>
      <c r="J1524" s="3">
        <v>5378000</v>
      </c>
      <c r="K1524" s="3">
        <v>322680000</v>
      </c>
      <c r="L1524" s="2" t="s">
        <v>33</v>
      </c>
      <c r="M1524" s="2" t="s">
        <v>26</v>
      </c>
      <c r="N1524">
        <v>2024</v>
      </c>
      <c r="O1524" s="2" t="s">
        <v>148</v>
      </c>
      <c r="P1524" s="2" t="s">
        <v>149</v>
      </c>
      <c r="Q1524">
        <v>7</v>
      </c>
      <c r="R1524" s="4">
        <v>45474</v>
      </c>
      <c r="S1524" s="3">
        <v>5378000</v>
      </c>
      <c r="T1524" s="3">
        <v>32.270000000000003</v>
      </c>
    </row>
    <row r="1525" spans="1:20" x14ac:dyDescent="0.3">
      <c r="A1525" s="1">
        <v>45487</v>
      </c>
      <c r="B1525" s="2" t="s">
        <v>46</v>
      </c>
      <c r="C1525" s="2" t="s">
        <v>137</v>
      </c>
      <c r="D1525" s="2" t="s">
        <v>42</v>
      </c>
      <c r="E1525" s="2" t="s">
        <v>43</v>
      </c>
      <c r="F1525" s="2" t="s">
        <v>24</v>
      </c>
      <c r="G1525">
        <v>3</v>
      </c>
      <c r="H1525">
        <v>135</v>
      </c>
      <c r="I1525">
        <v>102</v>
      </c>
      <c r="J1525" s="3">
        <v>117900</v>
      </c>
      <c r="K1525" s="3">
        <v>12025800</v>
      </c>
      <c r="L1525" s="2" t="s">
        <v>33</v>
      </c>
      <c r="M1525" s="2" t="s">
        <v>77</v>
      </c>
      <c r="N1525">
        <v>2024</v>
      </c>
      <c r="O1525" s="2" t="s">
        <v>148</v>
      </c>
      <c r="P1525" s="2" t="s">
        <v>149</v>
      </c>
      <c r="Q1525">
        <v>7</v>
      </c>
      <c r="R1525" s="4">
        <v>45474</v>
      </c>
      <c r="S1525" s="3">
        <v>117900</v>
      </c>
      <c r="T1525" s="3">
        <v>1.2</v>
      </c>
    </row>
    <row r="1526" spans="1:20" x14ac:dyDescent="0.3">
      <c r="A1526" s="1">
        <v>45487</v>
      </c>
      <c r="B1526" s="2" t="s">
        <v>29</v>
      </c>
      <c r="C1526" s="2" t="s">
        <v>104</v>
      </c>
      <c r="D1526" s="2" t="s">
        <v>57</v>
      </c>
      <c r="E1526" s="2" t="s">
        <v>58</v>
      </c>
      <c r="F1526" s="2" t="s">
        <v>24</v>
      </c>
      <c r="G1526">
        <v>72</v>
      </c>
      <c r="H1526">
        <v>488</v>
      </c>
      <c r="I1526">
        <v>68</v>
      </c>
      <c r="J1526" s="3">
        <v>5278900</v>
      </c>
      <c r="K1526" s="3">
        <v>358965200</v>
      </c>
      <c r="L1526" s="2" t="s">
        <v>33</v>
      </c>
      <c r="M1526" s="2" t="s">
        <v>26</v>
      </c>
      <c r="N1526">
        <v>2024</v>
      </c>
      <c r="O1526" s="2" t="s">
        <v>148</v>
      </c>
      <c r="P1526" s="2" t="s">
        <v>149</v>
      </c>
      <c r="Q1526">
        <v>7</v>
      </c>
      <c r="R1526" s="4">
        <v>45474</v>
      </c>
      <c r="S1526" s="3">
        <v>5278900</v>
      </c>
      <c r="T1526" s="3">
        <v>35.9</v>
      </c>
    </row>
    <row r="1527" spans="1:20" x14ac:dyDescent="0.3">
      <c r="A1527" s="1">
        <v>45487</v>
      </c>
      <c r="B1527" s="2" t="s">
        <v>29</v>
      </c>
      <c r="C1527" s="2" t="s">
        <v>30</v>
      </c>
      <c r="D1527" s="2" t="s">
        <v>67</v>
      </c>
      <c r="E1527" s="2" t="s">
        <v>68</v>
      </c>
      <c r="F1527" s="2" t="s">
        <v>24</v>
      </c>
      <c r="G1527">
        <v>66</v>
      </c>
      <c r="H1527">
        <v>440</v>
      </c>
      <c r="I1527">
        <v>70</v>
      </c>
      <c r="J1527" s="3">
        <v>5496500</v>
      </c>
      <c r="K1527" s="3">
        <v>384755000</v>
      </c>
      <c r="L1527" s="2" t="s">
        <v>25</v>
      </c>
      <c r="M1527" s="2" t="s">
        <v>26</v>
      </c>
      <c r="N1527">
        <v>2024</v>
      </c>
      <c r="O1527" s="2" t="s">
        <v>148</v>
      </c>
      <c r="P1527" s="2" t="s">
        <v>149</v>
      </c>
      <c r="Q1527">
        <v>7</v>
      </c>
      <c r="R1527" s="4">
        <v>45474</v>
      </c>
      <c r="S1527" s="3">
        <v>5496500</v>
      </c>
      <c r="T1527" s="3">
        <v>38.479999999999997</v>
      </c>
    </row>
    <row r="1528" spans="1:20" x14ac:dyDescent="0.3">
      <c r="A1528" s="1">
        <v>45487</v>
      </c>
      <c r="B1528" s="2" t="s">
        <v>35</v>
      </c>
      <c r="C1528" s="2" t="s">
        <v>121</v>
      </c>
      <c r="D1528" s="2" t="s">
        <v>57</v>
      </c>
      <c r="E1528" s="2" t="s">
        <v>58</v>
      </c>
      <c r="F1528" s="2" t="s">
        <v>39</v>
      </c>
      <c r="G1528">
        <v>72</v>
      </c>
      <c r="H1528">
        <v>488</v>
      </c>
      <c r="I1528">
        <v>99</v>
      </c>
      <c r="J1528" s="3">
        <v>5012300</v>
      </c>
      <c r="K1528" s="3">
        <v>496217700</v>
      </c>
      <c r="L1528" s="2" t="s">
        <v>25</v>
      </c>
      <c r="M1528" s="2" t="s">
        <v>26</v>
      </c>
      <c r="N1528">
        <v>2024</v>
      </c>
      <c r="O1528" s="2" t="s">
        <v>148</v>
      </c>
      <c r="P1528" s="2" t="s">
        <v>149</v>
      </c>
      <c r="Q1528">
        <v>7</v>
      </c>
      <c r="R1528" s="4">
        <v>45474</v>
      </c>
      <c r="S1528" s="3">
        <v>5012300</v>
      </c>
      <c r="T1528" s="3">
        <v>49.62</v>
      </c>
    </row>
    <row r="1529" spans="1:20" x14ac:dyDescent="0.3">
      <c r="A1529" s="1">
        <v>45487</v>
      </c>
      <c r="B1529" s="2" t="s">
        <v>90</v>
      </c>
      <c r="C1529" s="2" t="s">
        <v>114</v>
      </c>
      <c r="D1529" s="2" t="s">
        <v>102</v>
      </c>
      <c r="E1529" s="2" t="s">
        <v>103</v>
      </c>
      <c r="F1529" s="2" t="s">
        <v>24</v>
      </c>
      <c r="G1529">
        <v>5</v>
      </c>
      <c r="H1529">
        <v>150</v>
      </c>
      <c r="I1529">
        <v>174</v>
      </c>
      <c r="J1529" s="3">
        <v>147200</v>
      </c>
      <c r="K1529" s="3">
        <v>25612800</v>
      </c>
      <c r="L1529" s="2" t="s">
        <v>33</v>
      </c>
      <c r="M1529" s="2" t="s">
        <v>77</v>
      </c>
      <c r="N1529">
        <v>2024</v>
      </c>
      <c r="O1529" s="2" t="s">
        <v>148</v>
      </c>
      <c r="P1529" s="2" t="s">
        <v>149</v>
      </c>
      <c r="Q1529">
        <v>7</v>
      </c>
      <c r="R1529" s="4">
        <v>45474</v>
      </c>
      <c r="S1529" s="3">
        <v>147200</v>
      </c>
      <c r="T1529" s="3">
        <v>2.56</v>
      </c>
    </row>
    <row r="1530" spans="1:20" x14ac:dyDescent="0.3">
      <c r="A1530" s="1">
        <v>45488</v>
      </c>
      <c r="B1530" s="2" t="s">
        <v>40</v>
      </c>
      <c r="C1530" s="2" t="s">
        <v>78</v>
      </c>
      <c r="D1530" s="2" t="s">
        <v>31</v>
      </c>
      <c r="E1530" s="2" t="s">
        <v>32</v>
      </c>
      <c r="F1530" s="2" t="s">
        <v>24</v>
      </c>
      <c r="G1530">
        <v>4</v>
      </c>
      <c r="H1530">
        <v>195</v>
      </c>
      <c r="I1530">
        <v>148</v>
      </c>
      <c r="J1530" s="3">
        <v>159700</v>
      </c>
      <c r="K1530" s="3">
        <v>23635600</v>
      </c>
      <c r="L1530" s="2" t="s">
        <v>33</v>
      </c>
      <c r="M1530" s="2" t="s">
        <v>77</v>
      </c>
      <c r="N1530">
        <v>2024</v>
      </c>
      <c r="O1530" s="2" t="s">
        <v>148</v>
      </c>
      <c r="P1530" s="2" t="s">
        <v>149</v>
      </c>
      <c r="Q1530">
        <v>7</v>
      </c>
      <c r="R1530" s="4">
        <v>45474</v>
      </c>
      <c r="S1530" s="3">
        <v>159700</v>
      </c>
      <c r="T1530" s="3">
        <v>2.36</v>
      </c>
    </row>
    <row r="1531" spans="1:20" x14ac:dyDescent="0.3">
      <c r="A1531" s="1">
        <v>45488</v>
      </c>
      <c r="B1531" s="2" t="s">
        <v>75</v>
      </c>
      <c r="C1531" s="2" t="s">
        <v>134</v>
      </c>
      <c r="D1531" s="2" t="s">
        <v>22</v>
      </c>
      <c r="E1531" s="2" t="s">
        <v>23</v>
      </c>
      <c r="F1531" s="2" t="s">
        <v>24</v>
      </c>
      <c r="G1531">
        <v>82</v>
      </c>
      <c r="H1531">
        <v>520</v>
      </c>
      <c r="I1531">
        <v>68</v>
      </c>
      <c r="J1531" s="3">
        <v>6976100</v>
      </c>
      <c r="K1531" s="3">
        <v>474374800</v>
      </c>
      <c r="L1531" s="2" t="s">
        <v>33</v>
      </c>
      <c r="M1531" s="2" t="s">
        <v>34</v>
      </c>
      <c r="N1531">
        <v>2024</v>
      </c>
      <c r="O1531" s="2" t="s">
        <v>148</v>
      </c>
      <c r="P1531" s="2" t="s">
        <v>149</v>
      </c>
      <c r="Q1531">
        <v>7</v>
      </c>
      <c r="R1531" s="4">
        <v>45474</v>
      </c>
      <c r="S1531" s="3">
        <v>6976100</v>
      </c>
      <c r="T1531" s="3">
        <v>47.44</v>
      </c>
    </row>
    <row r="1532" spans="1:20" x14ac:dyDescent="0.3">
      <c r="A1532" s="1">
        <v>45488</v>
      </c>
      <c r="B1532" s="2" t="s">
        <v>40</v>
      </c>
      <c r="C1532" s="2" t="s">
        <v>78</v>
      </c>
      <c r="D1532" s="2" t="s">
        <v>31</v>
      </c>
      <c r="E1532" s="2" t="s">
        <v>32</v>
      </c>
      <c r="F1532" s="2" t="s">
        <v>24</v>
      </c>
      <c r="G1532">
        <v>4</v>
      </c>
      <c r="H1532">
        <v>195</v>
      </c>
      <c r="I1532">
        <v>47</v>
      </c>
      <c r="J1532" s="3">
        <v>142000</v>
      </c>
      <c r="K1532" s="3">
        <v>6674000</v>
      </c>
      <c r="L1532" s="2" t="s">
        <v>33</v>
      </c>
      <c r="M1532" s="2" t="s">
        <v>26</v>
      </c>
      <c r="N1532">
        <v>2024</v>
      </c>
      <c r="O1532" s="2" t="s">
        <v>148</v>
      </c>
      <c r="P1532" s="2" t="s">
        <v>149</v>
      </c>
      <c r="Q1532">
        <v>7</v>
      </c>
      <c r="R1532" s="4">
        <v>45474</v>
      </c>
      <c r="S1532" s="3">
        <v>142000</v>
      </c>
      <c r="T1532" s="3">
        <v>0.67</v>
      </c>
    </row>
    <row r="1533" spans="1:20" x14ac:dyDescent="0.3">
      <c r="A1533" s="1">
        <v>45488</v>
      </c>
      <c r="B1533" s="2" t="s">
        <v>35</v>
      </c>
      <c r="C1533" s="2" t="s">
        <v>87</v>
      </c>
      <c r="D1533" s="2" t="s">
        <v>79</v>
      </c>
      <c r="E1533" s="2" t="s">
        <v>80</v>
      </c>
      <c r="F1533" s="2" t="s">
        <v>24</v>
      </c>
      <c r="G1533">
        <v>69</v>
      </c>
      <c r="H1533">
        <v>418</v>
      </c>
      <c r="I1533">
        <v>52</v>
      </c>
      <c r="J1533" s="3">
        <v>5592800</v>
      </c>
      <c r="K1533" s="3">
        <v>290825600</v>
      </c>
      <c r="L1533" s="2" t="s">
        <v>33</v>
      </c>
      <c r="M1533" s="2" t="s">
        <v>77</v>
      </c>
      <c r="N1533">
        <v>2024</v>
      </c>
      <c r="O1533" s="2" t="s">
        <v>148</v>
      </c>
      <c r="P1533" s="2" t="s">
        <v>149</v>
      </c>
      <c r="Q1533">
        <v>7</v>
      </c>
      <c r="R1533" s="4">
        <v>45474</v>
      </c>
      <c r="S1533" s="3">
        <v>5592800</v>
      </c>
      <c r="T1533" s="3">
        <v>29.08</v>
      </c>
    </row>
    <row r="1534" spans="1:20" x14ac:dyDescent="0.3">
      <c r="A1534" s="1">
        <v>45489</v>
      </c>
      <c r="B1534" s="2" t="s">
        <v>40</v>
      </c>
      <c r="C1534" s="2" t="s">
        <v>105</v>
      </c>
      <c r="D1534" s="2" t="s">
        <v>100</v>
      </c>
      <c r="E1534" s="2" t="s">
        <v>101</v>
      </c>
      <c r="F1534" s="2" t="s">
        <v>24</v>
      </c>
      <c r="G1534">
        <v>3</v>
      </c>
      <c r="H1534">
        <v>150</v>
      </c>
      <c r="I1534">
        <v>39</v>
      </c>
      <c r="J1534" s="3">
        <v>137400</v>
      </c>
      <c r="K1534" s="3">
        <v>5358600</v>
      </c>
      <c r="L1534" s="2" t="s">
        <v>33</v>
      </c>
      <c r="M1534" s="2" t="s">
        <v>34</v>
      </c>
      <c r="N1534">
        <v>2024</v>
      </c>
      <c r="O1534" s="2" t="s">
        <v>148</v>
      </c>
      <c r="P1534" s="2" t="s">
        <v>149</v>
      </c>
      <c r="Q1534">
        <v>7</v>
      </c>
      <c r="R1534" s="4">
        <v>45474</v>
      </c>
      <c r="S1534" s="3">
        <v>137400</v>
      </c>
      <c r="T1534" s="3">
        <v>0.54</v>
      </c>
    </row>
    <row r="1535" spans="1:20" x14ac:dyDescent="0.3">
      <c r="A1535" s="1">
        <v>45489</v>
      </c>
      <c r="B1535" s="2" t="s">
        <v>46</v>
      </c>
      <c r="C1535" s="2" t="s">
        <v>110</v>
      </c>
      <c r="D1535" s="2" t="s">
        <v>67</v>
      </c>
      <c r="E1535" s="2" t="s">
        <v>118</v>
      </c>
      <c r="F1535" s="2" t="s">
        <v>24</v>
      </c>
      <c r="G1535">
        <v>84</v>
      </c>
      <c r="H1535">
        <v>590</v>
      </c>
      <c r="I1535">
        <v>47</v>
      </c>
      <c r="J1535" s="3">
        <v>8518400</v>
      </c>
      <c r="K1535" s="3">
        <v>400364800</v>
      </c>
      <c r="L1535" s="2" t="s">
        <v>33</v>
      </c>
      <c r="M1535" s="2" t="s">
        <v>34</v>
      </c>
      <c r="N1535">
        <v>2024</v>
      </c>
      <c r="O1535" s="2" t="s">
        <v>148</v>
      </c>
      <c r="P1535" s="2" t="s">
        <v>149</v>
      </c>
      <c r="Q1535">
        <v>7</v>
      </c>
      <c r="R1535" s="4">
        <v>45474</v>
      </c>
      <c r="S1535" s="3">
        <v>8518400</v>
      </c>
      <c r="T1535" s="3">
        <v>40.04</v>
      </c>
    </row>
    <row r="1536" spans="1:20" x14ac:dyDescent="0.3">
      <c r="A1536" s="1">
        <v>45490</v>
      </c>
      <c r="B1536" s="2" t="s">
        <v>108</v>
      </c>
      <c r="C1536" s="2" t="s">
        <v>123</v>
      </c>
      <c r="D1536" s="2" t="s">
        <v>50</v>
      </c>
      <c r="E1536" s="2" t="s">
        <v>51</v>
      </c>
      <c r="F1536" s="2" t="s">
        <v>24</v>
      </c>
      <c r="G1536">
        <v>77</v>
      </c>
      <c r="H1536">
        <v>528</v>
      </c>
      <c r="I1536">
        <v>68</v>
      </c>
      <c r="J1536" s="3">
        <v>5747400</v>
      </c>
      <c r="K1536" s="3">
        <v>390823200</v>
      </c>
      <c r="L1536" s="2" t="s">
        <v>33</v>
      </c>
      <c r="M1536" s="2" t="s">
        <v>77</v>
      </c>
      <c r="N1536">
        <v>2024</v>
      </c>
      <c r="O1536" s="2" t="s">
        <v>148</v>
      </c>
      <c r="P1536" s="2" t="s">
        <v>149</v>
      </c>
      <c r="Q1536">
        <v>7</v>
      </c>
      <c r="R1536" s="4">
        <v>45474</v>
      </c>
      <c r="S1536" s="3">
        <v>5747400</v>
      </c>
      <c r="T1536" s="3">
        <v>39.08</v>
      </c>
    </row>
    <row r="1537" spans="1:20" x14ac:dyDescent="0.3">
      <c r="A1537" s="1">
        <v>45490</v>
      </c>
      <c r="B1537" s="2" t="s">
        <v>48</v>
      </c>
      <c r="C1537" s="2" t="s">
        <v>73</v>
      </c>
      <c r="D1537" s="2" t="s">
        <v>100</v>
      </c>
      <c r="E1537" s="2" t="s">
        <v>101</v>
      </c>
      <c r="F1537" s="2" t="s">
        <v>24</v>
      </c>
      <c r="G1537">
        <v>3</v>
      </c>
      <c r="H1537">
        <v>150</v>
      </c>
      <c r="I1537">
        <v>32</v>
      </c>
      <c r="J1537" s="3">
        <v>150700</v>
      </c>
      <c r="K1537" s="3">
        <v>4822400</v>
      </c>
      <c r="L1537" s="2" t="s">
        <v>33</v>
      </c>
      <c r="M1537" s="2" t="s">
        <v>26</v>
      </c>
      <c r="N1537">
        <v>2024</v>
      </c>
      <c r="O1537" s="2" t="s">
        <v>148</v>
      </c>
      <c r="P1537" s="2" t="s">
        <v>149</v>
      </c>
      <c r="Q1537">
        <v>7</v>
      </c>
      <c r="R1537" s="4">
        <v>45474</v>
      </c>
      <c r="S1537" s="3">
        <v>150700</v>
      </c>
      <c r="T1537" s="3">
        <v>0.48</v>
      </c>
    </row>
    <row r="1538" spans="1:20" x14ac:dyDescent="0.3">
      <c r="A1538" s="1">
        <v>45491</v>
      </c>
      <c r="B1538" s="2" t="s">
        <v>59</v>
      </c>
      <c r="C1538" s="2" t="s">
        <v>81</v>
      </c>
      <c r="D1538" s="2" t="s">
        <v>102</v>
      </c>
      <c r="E1538" s="2" t="s">
        <v>103</v>
      </c>
      <c r="F1538" s="2" t="s">
        <v>24</v>
      </c>
      <c r="G1538">
        <v>5</v>
      </c>
      <c r="H1538">
        <v>150</v>
      </c>
      <c r="I1538">
        <v>159</v>
      </c>
      <c r="J1538" s="3">
        <v>169300</v>
      </c>
      <c r="K1538" s="3">
        <v>26918700</v>
      </c>
      <c r="L1538" s="2" t="s">
        <v>25</v>
      </c>
      <c r="M1538" s="2" t="s">
        <v>77</v>
      </c>
      <c r="N1538">
        <v>2024</v>
      </c>
      <c r="O1538" s="2" t="s">
        <v>148</v>
      </c>
      <c r="P1538" s="2" t="s">
        <v>149</v>
      </c>
      <c r="Q1538">
        <v>7</v>
      </c>
      <c r="R1538" s="4">
        <v>45474</v>
      </c>
      <c r="S1538" s="3">
        <v>169300</v>
      </c>
      <c r="T1538" s="3">
        <v>2.69</v>
      </c>
    </row>
    <row r="1539" spans="1:20" x14ac:dyDescent="0.3">
      <c r="A1539" s="1">
        <v>45492</v>
      </c>
      <c r="B1539" s="2" t="s">
        <v>40</v>
      </c>
      <c r="C1539" s="2" t="s">
        <v>78</v>
      </c>
      <c r="D1539" s="2" t="s">
        <v>22</v>
      </c>
      <c r="E1539" s="2" t="s">
        <v>23</v>
      </c>
      <c r="F1539" s="2" t="s">
        <v>24</v>
      </c>
      <c r="G1539">
        <v>82</v>
      </c>
      <c r="H1539">
        <v>520</v>
      </c>
      <c r="I1539">
        <v>55</v>
      </c>
      <c r="J1539" s="3">
        <v>7695500</v>
      </c>
      <c r="K1539" s="3">
        <v>423252500</v>
      </c>
      <c r="L1539" s="2" t="s">
        <v>33</v>
      </c>
      <c r="M1539" s="2" t="s">
        <v>26</v>
      </c>
      <c r="N1539">
        <v>2024</v>
      </c>
      <c r="O1539" s="2" t="s">
        <v>148</v>
      </c>
      <c r="P1539" s="2" t="s">
        <v>149</v>
      </c>
      <c r="Q1539">
        <v>7</v>
      </c>
      <c r="R1539" s="4">
        <v>45474</v>
      </c>
      <c r="S1539" s="3">
        <v>7695500</v>
      </c>
      <c r="T1539" s="3">
        <v>42.33</v>
      </c>
    </row>
    <row r="1540" spans="1:20" x14ac:dyDescent="0.3">
      <c r="A1540" s="1">
        <v>45493</v>
      </c>
      <c r="B1540" s="2" t="s">
        <v>46</v>
      </c>
      <c r="C1540" s="2" t="s">
        <v>137</v>
      </c>
      <c r="D1540" s="2" t="s">
        <v>94</v>
      </c>
      <c r="E1540" s="2" t="s">
        <v>140</v>
      </c>
      <c r="F1540" s="2" t="s">
        <v>24</v>
      </c>
      <c r="G1540">
        <v>35</v>
      </c>
      <c r="H1540">
        <v>32</v>
      </c>
      <c r="I1540">
        <v>146</v>
      </c>
      <c r="J1540" s="3">
        <v>1779600</v>
      </c>
      <c r="K1540" s="3">
        <v>259821600</v>
      </c>
      <c r="L1540" s="2" t="s">
        <v>33</v>
      </c>
      <c r="M1540" s="2" t="s">
        <v>77</v>
      </c>
      <c r="N1540">
        <v>2024</v>
      </c>
      <c r="O1540" s="2" t="s">
        <v>148</v>
      </c>
      <c r="P1540" s="2" t="s">
        <v>149</v>
      </c>
      <c r="Q1540">
        <v>7</v>
      </c>
      <c r="R1540" s="4">
        <v>45474</v>
      </c>
      <c r="S1540" s="3">
        <v>1779600</v>
      </c>
      <c r="T1540" s="3">
        <v>25.98</v>
      </c>
    </row>
    <row r="1541" spans="1:20" x14ac:dyDescent="0.3">
      <c r="A1541" s="1">
        <v>45494</v>
      </c>
      <c r="B1541" s="2" t="s">
        <v>48</v>
      </c>
      <c r="C1541" s="2" t="s">
        <v>98</v>
      </c>
      <c r="D1541" s="2" t="s">
        <v>57</v>
      </c>
      <c r="E1541" s="2" t="s">
        <v>58</v>
      </c>
      <c r="F1541" s="2" t="s">
        <v>39</v>
      </c>
      <c r="G1541">
        <v>72</v>
      </c>
      <c r="H1541">
        <v>488</v>
      </c>
      <c r="I1541">
        <v>170</v>
      </c>
      <c r="J1541" s="3">
        <v>5019200</v>
      </c>
      <c r="K1541" s="3">
        <v>853264000</v>
      </c>
      <c r="L1541" s="2" t="s">
        <v>33</v>
      </c>
      <c r="M1541" s="2" t="s">
        <v>97</v>
      </c>
      <c r="N1541">
        <v>2024</v>
      </c>
      <c r="O1541" s="2" t="s">
        <v>148</v>
      </c>
      <c r="P1541" s="2" t="s">
        <v>149</v>
      </c>
      <c r="Q1541">
        <v>7</v>
      </c>
      <c r="R1541" s="4">
        <v>45474</v>
      </c>
      <c r="S1541" s="3">
        <v>5019200</v>
      </c>
      <c r="T1541" s="3">
        <v>85.33</v>
      </c>
    </row>
    <row r="1542" spans="1:20" x14ac:dyDescent="0.3">
      <c r="A1542" s="1">
        <v>45494</v>
      </c>
      <c r="B1542" s="2" t="s">
        <v>35</v>
      </c>
      <c r="C1542" s="2" t="s">
        <v>36</v>
      </c>
      <c r="D1542" s="2" t="s">
        <v>37</v>
      </c>
      <c r="E1542" s="2" t="s">
        <v>38</v>
      </c>
      <c r="F1542" s="2" t="s">
        <v>24</v>
      </c>
      <c r="G1542">
        <v>66</v>
      </c>
      <c r="H1542">
        <v>423</v>
      </c>
      <c r="I1542">
        <v>61</v>
      </c>
      <c r="J1542" s="3">
        <v>9371200</v>
      </c>
      <c r="K1542" s="3">
        <v>571643200</v>
      </c>
      <c r="L1542" s="2" t="s">
        <v>33</v>
      </c>
      <c r="M1542" s="2" t="s">
        <v>26</v>
      </c>
      <c r="N1542">
        <v>2024</v>
      </c>
      <c r="O1542" s="2" t="s">
        <v>148</v>
      </c>
      <c r="P1542" s="2" t="s">
        <v>149</v>
      </c>
      <c r="Q1542">
        <v>7</v>
      </c>
      <c r="R1542" s="4">
        <v>45474</v>
      </c>
      <c r="S1542" s="3">
        <v>9371200</v>
      </c>
      <c r="T1542" s="3">
        <v>57.16</v>
      </c>
    </row>
    <row r="1543" spans="1:20" x14ac:dyDescent="0.3">
      <c r="A1543" s="1">
        <v>45494</v>
      </c>
      <c r="B1543" s="2" t="s">
        <v>29</v>
      </c>
      <c r="C1543" s="2" t="s">
        <v>104</v>
      </c>
      <c r="D1543" s="2" t="s">
        <v>54</v>
      </c>
      <c r="E1543" s="2" t="s">
        <v>55</v>
      </c>
      <c r="F1543" s="2" t="s">
        <v>72</v>
      </c>
      <c r="G1543">
        <v>30</v>
      </c>
      <c r="H1543">
        <v>320</v>
      </c>
      <c r="I1543">
        <v>53</v>
      </c>
      <c r="J1543" s="3">
        <v>1204900</v>
      </c>
      <c r="K1543" s="3">
        <v>63859700</v>
      </c>
      <c r="L1543" s="2" t="s">
        <v>33</v>
      </c>
      <c r="M1543" s="2" t="s">
        <v>26</v>
      </c>
      <c r="N1543">
        <v>2024</v>
      </c>
      <c r="O1543" s="2" t="s">
        <v>148</v>
      </c>
      <c r="P1543" s="2" t="s">
        <v>149</v>
      </c>
      <c r="Q1543">
        <v>7</v>
      </c>
      <c r="R1543" s="4">
        <v>45474</v>
      </c>
      <c r="S1543" s="3">
        <v>1204900</v>
      </c>
      <c r="T1543" s="3">
        <v>6.39</v>
      </c>
    </row>
    <row r="1544" spans="1:20" x14ac:dyDescent="0.3">
      <c r="A1544" s="1">
        <v>45495</v>
      </c>
      <c r="B1544" s="2" t="s">
        <v>40</v>
      </c>
      <c r="C1544" s="2" t="s">
        <v>78</v>
      </c>
      <c r="D1544" s="2" t="s">
        <v>79</v>
      </c>
      <c r="E1544" s="2" t="s">
        <v>80</v>
      </c>
      <c r="F1544" s="2" t="s">
        <v>138</v>
      </c>
      <c r="G1544">
        <v>69</v>
      </c>
      <c r="H1544">
        <v>418</v>
      </c>
      <c r="I1544">
        <v>37</v>
      </c>
      <c r="J1544" s="3">
        <v>5057000</v>
      </c>
      <c r="K1544" s="3">
        <v>187109000</v>
      </c>
      <c r="L1544" s="2" t="s">
        <v>92</v>
      </c>
      <c r="M1544" s="2" t="s">
        <v>77</v>
      </c>
      <c r="N1544">
        <v>2024</v>
      </c>
      <c r="O1544" s="2" t="s">
        <v>148</v>
      </c>
      <c r="P1544" s="2" t="s">
        <v>149</v>
      </c>
      <c r="Q1544">
        <v>7</v>
      </c>
      <c r="R1544" s="4">
        <v>45474</v>
      </c>
      <c r="S1544" s="3">
        <v>5057000</v>
      </c>
      <c r="T1544" s="3">
        <v>18.71</v>
      </c>
    </row>
    <row r="1545" spans="1:20" x14ac:dyDescent="0.3">
      <c r="A1545" s="1">
        <v>45495</v>
      </c>
      <c r="B1545" s="2" t="s">
        <v>40</v>
      </c>
      <c r="C1545" s="2" t="s">
        <v>78</v>
      </c>
      <c r="D1545" s="2" t="s">
        <v>22</v>
      </c>
      <c r="E1545" s="2" t="s">
        <v>23</v>
      </c>
      <c r="F1545" s="2" t="s">
        <v>72</v>
      </c>
      <c r="G1545">
        <v>82</v>
      </c>
      <c r="H1545">
        <v>520</v>
      </c>
      <c r="I1545">
        <v>58</v>
      </c>
      <c r="J1545" s="3">
        <v>6959600</v>
      </c>
      <c r="K1545" s="3">
        <v>403656800</v>
      </c>
      <c r="L1545" s="2" t="s">
        <v>33</v>
      </c>
      <c r="M1545" s="2" t="s">
        <v>26</v>
      </c>
      <c r="N1545">
        <v>2024</v>
      </c>
      <c r="O1545" s="2" t="s">
        <v>148</v>
      </c>
      <c r="P1545" s="2" t="s">
        <v>149</v>
      </c>
      <c r="Q1545">
        <v>7</v>
      </c>
      <c r="R1545" s="4">
        <v>45474</v>
      </c>
      <c r="S1545" s="3">
        <v>6959600</v>
      </c>
      <c r="T1545" s="3">
        <v>40.369999999999997</v>
      </c>
    </row>
    <row r="1546" spans="1:20" x14ac:dyDescent="0.3">
      <c r="A1546" s="1">
        <v>45495</v>
      </c>
      <c r="B1546" s="2" t="s">
        <v>29</v>
      </c>
      <c r="C1546" s="2" t="s">
        <v>104</v>
      </c>
      <c r="D1546" s="2" t="s">
        <v>94</v>
      </c>
      <c r="E1546" s="2" t="s">
        <v>95</v>
      </c>
      <c r="F1546" s="2" t="s">
        <v>39</v>
      </c>
      <c r="G1546">
        <v>40</v>
      </c>
      <c r="H1546">
        <v>30</v>
      </c>
      <c r="I1546">
        <v>66</v>
      </c>
      <c r="J1546" s="3">
        <v>2613400</v>
      </c>
      <c r="K1546" s="3">
        <v>172484400</v>
      </c>
      <c r="L1546" s="2" t="s">
        <v>33</v>
      </c>
      <c r="M1546" s="2" t="s">
        <v>26</v>
      </c>
      <c r="N1546">
        <v>2024</v>
      </c>
      <c r="O1546" s="2" t="s">
        <v>148</v>
      </c>
      <c r="P1546" s="2" t="s">
        <v>149</v>
      </c>
      <c r="Q1546">
        <v>7</v>
      </c>
      <c r="R1546" s="4">
        <v>45474</v>
      </c>
      <c r="S1546" s="3">
        <v>2613400</v>
      </c>
      <c r="T1546" s="3">
        <v>17.25</v>
      </c>
    </row>
    <row r="1547" spans="1:20" x14ac:dyDescent="0.3">
      <c r="A1547" s="1">
        <v>45495</v>
      </c>
      <c r="B1547" s="2" t="s">
        <v>84</v>
      </c>
      <c r="C1547" s="2" t="s">
        <v>126</v>
      </c>
      <c r="D1547" s="2" t="s">
        <v>54</v>
      </c>
      <c r="E1547" s="2" t="s">
        <v>55</v>
      </c>
      <c r="F1547" s="2" t="s">
        <v>24</v>
      </c>
      <c r="G1547">
        <v>30</v>
      </c>
      <c r="H1547">
        <v>320</v>
      </c>
      <c r="I1547">
        <v>57</v>
      </c>
      <c r="J1547" s="3">
        <v>1598200</v>
      </c>
      <c r="K1547" s="3">
        <v>91097400</v>
      </c>
      <c r="L1547" s="2" t="s">
        <v>33</v>
      </c>
      <c r="M1547" s="2" t="s">
        <v>26</v>
      </c>
      <c r="N1547">
        <v>2024</v>
      </c>
      <c r="O1547" s="2" t="s">
        <v>148</v>
      </c>
      <c r="P1547" s="2" t="s">
        <v>149</v>
      </c>
      <c r="Q1547">
        <v>7</v>
      </c>
      <c r="R1547" s="4">
        <v>45474</v>
      </c>
      <c r="S1547" s="3">
        <v>1598200</v>
      </c>
      <c r="T1547" s="3">
        <v>9.11</v>
      </c>
    </row>
    <row r="1548" spans="1:20" x14ac:dyDescent="0.3">
      <c r="A1548" s="1">
        <v>45495</v>
      </c>
      <c r="B1548" s="2" t="s">
        <v>106</v>
      </c>
      <c r="C1548" s="2" t="s">
        <v>119</v>
      </c>
      <c r="D1548" s="2" t="s">
        <v>79</v>
      </c>
      <c r="E1548" s="2" t="s">
        <v>80</v>
      </c>
      <c r="F1548" s="2" t="s">
        <v>24</v>
      </c>
      <c r="G1548">
        <v>69</v>
      </c>
      <c r="H1548">
        <v>418</v>
      </c>
      <c r="I1548">
        <v>28</v>
      </c>
      <c r="J1548" s="3">
        <v>6042000</v>
      </c>
      <c r="K1548" s="3">
        <v>169176000</v>
      </c>
      <c r="L1548" s="2" t="s">
        <v>33</v>
      </c>
      <c r="M1548" s="2" t="s">
        <v>26</v>
      </c>
      <c r="N1548">
        <v>2024</v>
      </c>
      <c r="O1548" s="2" t="s">
        <v>148</v>
      </c>
      <c r="P1548" s="2" t="s">
        <v>149</v>
      </c>
      <c r="Q1548">
        <v>7</v>
      </c>
      <c r="R1548" s="4">
        <v>45474</v>
      </c>
      <c r="S1548" s="3">
        <v>6042000</v>
      </c>
      <c r="T1548" s="3">
        <v>16.920000000000002</v>
      </c>
    </row>
    <row r="1549" spans="1:20" x14ac:dyDescent="0.3">
      <c r="A1549" s="1">
        <v>45496</v>
      </c>
      <c r="B1549" s="2" t="s">
        <v>108</v>
      </c>
      <c r="C1549" s="2" t="s">
        <v>123</v>
      </c>
      <c r="D1549" s="2" t="s">
        <v>100</v>
      </c>
      <c r="E1549" s="2" t="s">
        <v>101</v>
      </c>
      <c r="F1549" s="2" t="s">
        <v>24</v>
      </c>
      <c r="G1549">
        <v>3</v>
      </c>
      <c r="H1549">
        <v>150</v>
      </c>
      <c r="I1549">
        <v>16</v>
      </c>
      <c r="J1549" s="3">
        <v>138800</v>
      </c>
      <c r="K1549" s="3">
        <v>2220800</v>
      </c>
      <c r="L1549" s="2" t="s">
        <v>33</v>
      </c>
      <c r="M1549" s="2" t="s">
        <v>77</v>
      </c>
      <c r="N1549">
        <v>2024</v>
      </c>
      <c r="O1549" s="2" t="s">
        <v>148</v>
      </c>
      <c r="P1549" s="2" t="s">
        <v>149</v>
      </c>
      <c r="Q1549">
        <v>7</v>
      </c>
      <c r="R1549" s="4">
        <v>45474</v>
      </c>
      <c r="S1549" s="3">
        <v>138800</v>
      </c>
      <c r="T1549" s="3">
        <v>0.22</v>
      </c>
    </row>
    <row r="1550" spans="1:20" x14ac:dyDescent="0.3">
      <c r="A1550" s="1">
        <v>45496</v>
      </c>
      <c r="B1550" s="2" t="s">
        <v>29</v>
      </c>
      <c r="C1550" s="2" t="s">
        <v>65</v>
      </c>
      <c r="D1550" s="2" t="s">
        <v>88</v>
      </c>
      <c r="E1550" s="2" t="s">
        <v>89</v>
      </c>
      <c r="F1550" s="2" t="s">
        <v>72</v>
      </c>
      <c r="G1550">
        <v>82</v>
      </c>
      <c r="H1550">
        <v>580</v>
      </c>
      <c r="I1550">
        <v>48</v>
      </c>
      <c r="J1550" s="3">
        <v>5178200</v>
      </c>
      <c r="K1550" s="3">
        <v>248553600</v>
      </c>
      <c r="L1550" s="2" t="s">
        <v>33</v>
      </c>
      <c r="M1550" s="2" t="s">
        <v>26</v>
      </c>
      <c r="N1550">
        <v>2024</v>
      </c>
      <c r="O1550" s="2" t="s">
        <v>148</v>
      </c>
      <c r="P1550" s="2" t="s">
        <v>149</v>
      </c>
      <c r="Q1550">
        <v>7</v>
      </c>
      <c r="R1550" s="4">
        <v>45474</v>
      </c>
      <c r="S1550" s="3">
        <v>5178200</v>
      </c>
      <c r="T1550" s="3">
        <v>24.86</v>
      </c>
    </row>
    <row r="1551" spans="1:20" x14ac:dyDescent="0.3">
      <c r="A1551" s="1">
        <v>45497</v>
      </c>
      <c r="B1551" s="2" t="s">
        <v>84</v>
      </c>
      <c r="C1551" s="2" t="s">
        <v>85</v>
      </c>
      <c r="D1551" s="2" t="s">
        <v>79</v>
      </c>
      <c r="E1551" s="2" t="s">
        <v>80</v>
      </c>
      <c r="F1551" s="2" t="s">
        <v>24</v>
      </c>
      <c r="G1551">
        <v>69</v>
      </c>
      <c r="H1551">
        <v>418</v>
      </c>
      <c r="I1551">
        <v>66</v>
      </c>
      <c r="J1551" s="3">
        <v>4853400</v>
      </c>
      <c r="K1551" s="3">
        <v>320324400</v>
      </c>
      <c r="L1551" s="2" t="s">
        <v>33</v>
      </c>
      <c r="M1551" s="2" t="s">
        <v>97</v>
      </c>
      <c r="N1551">
        <v>2024</v>
      </c>
      <c r="O1551" s="2" t="s">
        <v>148</v>
      </c>
      <c r="P1551" s="2" t="s">
        <v>149</v>
      </c>
      <c r="Q1551">
        <v>7</v>
      </c>
      <c r="R1551" s="4">
        <v>45474</v>
      </c>
      <c r="S1551" s="3">
        <v>4853400</v>
      </c>
      <c r="T1551" s="3">
        <v>32.03</v>
      </c>
    </row>
    <row r="1552" spans="1:20" x14ac:dyDescent="0.3">
      <c r="A1552" s="1">
        <v>45498</v>
      </c>
      <c r="B1552" s="2" t="s">
        <v>29</v>
      </c>
      <c r="C1552" s="2" t="s">
        <v>30</v>
      </c>
      <c r="D1552" s="2" t="s">
        <v>88</v>
      </c>
      <c r="E1552" s="2" t="s">
        <v>111</v>
      </c>
      <c r="F1552" s="2" t="s">
        <v>24</v>
      </c>
      <c r="G1552">
        <v>60</v>
      </c>
      <c r="H1552">
        <v>480</v>
      </c>
      <c r="I1552">
        <v>22</v>
      </c>
      <c r="J1552" s="3">
        <v>3588800</v>
      </c>
      <c r="K1552" s="3">
        <v>78953600</v>
      </c>
      <c r="L1552" s="2" t="s">
        <v>33</v>
      </c>
      <c r="M1552" s="2" t="s">
        <v>26</v>
      </c>
      <c r="N1552">
        <v>2024</v>
      </c>
      <c r="O1552" s="2" t="s">
        <v>148</v>
      </c>
      <c r="P1552" s="2" t="s">
        <v>149</v>
      </c>
      <c r="Q1552">
        <v>7</v>
      </c>
      <c r="R1552" s="4">
        <v>45474</v>
      </c>
      <c r="S1552" s="3">
        <v>3588800</v>
      </c>
      <c r="T1552" s="3">
        <v>7.9</v>
      </c>
    </row>
    <row r="1553" spans="1:20" x14ac:dyDescent="0.3">
      <c r="A1553" s="1">
        <v>45498</v>
      </c>
      <c r="B1553" s="2" t="s">
        <v>75</v>
      </c>
      <c r="C1553" s="2" t="s">
        <v>134</v>
      </c>
      <c r="D1553" s="2" t="s">
        <v>37</v>
      </c>
      <c r="E1553" s="2" t="s">
        <v>38</v>
      </c>
      <c r="F1553" s="2" t="s">
        <v>24</v>
      </c>
      <c r="G1553">
        <v>66</v>
      </c>
      <c r="H1553">
        <v>423</v>
      </c>
      <c r="I1553">
        <v>16</v>
      </c>
      <c r="J1553" s="3">
        <v>8987100</v>
      </c>
      <c r="K1553" s="3">
        <v>143793600</v>
      </c>
      <c r="L1553" s="2" t="s">
        <v>25</v>
      </c>
      <c r="M1553" s="2" t="s">
        <v>34</v>
      </c>
      <c r="N1553">
        <v>2024</v>
      </c>
      <c r="O1553" s="2" t="s">
        <v>148</v>
      </c>
      <c r="P1553" s="2" t="s">
        <v>149</v>
      </c>
      <c r="Q1553">
        <v>7</v>
      </c>
      <c r="R1553" s="4">
        <v>45474</v>
      </c>
      <c r="S1553" s="3">
        <v>8987100</v>
      </c>
      <c r="T1553" s="3">
        <v>14.38</v>
      </c>
    </row>
    <row r="1554" spans="1:20" x14ac:dyDescent="0.3">
      <c r="A1554" s="1">
        <v>45498</v>
      </c>
      <c r="B1554" s="2" t="s">
        <v>84</v>
      </c>
      <c r="C1554" s="2" t="s">
        <v>93</v>
      </c>
      <c r="D1554" s="2" t="s">
        <v>94</v>
      </c>
      <c r="E1554" s="2" t="s">
        <v>115</v>
      </c>
      <c r="F1554" s="2" t="s">
        <v>39</v>
      </c>
      <c r="G1554">
        <v>24</v>
      </c>
      <c r="H1554">
        <v>24</v>
      </c>
      <c r="I1554">
        <v>152</v>
      </c>
      <c r="J1554" s="3">
        <v>1645900</v>
      </c>
      <c r="K1554" s="3">
        <v>250176800</v>
      </c>
      <c r="L1554" s="2" t="s">
        <v>25</v>
      </c>
      <c r="M1554" s="2" t="s">
        <v>77</v>
      </c>
      <c r="N1554">
        <v>2024</v>
      </c>
      <c r="O1554" s="2" t="s">
        <v>148</v>
      </c>
      <c r="P1554" s="2" t="s">
        <v>149</v>
      </c>
      <c r="Q1554">
        <v>7</v>
      </c>
      <c r="R1554" s="4">
        <v>45474</v>
      </c>
      <c r="S1554" s="3">
        <v>1645900</v>
      </c>
      <c r="T1554" s="3">
        <v>25.02</v>
      </c>
    </row>
    <row r="1555" spans="1:20" x14ac:dyDescent="0.3">
      <c r="A1555" s="1">
        <v>45499</v>
      </c>
      <c r="B1555" s="2" t="s">
        <v>35</v>
      </c>
      <c r="C1555" s="2" t="s">
        <v>132</v>
      </c>
      <c r="D1555" s="2" t="s">
        <v>37</v>
      </c>
      <c r="E1555" s="2" t="s">
        <v>38</v>
      </c>
      <c r="F1555" s="2" t="s">
        <v>24</v>
      </c>
      <c r="G1555">
        <v>66</v>
      </c>
      <c r="H1555">
        <v>423</v>
      </c>
      <c r="I1555">
        <v>67</v>
      </c>
      <c r="J1555" s="3">
        <v>7313700</v>
      </c>
      <c r="K1555" s="3">
        <v>490017900</v>
      </c>
      <c r="L1555" s="2" t="s">
        <v>33</v>
      </c>
      <c r="M1555" s="2" t="s">
        <v>26</v>
      </c>
      <c r="N1555">
        <v>2024</v>
      </c>
      <c r="O1555" s="2" t="s">
        <v>148</v>
      </c>
      <c r="P1555" s="2" t="s">
        <v>149</v>
      </c>
      <c r="Q1555">
        <v>7</v>
      </c>
      <c r="R1555" s="4">
        <v>45474</v>
      </c>
      <c r="S1555" s="3">
        <v>7313700</v>
      </c>
      <c r="T1555" s="3">
        <v>49</v>
      </c>
    </row>
    <row r="1556" spans="1:20" x14ac:dyDescent="0.3">
      <c r="A1556" s="1">
        <v>45500</v>
      </c>
      <c r="B1556" s="2" t="s">
        <v>46</v>
      </c>
      <c r="C1556" s="2" t="s">
        <v>47</v>
      </c>
      <c r="D1556" s="2" t="s">
        <v>37</v>
      </c>
      <c r="E1556" s="2" t="s">
        <v>38</v>
      </c>
      <c r="F1556" s="2" t="s">
        <v>24</v>
      </c>
      <c r="G1556">
        <v>66</v>
      </c>
      <c r="H1556">
        <v>423</v>
      </c>
      <c r="I1556">
        <v>23</v>
      </c>
      <c r="J1556" s="3">
        <v>7105300</v>
      </c>
      <c r="K1556" s="3">
        <v>163421900</v>
      </c>
      <c r="L1556" s="2" t="s">
        <v>33</v>
      </c>
      <c r="M1556" s="2" t="s">
        <v>26</v>
      </c>
      <c r="N1556">
        <v>2024</v>
      </c>
      <c r="O1556" s="2" t="s">
        <v>148</v>
      </c>
      <c r="P1556" s="2" t="s">
        <v>149</v>
      </c>
      <c r="Q1556">
        <v>7</v>
      </c>
      <c r="R1556" s="4">
        <v>45474</v>
      </c>
      <c r="S1556" s="3">
        <v>7105300</v>
      </c>
      <c r="T1556" s="3">
        <v>16.34</v>
      </c>
    </row>
    <row r="1557" spans="1:20" x14ac:dyDescent="0.3">
      <c r="A1557" s="1">
        <v>45501</v>
      </c>
      <c r="B1557" s="2" t="s">
        <v>52</v>
      </c>
      <c r="C1557" s="2" t="s">
        <v>53</v>
      </c>
      <c r="D1557" s="2" t="s">
        <v>31</v>
      </c>
      <c r="E1557" s="2" t="s">
        <v>124</v>
      </c>
      <c r="F1557" s="2" t="s">
        <v>24</v>
      </c>
      <c r="G1557">
        <v>3</v>
      </c>
      <c r="H1557">
        <v>151</v>
      </c>
      <c r="I1557">
        <v>15</v>
      </c>
      <c r="J1557" s="3">
        <v>107700</v>
      </c>
      <c r="K1557" s="3">
        <v>1615500</v>
      </c>
      <c r="L1557" s="2" t="s">
        <v>33</v>
      </c>
      <c r="M1557" s="2" t="s">
        <v>26</v>
      </c>
      <c r="N1557">
        <v>2024</v>
      </c>
      <c r="O1557" s="2" t="s">
        <v>148</v>
      </c>
      <c r="P1557" s="2" t="s">
        <v>149</v>
      </c>
      <c r="Q1557">
        <v>7</v>
      </c>
      <c r="R1557" s="4">
        <v>45474</v>
      </c>
      <c r="S1557" s="3">
        <v>107700</v>
      </c>
      <c r="T1557" s="3">
        <v>0.16</v>
      </c>
    </row>
    <row r="1558" spans="1:20" x14ac:dyDescent="0.3">
      <c r="A1558" s="1">
        <v>45501</v>
      </c>
      <c r="B1558" s="2" t="s">
        <v>108</v>
      </c>
      <c r="C1558" s="2" t="s">
        <v>109</v>
      </c>
      <c r="D1558" s="2" t="s">
        <v>79</v>
      </c>
      <c r="E1558" s="2" t="s">
        <v>80</v>
      </c>
      <c r="F1558" s="2" t="s">
        <v>72</v>
      </c>
      <c r="G1558">
        <v>69</v>
      </c>
      <c r="H1558">
        <v>418</v>
      </c>
      <c r="I1558">
        <v>50</v>
      </c>
      <c r="J1558" s="3">
        <v>5354200</v>
      </c>
      <c r="K1558" s="3">
        <v>267710000</v>
      </c>
      <c r="L1558" s="2" t="s">
        <v>25</v>
      </c>
      <c r="M1558" s="2" t="s">
        <v>34</v>
      </c>
      <c r="N1558">
        <v>2024</v>
      </c>
      <c r="O1558" s="2" t="s">
        <v>148</v>
      </c>
      <c r="P1558" s="2" t="s">
        <v>149</v>
      </c>
      <c r="Q1558">
        <v>7</v>
      </c>
      <c r="R1558" s="4">
        <v>45474</v>
      </c>
      <c r="S1558" s="3">
        <v>5354200</v>
      </c>
      <c r="T1558" s="3">
        <v>26.77</v>
      </c>
    </row>
    <row r="1559" spans="1:20" x14ac:dyDescent="0.3">
      <c r="A1559" s="1">
        <v>45501</v>
      </c>
      <c r="B1559" s="2" t="s">
        <v>106</v>
      </c>
      <c r="C1559" s="2" t="s">
        <v>120</v>
      </c>
      <c r="D1559" s="2" t="s">
        <v>94</v>
      </c>
      <c r="E1559" s="2" t="s">
        <v>95</v>
      </c>
      <c r="F1559" s="2" t="s">
        <v>24</v>
      </c>
      <c r="G1559">
        <v>40</v>
      </c>
      <c r="H1559">
        <v>30</v>
      </c>
      <c r="I1559">
        <v>160</v>
      </c>
      <c r="J1559" s="3">
        <v>2406900</v>
      </c>
      <c r="K1559" s="3">
        <v>385104000</v>
      </c>
      <c r="L1559" s="2" t="s">
        <v>33</v>
      </c>
      <c r="M1559" s="2" t="s">
        <v>77</v>
      </c>
      <c r="N1559">
        <v>2024</v>
      </c>
      <c r="O1559" s="2" t="s">
        <v>148</v>
      </c>
      <c r="P1559" s="2" t="s">
        <v>149</v>
      </c>
      <c r="Q1559">
        <v>7</v>
      </c>
      <c r="R1559" s="4">
        <v>45474</v>
      </c>
      <c r="S1559" s="3">
        <v>2406900</v>
      </c>
      <c r="T1559" s="3">
        <v>38.51</v>
      </c>
    </row>
    <row r="1560" spans="1:20" x14ac:dyDescent="0.3">
      <c r="A1560" s="1">
        <v>45501</v>
      </c>
      <c r="B1560" s="2" t="s">
        <v>40</v>
      </c>
      <c r="C1560" s="2" t="s">
        <v>105</v>
      </c>
      <c r="D1560" s="2" t="s">
        <v>57</v>
      </c>
      <c r="E1560" s="2" t="s">
        <v>86</v>
      </c>
      <c r="F1560" s="2" t="s">
        <v>39</v>
      </c>
      <c r="G1560">
        <v>48</v>
      </c>
      <c r="H1560">
        <v>39</v>
      </c>
      <c r="I1560">
        <v>11</v>
      </c>
      <c r="J1560" s="3">
        <v>2216600</v>
      </c>
      <c r="K1560" s="3">
        <v>24382600</v>
      </c>
      <c r="L1560" s="2" t="s">
        <v>33</v>
      </c>
      <c r="M1560" s="2" t="s">
        <v>26</v>
      </c>
      <c r="N1560">
        <v>2024</v>
      </c>
      <c r="O1560" s="2" t="s">
        <v>148</v>
      </c>
      <c r="P1560" s="2" t="s">
        <v>149</v>
      </c>
      <c r="Q1560">
        <v>7</v>
      </c>
      <c r="R1560" s="4">
        <v>45474</v>
      </c>
      <c r="S1560" s="3">
        <v>2216600</v>
      </c>
      <c r="T1560" s="3">
        <v>2.44</v>
      </c>
    </row>
    <row r="1561" spans="1:20" x14ac:dyDescent="0.3">
      <c r="A1561" s="1">
        <v>45502</v>
      </c>
      <c r="B1561" s="2" t="s">
        <v>106</v>
      </c>
      <c r="C1561" s="2" t="s">
        <v>107</v>
      </c>
      <c r="D1561" s="2" t="s">
        <v>42</v>
      </c>
      <c r="E1561" s="2" t="s">
        <v>43</v>
      </c>
      <c r="F1561" s="2" t="s">
        <v>24</v>
      </c>
      <c r="G1561">
        <v>3</v>
      </c>
      <c r="H1561">
        <v>135</v>
      </c>
      <c r="I1561">
        <v>25</v>
      </c>
      <c r="J1561" s="3">
        <v>123300</v>
      </c>
      <c r="K1561" s="3">
        <v>3082500</v>
      </c>
      <c r="L1561" s="2" t="s">
        <v>33</v>
      </c>
      <c r="M1561" s="2" t="s">
        <v>34</v>
      </c>
      <c r="N1561">
        <v>2024</v>
      </c>
      <c r="O1561" s="2" t="s">
        <v>148</v>
      </c>
      <c r="P1561" s="2" t="s">
        <v>149</v>
      </c>
      <c r="Q1561">
        <v>7</v>
      </c>
      <c r="R1561" s="4">
        <v>45474</v>
      </c>
      <c r="S1561" s="3">
        <v>123300</v>
      </c>
      <c r="T1561" s="3">
        <v>0.31</v>
      </c>
    </row>
    <row r="1562" spans="1:20" x14ac:dyDescent="0.3">
      <c r="A1562" s="1">
        <v>45502</v>
      </c>
      <c r="B1562" s="2" t="s">
        <v>75</v>
      </c>
      <c r="C1562" s="2" t="s">
        <v>134</v>
      </c>
      <c r="D1562" s="2" t="s">
        <v>50</v>
      </c>
      <c r="E1562" s="2" t="s">
        <v>51</v>
      </c>
      <c r="F1562" s="2" t="s">
        <v>39</v>
      </c>
      <c r="G1562">
        <v>77</v>
      </c>
      <c r="H1562">
        <v>528</v>
      </c>
      <c r="I1562">
        <v>47</v>
      </c>
      <c r="J1562" s="3">
        <v>5045400</v>
      </c>
      <c r="K1562" s="3">
        <v>237133800</v>
      </c>
      <c r="L1562" s="2" t="s">
        <v>33</v>
      </c>
      <c r="M1562" s="2" t="s">
        <v>77</v>
      </c>
      <c r="N1562">
        <v>2024</v>
      </c>
      <c r="O1562" s="2" t="s">
        <v>148</v>
      </c>
      <c r="P1562" s="2" t="s">
        <v>149</v>
      </c>
      <c r="Q1562">
        <v>7</v>
      </c>
      <c r="R1562" s="4">
        <v>45474</v>
      </c>
      <c r="S1562" s="3">
        <v>5045400</v>
      </c>
      <c r="T1562" s="3">
        <v>23.71</v>
      </c>
    </row>
    <row r="1563" spans="1:20" x14ac:dyDescent="0.3">
      <c r="A1563" s="1">
        <v>45502</v>
      </c>
      <c r="B1563" s="2" t="s">
        <v>52</v>
      </c>
      <c r="C1563" s="2" t="s">
        <v>66</v>
      </c>
      <c r="D1563" s="2" t="s">
        <v>42</v>
      </c>
      <c r="E1563" s="2" t="s">
        <v>43</v>
      </c>
      <c r="F1563" s="2" t="s">
        <v>24</v>
      </c>
      <c r="G1563">
        <v>3</v>
      </c>
      <c r="H1563">
        <v>135</v>
      </c>
      <c r="I1563">
        <v>14</v>
      </c>
      <c r="J1563" s="3">
        <v>134400</v>
      </c>
      <c r="K1563" s="3">
        <v>1881600</v>
      </c>
      <c r="L1563" s="2" t="s">
        <v>33</v>
      </c>
      <c r="M1563" s="2" t="s">
        <v>77</v>
      </c>
      <c r="N1563">
        <v>2024</v>
      </c>
      <c r="O1563" s="2" t="s">
        <v>148</v>
      </c>
      <c r="P1563" s="2" t="s">
        <v>149</v>
      </c>
      <c r="Q1563">
        <v>7</v>
      </c>
      <c r="R1563" s="4">
        <v>45474</v>
      </c>
      <c r="S1563" s="3">
        <v>134400</v>
      </c>
      <c r="T1563" s="3">
        <v>0.19</v>
      </c>
    </row>
    <row r="1564" spans="1:20" x14ac:dyDescent="0.3">
      <c r="A1564" s="1">
        <v>45503</v>
      </c>
      <c r="B1564" s="2" t="s">
        <v>48</v>
      </c>
      <c r="C1564" s="2" t="s">
        <v>98</v>
      </c>
      <c r="D1564" s="2" t="s">
        <v>88</v>
      </c>
      <c r="E1564" s="2" t="s">
        <v>89</v>
      </c>
      <c r="F1564" s="2" t="s">
        <v>24</v>
      </c>
      <c r="G1564">
        <v>82</v>
      </c>
      <c r="H1564">
        <v>580</v>
      </c>
      <c r="I1564">
        <v>59</v>
      </c>
      <c r="J1564" s="3">
        <v>5629100</v>
      </c>
      <c r="K1564" s="3">
        <v>332116900</v>
      </c>
      <c r="L1564" s="2" t="s">
        <v>33</v>
      </c>
      <c r="M1564" s="2" t="s">
        <v>26</v>
      </c>
      <c r="N1564">
        <v>2024</v>
      </c>
      <c r="O1564" s="2" t="s">
        <v>148</v>
      </c>
      <c r="P1564" s="2" t="s">
        <v>149</v>
      </c>
      <c r="Q1564">
        <v>7</v>
      </c>
      <c r="R1564" s="4">
        <v>45474</v>
      </c>
      <c r="S1564" s="3">
        <v>5629100</v>
      </c>
      <c r="T1564" s="3">
        <v>33.21</v>
      </c>
    </row>
    <row r="1565" spans="1:20" x14ac:dyDescent="0.3">
      <c r="A1565" s="1">
        <v>45504</v>
      </c>
      <c r="B1565" s="2" t="s">
        <v>48</v>
      </c>
      <c r="C1565" s="2" t="s">
        <v>73</v>
      </c>
      <c r="D1565" s="2" t="s">
        <v>57</v>
      </c>
      <c r="E1565" s="2" t="s">
        <v>86</v>
      </c>
      <c r="F1565" s="2" t="s">
        <v>24</v>
      </c>
      <c r="G1565">
        <v>48</v>
      </c>
      <c r="H1565">
        <v>39</v>
      </c>
      <c r="I1565">
        <v>64</v>
      </c>
      <c r="J1565" s="3">
        <v>2296500</v>
      </c>
      <c r="K1565" s="3">
        <v>146976000</v>
      </c>
      <c r="L1565" s="2" t="s">
        <v>33</v>
      </c>
      <c r="M1565" s="2" t="s">
        <v>77</v>
      </c>
      <c r="N1565">
        <v>2024</v>
      </c>
      <c r="O1565" s="2" t="s">
        <v>148</v>
      </c>
      <c r="P1565" s="2" t="s">
        <v>149</v>
      </c>
      <c r="Q1565">
        <v>7</v>
      </c>
      <c r="R1565" s="4">
        <v>45474</v>
      </c>
      <c r="S1565" s="3">
        <v>2296500</v>
      </c>
      <c r="T1565" s="3">
        <v>14.7</v>
      </c>
    </row>
    <row r="1566" spans="1:20" x14ac:dyDescent="0.3">
      <c r="A1566" s="1">
        <v>45505</v>
      </c>
      <c r="B1566" s="2" t="s">
        <v>40</v>
      </c>
      <c r="C1566" s="2" t="s">
        <v>105</v>
      </c>
      <c r="D1566" s="2" t="s">
        <v>37</v>
      </c>
      <c r="E1566" s="2" t="s">
        <v>38</v>
      </c>
      <c r="F1566" s="2" t="s">
        <v>24</v>
      </c>
      <c r="G1566">
        <v>66</v>
      </c>
      <c r="H1566">
        <v>423</v>
      </c>
      <c r="I1566">
        <v>12</v>
      </c>
      <c r="J1566" s="3">
        <v>8130800</v>
      </c>
      <c r="K1566" s="3">
        <v>97569600</v>
      </c>
      <c r="L1566" s="2" t="s">
        <v>33</v>
      </c>
      <c r="M1566" s="2" t="s">
        <v>77</v>
      </c>
      <c r="N1566">
        <v>2024</v>
      </c>
      <c r="O1566" s="2" t="s">
        <v>148</v>
      </c>
      <c r="P1566" s="2" t="s">
        <v>150</v>
      </c>
      <c r="Q1566">
        <v>8</v>
      </c>
      <c r="R1566" s="4">
        <v>45505</v>
      </c>
      <c r="S1566" s="3">
        <v>8130800</v>
      </c>
      <c r="T1566" s="3">
        <v>9.76</v>
      </c>
    </row>
    <row r="1567" spans="1:20" x14ac:dyDescent="0.3">
      <c r="A1567" s="1">
        <v>45506</v>
      </c>
      <c r="B1567" s="2" t="s">
        <v>52</v>
      </c>
      <c r="C1567" s="2" t="s">
        <v>116</v>
      </c>
      <c r="D1567" s="2" t="s">
        <v>63</v>
      </c>
      <c r="E1567" s="2" t="s">
        <v>64</v>
      </c>
      <c r="F1567" s="2" t="s">
        <v>24</v>
      </c>
      <c r="G1567">
        <v>3</v>
      </c>
      <c r="H1567">
        <v>127</v>
      </c>
      <c r="I1567">
        <v>172</v>
      </c>
      <c r="J1567" s="3">
        <v>157600</v>
      </c>
      <c r="K1567" s="3">
        <v>27107200</v>
      </c>
      <c r="L1567" s="2" t="s">
        <v>33</v>
      </c>
      <c r="M1567" s="2" t="s">
        <v>34</v>
      </c>
      <c r="N1567">
        <v>2024</v>
      </c>
      <c r="O1567" s="2" t="s">
        <v>148</v>
      </c>
      <c r="P1567" s="2" t="s">
        <v>150</v>
      </c>
      <c r="Q1567">
        <v>8</v>
      </c>
      <c r="R1567" s="4">
        <v>45505</v>
      </c>
      <c r="S1567" s="3">
        <v>157600</v>
      </c>
      <c r="T1567" s="3">
        <v>2.71</v>
      </c>
    </row>
    <row r="1568" spans="1:20" x14ac:dyDescent="0.3">
      <c r="A1568" s="1">
        <v>45507</v>
      </c>
      <c r="B1568" s="2" t="s">
        <v>40</v>
      </c>
      <c r="C1568" s="2" t="s">
        <v>136</v>
      </c>
      <c r="D1568" s="2" t="s">
        <v>88</v>
      </c>
      <c r="E1568" s="2" t="s">
        <v>89</v>
      </c>
      <c r="F1568" s="2" t="s">
        <v>24</v>
      </c>
      <c r="G1568">
        <v>82</v>
      </c>
      <c r="H1568">
        <v>580</v>
      </c>
      <c r="I1568">
        <v>64</v>
      </c>
      <c r="J1568" s="3">
        <v>5576000</v>
      </c>
      <c r="K1568" s="3">
        <v>356864000</v>
      </c>
      <c r="L1568" s="2" t="s">
        <v>33</v>
      </c>
      <c r="M1568" s="2" t="s">
        <v>26</v>
      </c>
      <c r="N1568">
        <v>2024</v>
      </c>
      <c r="O1568" s="2" t="s">
        <v>148</v>
      </c>
      <c r="P1568" s="2" t="s">
        <v>150</v>
      </c>
      <c r="Q1568">
        <v>8</v>
      </c>
      <c r="R1568" s="4">
        <v>45505</v>
      </c>
      <c r="S1568" s="3">
        <v>5576000</v>
      </c>
      <c r="T1568" s="3">
        <v>35.69</v>
      </c>
    </row>
    <row r="1569" spans="1:20" x14ac:dyDescent="0.3">
      <c r="A1569" s="1">
        <v>45507</v>
      </c>
      <c r="B1569" s="2" t="s">
        <v>108</v>
      </c>
      <c r="C1569" s="2" t="s">
        <v>131</v>
      </c>
      <c r="D1569" s="2" t="s">
        <v>88</v>
      </c>
      <c r="E1569" s="2" t="s">
        <v>111</v>
      </c>
      <c r="F1569" s="2" t="s">
        <v>24</v>
      </c>
      <c r="G1569">
        <v>60</v>
      </c>
      <c r="H1569">
        <v>480</v>
      </c>
      <c r="I1569">
        <v>72</v>
      </c>
      <c r="J1569" s="3">
        <v>3435300</v>
      </c>
      <c r="K1569" s="3">
        <v>247341600</v>
      </c>
      <c r="L1569" s="2" t="s">
        <v>33</v>
      </c>
      <c r="M1569" s="2" t="s">
        <v>26</v>
      </c>
      <c r="N1569">
        <v>2024</v>
      </c>
      <c r="O1569" s="2" t="s">
        <v>148</v>
      </c>
      <c r="P1569" s="2" t="s">
        <v>150</v>
      </c>
      <c r="Q1569">
        <v>8</v>
      </c>
      <c r="R1569" s="4">
        <v>45505</v>
      </c>
      <c r="S1569" s="3">
        <v>3435300</v>
      </c>
      <c r="T1569" s="3">
        <v>24.73</v>
      </c>
    </row>
    <row r="1570" spans="1:20" x14ac:dyDescent="0.3">
      <c r="A1570" s="1">
        <v>45507</v>
      </c>
      <c r="B1570" s="2" t="s">
        <v>29</v>
      </c>
      <c r="C1570" s="2" t="s">
        <v>96</v>
      </c>
      <c r="D1570" s="2" t="s">
        <v>102</v>
      </c>
      <c r="E1570" s="2" t="s">
        <v>103</v>
      </c>
      <c r="F1570" s="2" t="s">
        <v>24</v>
      </c>
      <c r="G1570">
        <v>5</v>
      </c>
      <c r="H1570">
        <v>150</v>
      </c>
      <c r="I1570">
        <v>48</v>
      </c>
      <c r="J1570" s="3">
        <v>172400</v>
      </c>
      <c r="K1570" s="3">
        <v>8275200</v>
      </c>
      <c r="L1570" s="2" t="s">
        <v>33</v>
      </c>
      <c r="M1570" s="2" t="s">
        <v>26</v>
      </c>
      <c r="N1570">
        <v>2024</v>
      </c>
      <c r="O1570" s="2" t="s">
        <v>148</v>
      </c>
      <c r="P1570" s="2" t="s">
        <v>150</v>
      </c>
      <c r="Q1570">
        <v>8</v>
      </c>
      <c r="R1570" s="4">
        <v>45505</v>
      </c>
      <c r="S1570" s="3">
        <v>172400</v>
      </c>
      <c r="T1570" s="3">
        <v>0.83</v>
      </c>
    </row>
    <row r="1571" spans="1:20" x14ac:dyDescent="0.3">
      <c r="A1571" s="1">
        <v>45507</v>
      </c>
      <c r="B1571" s="2" t="s">
        <v>48</v>
      </c>
      <c r="C1571" s="2" t="s">
        <v>98</v>
      </c>
      <c r="D1571" s="2" t="s">
        <v>42</v>
      </c>
      <c r="E1571" s="2" t="s">
        <v>43</v>
      </c>
      <c r="F1571" s="2" t="s">
        <v>24</v>
      </c>
      <c r="G1571">
        <v>3</v>
      </c>
      <c r="H1571">
        <v>135</v>
      </c>
      <c r="I1571">
        <v>103</v>
      </c>
      <c r="J1571" s="3">
        <v>116700</v>
      </c>
      <c r="K1571" s="3">
        <v>12020100</v>
      </c>
      <c r="L1571" s="2" t="s">
        <v>33</v>
      </c>
      <c r="M1571" s="2" t="s">
        <v>77</v>
      </c>
      <c r="N1571">
        <v>2024</v>
      </c>
      <c r="O1571" s="2" t="s">
        <v>148</v>
      </c>
      <c r="P1571" s="2" t="s">
        <v>150</v>
      </c>
      <c r="Q1571">
        <v>8</v>
      </c>
      <c r="R1571" s="4">
        <v>45505</v>
      </c>
      <c r="S1571" s="3">
        <v>116700</v>
      </c>
      <c r="T1571" s="3">
        <v>1.2</v>
      </c>
    </row>
    <row r="1572" spans="1:20" x14ac:dyDescent="0.3">
      <c r="A1572" s="1">
        <v>45507</v>
      </c>
      <c r="B1572" s="2" t="s">
        <v>59</v>
      </c>
      <c r="C1572" s="2" t="s">
        <v>60</v>
      </c>
      <c r="D1572" s="2" t="s">
        <v>42</v>
      </c>
      <c r="E1572" s="2" t="s">
        <v>43</v>
      </c>
      <c r="F1572" s="2" t="s">
        <v>24</v>
      </c>
      <c r="G1572">
        <v>3</v>
      </c>
      <c r="H1572">
        <v>135</v>
      </c>
      <c r="I1572">
        <v>13</v>
      </c>
      <c r="J1572" s="3">
        <v>122700</v>
      </c>
      <c r="K1572" s="3">
        <v>1595100</v>
      </c>
      <c r="L1572" s="2" t="s">
        <v>92</v>
      </c>
      <c r="M1572" s="2" t="s">
        <v>26</v>
      </c>
      <c r="N1572">
        <v>2024</v>
      </c>
      <c r="O1572" s="2" t="s">
        <v>148</v>
      </c>
      <c r="P1572" s="2" t="s">
        <v>150</v>
      </c>
      <c r="Q1572">
        <v>8</v>
      </c>
      <c r="R1572" s="4">
        <v>45505</v>
      </c>
      <c r="S1572" s="3">
        <v>122700</v>
      </c>
      <c r="T1572" s="3">
        <v>0.16</v>
      </c>
    </row>
    <row r="1573" spans="1:20" x14ac:dyDescent="0.3">
      <c r="A1573" s="1">
        <v>45507</v>
      </c>
      <c r="B1573" s="2" t="s">
        <v>40</v>
      </c>
      <c r="C1573" s="2" t="s">
        <v>41</v>
      </c>
      <c r="D1573" s="2" t="s">
        <v>37</v>
      </c>
      <c r="E1573" s="2" t="s">
        <v>38</v>
      </c>
      <c r="F1573" s="2" t="s">
        <v>39</v>
      </c>
      <c r="G1573">
        <v>66</v>
      </c>
      <c r="H1573">
        <v>423</v>
      </c>
      <c r="I1573">
        <v>61</v>
      </c>
      <c r="J1573" s="3">
        <v>7726300</v>
      </c>
      <c r="K1573" s="3">
        <v>471304300</v>
      </c>
      <c r="L1573" s="2" t="s">
        <v>33</v>
      </c>
      <c r="M1573" s="2" t="s">
        <v>77</v>
      </c>
      <c r="N1573">
        <v>2024</v>
      </c>
      <c r="O1573" s="2" t="s">
        <v>148</v>
      </c>
      <c r="P1573" s="2" t="s">
        <v>150</v>
      </c>
      <c r="Q1573">
        <v>8</v>
      </c>
      <c r="R1573" s="4">
        <v>45505</v>
      </c>
      <c r="S1573" s="3">
        <v>7726300</v>
      </c>
      <c r="T1573" s="3">
        <v>47.13</v>
      </c>
    </row>
    <row r="1574" spans="1:20" x14ac:dyDescent="0.3">
      <c r="A1574" s="1">
        <v>45507</v>
      </c>
      <c r="B1574" s="2" t="s">
        <v>29</v>
      </c>
      <c r="C1574" s="2" t="s">
        <v>104</v>
      </c>
      <c r="D1574" s="2" t="s">
        <v>82</v>
      </c>
      <c r="E1574" s="2" t="s">
        <v>141</v>
      </c>
      <c r="F1574" s="2" t="s">
        <v>24</v>
      </c>
      <c r="G1574">
        <v>59</v>
      </c>
      <c r="H1574">
        <v>55</v>
      </c>
      <c r="I1574">
        <v>128</v>
      </c>
      <c r="J1574" s="3">
        <v>2976500</v>
      </c>
      <c r="K1574" s="3">
        <v>380992000</v>
      </c>
      <c r="L1574" s="2" t="s">
        <v>33</v>
      </c>
      <c r="M1574" s="2" t="s">
        <v>26</v>
      </c>
      <c r="N1574">
        <v>2024</v>
      </c>
      <c r="O1574" s="2" t="s">
        <v>148</v>
      </c>
      <c r="P1574" s="2" t="s">
        <v>150</v>
      </c>
      <c r="Q1574">
        <v>8</v>
      </c>
      <c r="R1574" s="4">
        <v>45505</v>
      </c>
      <c r="S1574" s="3">
        <v>2976500</v>
      </c>
      <c r="T1574" s="3">
        <v>38.1</v>
      </c>
    </row>
    <row r="1575" spans="1:20" x14ac:dyDescent="0.3">
      <c r="A1575" s="1">
        <v>45507</v>
      </c>
      <c r="B1575" s="2" t="s">
        <v>106</v>
      </c>
      <c r="C1575" s="2" t="s">
        <v>107</v>
      </c>
      <c r="D1575" s="2" t="s">
        <v>100</v>
      </c>
      <c r="E1575" s="2" t="s">
        <v>101</v>
      </c>
      <c r="F1575" s="2" t="s">
        <v>24</v>
      </c>
      <c r="G1575">
        <v>3</v>
      </c>
      <c r="H1575">
        <v>150</v>
      </c>
      <c r="I1575">
        <v>102</v>
      </c>
      <c r="J1575" s="3">
        <v>142800</v>
      </c>
      <c r="K1575" s="3">
        <v>14565600</v>
      </c>
      <c r="L1575" s="2" t="s">
        <v>33</v>
      </c>
      <c r="M1575" s="2" t="s">
        <v>26</v>
      </c>
      <c r="N1575">
        <v>2024</v>
      </c>
      <c r="O1575" s="2" t="s">
        <v>148</v>
      </c>
      <c r="P1575" s="2" t="s">
        <v>150</v>
      </c>
      <c r="Q1575">
        <v>8</v>
      </c>
      <c r="R1575" s="4">
        <v>45505</v>
      </c>
      <c r="S1575" s="3">
        <v>142800</v>
      </c>
      <c r="T1575" s="3">
        <v>1.46</v>
      </c>
    </row>
    <row r="1576" spans="1:20" x14ac:dyDescent="0.3">
      <c r="A1576" s="1">
        <v>45508</v>
      </c>
      <c r="B1576" s="2" t="s">
        <v>35</v>
      </c>
      <c r="C1576" s="2" t="s">
        <v>87</v>
      </c>
      <c r="D1576" s="2" t="s">
        <v>57</v>
      </c>
      <c r="E1576" s="2" t="s">
        <v>86</v>
      </c>
      <c r="F1576" s="2" t="s">
        <v>24</v>
      </c>
      <c r="G1576">
        <v>48</v>
      </c>
      <c r="H1576">
        <v>39</v>
      </c>
      <c r="I1576">
        <v>72</v>
      </c>
      <c r="J1576" s="3">
        <v>2585200</v>
      </c>
      <c r="K1576" s="3">
        <v>186134400</v>
      </c>
      <c r="L1576" s="2" t="s">
        <v>25</v>
      </c>
      <c r="M1576" s="2" t="s">
        <v>77</v>
      </c>
      <c r="N1576">
        <v>2024</v>
      </c>
      <c r="O1576" s="2" t="s">
        <v>148</v>
      </c>
      <c r="P1576" s="2" t="s">
        <v>150</v>
      </c>
      <c r="Q1576">
        <v>8</v>
      </c>
      <c r="R1576" s="4">
        <v>45505</v>
      </c>
      <c r="S1576" s="3">
        <v>2585200</v>
      </c>
      <c r="T1576" s="3">
        <v>18.61</v>
      </c>
    </row>
    <row r="1577" spans="1:20" x14ac:dyDescent="0.3">
      <c r="A1577" s="1">
        <v>45508</v>
      </c>
      <c r="B1577" s="2" t="s">
        <v>29</v>
      </c>
      <c r="C1577" s="2" t="s">
        <v>65</v>
      </c>
      <c r="D1577" s="2" t="s">
        <v>82</v>
      </c>
      <c r="E1577" s="2" t="s">
        <v>141</v>
      </c>
      <c r="F1577" s="2" t="s">
        <v>24</v>
      </c>
      <c r="G1577">
        <v>59</v>
      </c>
      <c r="H1577">
        <v>55</v>
      </c>
      <c r="I1577">
        <v>61</v>
      </c>
      <c r="J1577" s="3">
        <v>3082900</v>
      </c>
      <c r="K1577" s="3">
        <v>188056900</v>
      </c>
      <c r="L1577" s="2" t="s">
        <v>25</v>
      </c>
      <c r="M1577" s="2" t="s">
        <v>77</v>
      </c>
      <c r="N1577">
        <v>2024</v>
      </c>
      <c r="O1577" s="2" t="s">
        <v>148</v>
      </c>
      <c r="P1577" s="2" t="s">
        <v>150</v>
      </c>
      <c r="Q1577">
        <v>8</v>
      </c>
      <c r="R1577" s="4">
        <v>45505</v>
      </c>
      <c r="S1577" s="3">
        <v>3082900</v>
      </c>
      <c r="T1577" s="3">
        <v>18.809999999999999</v>
      </c>
    </row>
    <row r="1578" spans="1:20" x14ac:dyDescent="0.3">
      <c r="A1578" s="1">
        <v>45508</v>
      </c>
      <c r="B1578" s="2" t="s">
        <v>40</v>
      </c>
      <c r="C1578" s="2" t="s">
        <v>136</v>
      </c>
      <c r="D1578" s="2" t="s">
        <v>88</v>
      </c>
      <c r="E1578" s="2" t="s">
        <v>89</v>
      </c>
      <c r="F1578" s="2" t="s">
        <v>24</v>
      </c>
      <c r="G1578">
        <v>82</v>
      </c>
      <c r="H1578">
        <v>580</v>
      </c>
      <c r="I1578">
        <v>76</v>
      </c>
      <c r="J1578" s="3">
        <v>6130300</v>
      </c>
      <c r="K1578" s="3">
        <v>465902800</v>
      </c>
      <c r="L1578" s="2" t="s">
        <v>33</v>
      </c>
      <c r="M1578" s="2" t="s">
        <v>26</v>
      </c>
      <c r="N1578">
        <v>2024</v>
      </c>
      <c r="O1578" s="2" t="s">
        <v>148</v>
      </c>
      <c r="P1578" s="2" t="s">
        <v>150</v>
      </c>
      <c r="Q1578">
        <v>8</v>
      </c>
      <c r="R1578" s="4">
        <v>45505</v>
      </c>
      <c r="S1578" s="3">
        <v>6130300</v>
      </c>
      <c r="T1578" s="3">
        <v>46.59</v>
      </c>
    </row>
    <row r="1579" spans="1:20" x14ac:dyDescent="0.3">
      <c r="A1579" s="1">
        <v>45508</v>
      </c>
      <c r="B1579" s="2" t="s">
        <v>20</v>
      </c>
      <c r="C1579" s="2" t="s">
        <v>125</v>
      </c>
      <c r="D1579" s="2" t="s">
        <v>88</v>
      </c>
      <c r="E1579" s="2" t="s">
        <v>111</v>
      </c>
      <c r="F1579" s="2" t="s">
        <v>72</v>
      </c>
      <c r="G1579">
        <v>60</v>
      </c>
      <c r="H1579">
        <v>480</v>
      </c>
      <c r="I1579">
        <v>61</v>
      </c>
      <c r="J1579" s="3">
        <v>2914700</v>
      </c>
      <c r="K1579" s="3">
        <v>177796700</v>
      </c>
      <c r="L1579" s="2" t="s">
        <v>25</v>
      </c>
      <c r="M1579" s="2" t="s">
        <v>77</v>
      </c>
      <c r="N1579">
        <v>2024</v>
      </c>
      <c r="O1579" s="2" t="s">
        <v>148</v>
      </c>
      <c r="P1579" s="2" t="s">
        <v>150</v>
      </c>
      <c r="Q1579">
        <v>8</v>
      </c>
      <c r="R1579" s="4">
        <v>45505</v>
      </c>
      <c r="S1579" s="3">
        <v>2914700</v>
      </c>
      <c r="T1579" s="3">
        <v>17.78</v>
      </c>
    </row>
    <row r="1580" spans="1:20" x14ac:dyDescent="0.3">
      <c r="A1580" s="1">
        <v>45509</v>
      </c>
      <c r="B1580" s="2" t="s">
        <v>84</v>
      </c>
      <c r="C1580" s="2" t="s">
        <v>113</v>
      </c>
      <c r="D1580" s="2" t="s">
        <v>63</v>
      </c>
      <c r="E1580" s="2" t="s">
        <v>64</v>
      </c>
      <c r="F1580" s="2" t="s">
        <v>24</v>
      </c>
      <c r="G1580">
        <v>3</v>
      </c>
      <c r="H1580">
        <v>127</v>
      </c>
      <c r="I1580">
        <v>89</v>
      </c>
      <c r="J1580" s="3">
        <v>176200</v>
      </c>
      <c r="K1580" s="3">
        <v>15681800</v>
      </c>
      <c r="L1580" s="2" t="s">
        <v>33</v>
      </c>
      <c r="M1580" s="2" t="s">
        <v>77</v>
      </c>
      <c r="N1580">
        <v>2024</v>
      </c>
      <c r="O1580" s="2" t="s">
        <v>148</v>
      </c>
      <c r="P1580" s="2" t="s">
        <v>150</v>
      </c>
      <c r="Q1580">
        <v>8</v>
      </c>
      <c r="R1580" s="4">
        <v>45505</v>
      </c>
      <c r="S1580" s="3">
        <v>176200</v>
      </c>
      <c r="T1580" s="3">
        <v>1.57</v>
      </c>
    </row>
    <row r="1581" spans="1:20" x14ac:dyDescent="0.3">
      <c r="A1581" s="1">
        <v>45510</v>
      </c>
      <c r="B1581" s="2" t="s">
        <v>75</v>
      </c>
      <c r="C1581" s="2" t="s">
        <v>76</v>
      </c>
      <c r="D1581" s="2" t="s">
        <v>100</v>
      </c>
      <c r="E1581" s="2" t="s">
        <v>101</v>
      </c>
      <c r="F1581" s="2" t="s">
        <v>24</v>
      </c>
      <c r="G1581">
        <v>3</v>
      </c>
      <c r="H1581">
        <v>150</v>
      </c>
      <c r="I1581">
        <v>54</v>
      </c>
      <c r="J1581" s="3">
        <v>152600</v>
      </c>
      <c r="K1581" s="3">
        <v>8240400</v>
      </c>
      <c r="L1581" s="2" t="s">
        <v>33</v>
      </c>
      <c r="M1581" s="2" t="s">
        <v>26</v>
      </c>
      <c r="N1581">
        <v>2024</v>
      </c>
      <c r="O1581" s="2" t="s">
        <v>148</v>
      </c>
      <c r="P1581" s="2" t="s">
        <v>150</v>
      </c>
      <c r="Q1581">
        <v>8</v>
      </c>
      <c r="R1581" s="4">
        <v>45505</v>
      </c>
      <c r="S1581" s="3">
        <v>152600</v>
      </c>
      <c r="T1581" s="3">
        <v>0.82</v>
      </c>
    </row>
    <row r="1582" spans="1:20" x14ac:dyDescent="0.3">
      <c r="A1582" s="1">
        <v>45510</v>
      </c>
      <c r="B1582" s="2" t="s">
        <v>59</v>
      </c>
      <c r="C1582" s="2" t="s">
        <v>81</v>
      </c>
      <c r="D1582" s="2" t="s">
        <v>79</v>
      </c>
      <c r="E1582" s="2" t="s">
        <v>80</v>
      </c>
      <c r="F1582" s="2" t="s">
        <v>24</v>
      </c>
      <c r="G1582">
        <v>69</v>
      </c>
      <c r="H1582">
        <v>418</v>
      </c>
      <c r="I1582">
        <v>64</v>
      </c>
      <c r="J1582" s="3">
        <v>5607300</v>
      </c>
      <c r="K1582" s="3">
        <v>358867200</v>
      </c>
      <c r="L1582" s="2" t="s">
        <v>92</v>
      </c>
      <c r="M1582" s="2" t="s">
        <v>77</v>
      </c>
      <c r="N1582">
        <v>2024</v>
      </c>
      <c r="O1582" s="2" t="s">
        <v>148</v>
      </c>
      <c r="P1582" s="2" t="s">
        <v>150</v>
      </c>
      <c r="Q1582">
        <v>8</v>
      </c>
      <c r="R1582" s="4">
        <v>45505</v>
      </c>
      <c r="S1582" s="3">
        <v>5607300</v>
      </c>
      <c r="T1582" s="3">
        <v>35.89</v>
      </c>
    </row>
    <row r="1583" spans="1:20" x14ac:dyDescent="0.3">
      <c r="A1583" s="1">
        <v>45510</v>
      </c>
      <c r="B1583" s="2" t="s">
        <v>44</v>
      </c>
      <c r="C1583" s="2" t="s">
        <v>142</v>
      </c>
      <c r="D1583" s="2" t="s">
        <v>54</v>
      </c>
      <c r="E1583" s="2" t="s">
        <v>55</v>
      </c>
      <c r="F1583" s="2" t="s">
        <v>24</v>
      </c>
      <c r="G1583">
        <v>30</v>
      </c>
      <c r="H1583">
        <v>320</v>
      </c>
      <c r="I1583">
        <v>76</v>
      </c>
      <c r="J1583" s="3">
        <v>1315300</v>
      </c>
      <c r="K1583" s="3">
        <v>99962800</v>
      </c>
      <c r="L1583" s="2" t="s">
        <v>33</v>
      </c>
      <c r="M1583" s="2" t="s">
        <v>26</v>
      </c>
      <c r="N1583">
        <v>2024</v>
      </c>
      <c r="O1583" s="2" t="s">
        <v>148</v>
      </c>
      <c r="P1583" s="2" t="s">
        <v>150</v>
      </c>
      <c r="Q1583">
        <v>8</v>
      </c>
      <c r="R1583" s="4">
        <v>45505</v>
      </c>
      <c r="S1583" s="3">
        <v>1315300</v>
      </c>
      <c r="T1583" s="3">
        <v>10</v>
      </c>
    </row>
    <row r="1584" spans="1:20" x14ac:dyDescent="0.3">
      <c r="A1584" s="1">
        <v>45510</v>
      </c>
      <c r="B1584" s="2" t="s">
        <v>44</v>
      </c>
      <c r="C1584" s="2" t="s">
        <v>45</v>
      </c>
      <c r="D1584" s="2" t="s">
        <v>82</v>
      </c>
      <c r="E1584" s="2" t="s">
        <v>83</v>
      </c>
      <c r="F1584" s="2" t="s">
        <v>24</v>
      </c>
      <c r="G1584">
        <v>40</v>
      </c>
      <c r="H1584">
        <v>39</v>
      </c>
      <c r="I1584">
        <v>84</v>
      </c>
      <c r="J1584" s="3">
        <v>2190600</v>
      </c>
      <c r="K1584" s="3">
        <v>184010400</v>
      </c>
      <c r="L1584" s="2" t="s">
        <v>25</v>
      </c>
      <c r="M1584" s="2" t="s">
        <v>26</v>
      </c>
      <c r="N1584">
        <v>2024</v>
      </c>
      <c r="O1584" s="2" t="s">
        <v>148</v>
      </c>
      <c r="P1584" s="2" t="s">
        <v>150</v>
      </c>
      <c r="Q1584">
        <v>8</v>
      </c>
      <c r="R1584" s="4">
        <v>45505</v>
      </c>
      <c r="S1584" s="3">
        <v>2190600</v>
      </c>
      <c r="T1584" s="3">
        <v>18.399999999999999</v>
      </c>
    </row>
    <row r="1585" spans="1:20" x14ac:dyDescent="0.3">
      <c r="A1585" s="1">
        <v>45511</v>
      </c>
      <c r="B1585" s="2" t="s">
        <v>46</v>
      </c>
      <c r="C1585" s="2" t="s">
        <v>56</v>
      </c>
      <c r="D1585" s="2" t="s">
        <v>42</v>
      </c>
      <c r="E1585" s="2" t="s">
        <v>43</v>
      </c>
      <c r="F1585" s="2" t="s">
        <v>24</v>
      </c>
      <c r="G1585">
        <v>3</v>
      </c>
      <c r="H1585">
        <v>135</v>
      </c>
      <c r="I1585">
        <v>25</v>
      </c>
      <c r="J1585" s="3">
        <v>139700</v>
      </c>
      <c r="K1585" s="3">
        <v>3492500</v>
      </c>
      <c r="L1585" s="2" t="s">
        <v>33</v>
      </c>
      <c r="M1585" s="2" t="s">
        <v>26</v>
      </c>
      <c r="N1585">
        <v>2024</v>
      </c>
      <c r="O1585" s="2" t="s">
        <v>148</v>
      </c>
      <c r="P1585" s="2" t="s">
        <v>150</v>
      </c>
      <c r="Q1585">
        <v>8</v>
      </c>
      <c r="R1585" s="4">
        <v>45505</v>
      </c>
      <c r="S1585" s="3">
        <v>139700</v>
      </c>
      <c r="T1585" s="3">
        <v>0.35</v>
      </c>
    </row>
    <row r="1586" spans="1:20" x14ac:dyDescent="0.3">
      <c r="A1586" s="1">
        <v>45511</v>
      </c>
      <c r="B1586" s="2" t="s">
        <v>40</v>
      </c>
      <c r="C1586" s="2" t="s">
        <v>105</v>
      </c>
      <c r="D1586" s="2" t="s">
        <v>79</v>
      </c>
      <c r="E1586" s="2" t="s">
        <v>80</v>
      </c>
      <c r="F1586" s="2" t="s">
        <v>24</v>
      </c>
      <c r="G1586">
        <v>69</v>
      </c>
      <c r="H1586">
        <v>418</v>
      </c>
      <c r="I1586">
        <v>14</v>
      </c>
      <c r="J1586" s="3">
        <v>6023400</v>
      </c>
      <c r="K1586" s="3">
        <v>84327600</v>
      </c>
      <c r="L1586" s="2" t="s">
        <v>92</v>
      </c>
      <c r="M1586" s="2" t="s">
        <v>34</v>
      </c>
      <c r="N1586">
        <v>2024</v>
      </c>
      <c r="O1586" s="2" t="s">
        <v>148</v>
      </c>
      <c r="P1586" s="2" t="s">
        <v>150</v>
      </c>
      <c r="Q1586">
        <v>8</v>
      </c>
      <c r="R1586" s="4">
        <v>45505</v>
      </c>
      <c r="S1586" s="3">
        <v>6023400</v>
      </c>
      <c r="T1586" s="3">
        <v>8.43</v>
      </c>
    </row>
    <row r="1587" spans="1:20" x14ac:dyDescent="0.3">
      <c r="A1587" s="1">
        <v>45511</v>
      </c>
      <c r="B1587" s="2" t="s">
        <v>46</v>
      </c>
      <c r="C1587" s="2" t="s">
        <v>137</v>
      </c>
      <c r="D1587" s="2" t="s">
        <v>22</v>
      </c>
      <c r="E1587" s="2" t="s">
        <v>23</v>
      </c>
      <c r="F1587" s="2" t="s">
        <v>138</v>
      </c>
      <c r="G1587">
        <v>82</v>
      </c>
      <c r="H1587">
        <v>520</v>
      </c>
      <c r="I1587">
        <v>20</v>
      </c>
      <c r="J1587" s="3">
        <v>6989900</v>
      </c>
      <c r="K1587" s="3">
        <v>139798000</v>
      </c>
      <c r="L1587" s="2" t="s">
        <v>92</v>
      </c>
      <c r="M1587" s="2" t="s">
        <v>77</v>
      </c>
      <c r="N1587">
        <v>2024</v>
      </c>
      <c r="O1587" s="2" t="s">
        <v>148</v>
      </c>
      <c r="P1587" s="2" t="s">
        <v>150</v>
      </c>
      <c r="Q1587">
        <v>8</v>
      </c>
      <c r="R1587" s="4">
        <v>45505</v>
      </c>
      <c r="S1587" s="3">
        <v>6989900</v>
      </c>
      <c r="T1587" s="3">
        <v>13.98</v>
      </c>
    </row>
    <row r="1588" spans="1:20" x14ac:dyDescent="0.3">
      <c r="A1588" s="1">
        <v>45512</v>
      </c>
      <c r="B1588" s="2" t="s">
        <v>48</v>
      </c>
      <c r="C1588" s="2" t="s">
        <v>49</v>
      </c>
      <c r="D1588" s="2" t="s">
        <v>42</v>
      </c>
      <c r="E1588" s="2" t="s">
        <v>43</v>
      </c>
      <c r="F1588" s="2" t="s">
        <v>24</v>
      </c>
      <c r="G1588">
        <v>3</v>
      </c>
      <c r="H1588">
        <v>135</v>
      </c>
      <c r="I1588">
        <v>111</v>
      </c>
      <c r="J1588" s="3">
        <v>105800</v>
      </c>
      <c r="K1588" s="3">
        <v>11743800</v>
      </c>
      <c r="L1588" s="2" t="s">
        <v>33</v>
      </c>
      <c r="M1588" s="2" t="s">
        <v>77</v>
      </c>
      <c r="N1588">
        <v>2024</v>
      </c>
      <c r="O1588" s="2" t="s">
        <v>148</v>
      </c>
      <c r="P1588" s="2" t="s">
        <v>150</v>
      </c>
      <c r="Q1588">
        <v>8</v>
      </c>
      <c r="R1588" s="4">
        <v>45505</v>
      </c>
      <c r="S1588" s="3">
        <v>105800</v>
      </c>
      <c r="T1588" s="3">
        <v>1.17</v>
      </c>
    </row>
    <row r="1589" spans="1:20" x14ac:dyDescent="0.3">
      <c r="A1589" s="1">
        <v>45513</v>
      </c>
      <c r="B1589" s="2" t="s">
        <v>29</v>
      </c>
      <c r="C1589" s="2" t="s">
        <v>104</v>
      </c>
      <c r="D1589" s="2" t="s">
        <v>37</v>
      </c>
      <c r="E1589" s="2" t="s">
        <v>38</v>
      </c>
      <c r="F1589" s="2" t="s">
        <v>24</v>
      </c>
      <c r="G1589">
        <v>66</v>
      </c>
      <c r="H1589">
        <v>423</v>
      </c>
      <c r="I1589">
        <v>29</v>
      </c>
      <c r="J1589" s="3">
        <v>8058900</v>
      </c>
      <c r="K1589" s="3">
        <v>233708100</v>
      </c>
      <c r="L1589" s="2" t="s">
        <v>33</v>
      </c>
      <c r="M1589" s="2" t="s">
        <v>26</v>
      </c>
      <c r="N1589">
        <v>2024</v>
      </c>
      <c r="O1589" s="2" t="s">
        <v>148</v>
      </c>
      <c r="P1589" s="2" t="s">
        <v>150</v>
      </c>
      <c r="Q1589">
        <v>8</v>
      </c>
      <c r="R1589" s="4">
        <v>45505</v>
      </c>
      <c r="S1589" s="3">
        <v>8058900</v>
      </c>
      <c r="T1589" s="3">
        <v>23.37</v>
      </c>
    </row>
    <row r="1590" spans="1:20" x14ac:dyDescent="0.3">
      <c r="A1590" s="1">
        <v>45513</v>
      </c>
      <c r="B1590" s="2" t="s">
        <v>48</v>
      </c>
      <c r="C1590" s="2" t="s">
        <v>98</v>
      </c>
      <c r="D1590" s="2" t="s">
        <v>63</v>
      </c>
      <c r="E1590" s="2" t="s">
        <v>64</v>
      </c>
      <c r="F1590" s="2" t="s">
        <v>24</v>
      </c>
      <c r="G1590">
        <v>3</v>
      </c>
      <c r="H1590">
        <v>127</v>
      </c>
      <c r="I1590">
        <v>112</v>
      </c>
      <c r="J1590" s="3">
        <v>147700</v>
      </c>
      <c r="K1590" s="3">
        <v>16542400</v>
      </c>
      <c r="L1590" s="2" t="s">
        <v>33</v>
      </c>
      <c r="M1590" s="2" t="s">
        <v>34</v>
      </c>
      <c r="N1590">
        <v>2024</v>
      </c>
      <c r="O1590" s="2" t="s">
        <v>148</v>
      </c>
      <c r="P1590" s="2" t="s">
        <v>150</v>
      </c>
      <c r="Q1590">
        <v>8</v>
      </c>
      <c r="R1590" s="4">
        <v>45505</v>
      </c>
      <c r="S1590" s="3">
        <v>147700</v>
      </c>
      <c r="T1590" s="3">
        <v>1.65</v>
      </c>
    </row>
    <row r="1591" spans="1:20" x14ac:dyDescent="0.3">
      <c r="A1591" s="1">
        <v>45514</v>
      </c>
      <c r="B1591" s="2" t="s">
        <v>40</v>
      </c>
      <c r="C1591" s="2" t="s">
        <v>105</v>
      </c>
      <c r="D1591" s="2" t="s">
        <v>31</v>
      </c>
      <c r="E1591" s="2" t="s">
        <v>124</v>
      </c>
      <c r="F1591" s="2" t="s">
        <v>24</v>
      </c>
      <c r="G1591">
        <v>3</v>
      </c>
      <c r="H1591">
        <v>151</v>
      </c>
      <c r="I1591">
        <v>29</v>
      </c>
      <c r="J1591" s="3">
        <v>122300</v>
      </c>
      <c r="K1591" s="3">
        <v>3546700</v>
      </c>
      <c r="L1591" s="2" t="s">
        <v>33</v>
      </c>
      <c r="M1591" s="2" t="s">
        <v>77</v>
      </c>
      <c r="N1591">
        <v>2024</v>
      </c>
      <c r="O1591" s="2" t="s">
        <v>148</v>
      </c>
      <c r="P1591" s="2" t="s">
        <v>150</v>
      </c>
      <c r="Q1591">
        <v>8</v>
      </c>
      <c r="R1591" s="4">
        <v>45505</v>
      </c>
      <c r="S1591" s="3">
        <v>122300</v>
      </c>
      <c r="T1591" s="3">
        <v>0.35</v>
      </c>
    </row>
    <row r="1592" spans="1:20" x14ac:dyDescent="0.3">
      <c r="A1592" s="1">
        <v>45515</v>
      </c>
      <c r="B1592" s="2" t="s">
        <v>106</v>
      </c>
      <c r="C1592" s="2" t="s">
        <v>119</v>
      </c>
      <c r="D1592" s="2" t="s">
        <v>22</v>
      </c>
      <c r="E1592" s="2" t="s">
        <v>23</v>
      </c>
      <c r="F1592" s="2" t="s">
        <v>72</v>
      </c>
      <c r="G1592">
        <v>82</v>
      </c>
      <c r="H1592">
        <v>520</v>
      </c>
      <c r="I1592">
        <v>24</v>
      </c>
      <c r="J1592" s="3">
        <v>5855900</v>
      </c>
      <c r="K1592" s="3">
        <v>140541600</v>
      </c>
      <c r="L1592" s="2" t="s">
        <v>25</v>
      </c>
      <c r="M1592" s="2" t="s">
        <v>34</v>
      </c>
      <c r="N1592">
        <v>2024</v>
      </c>
      <c r="O1592" s="2" t="s">
        <v>148</v>
      </c>
      <c r="P1592" s="2" t="s">
        <v>150</v>
      </c>
      <c r="Q1592">
        <v>8</v>
      </c>
      <c r="R1592" s="4">
        <v>45505</v>
      </c>
      <c r="S1592" s="3">
        <v>5855900</v>
      </c>
      <c r="T1592" s="3">
        <v>14.05</v>
      </c>
    </row>
    <row r="1593" spans="1:20" x14ac:dyDescent="0.3">
      <c r="A1593" s="1">
        <v>45515</v>
      </c>
      <c r="B1593" s="2" t="s">
        <v>46</v>
      </c>
      <c r="C1593" s="2" t="s">
        <v>137</v>
      </c>
      <c r="D1593" s="2" t="s">
        <v>94</v>
      </c>
      <c r="E1593" s="2" t="s">
        <v>140</v>
      </c>
      <c r="F1593" s="2" t="s">
        <v>24</v>
      </c>
      <c r="G1593">
        <v>35</v>
      </c>
      <c r="H1593">
        <v>32</v>
      </c>
      <c r="I1593">
        <v>101</v>
      </c>
      <c r="J1593" s="3">
        <v>1924700</v>
      </c>
      <c r="K1593" s="3">
        <v>194394700</v>
      </c>
      <c r="L1593" s="2" t="s">
        <v>25</v>
      </c>
      <c r="M1593" s="2" t="s">
        <v>77</v>
      </c>
      <c r="N1593">
        <v>2024</v>
      </c>
      <c r="O1593" s="2" t="s">
        <v>148</v>
      </c>
      <c r="P1593" s="2" t="s">
        <v>150</v>
      </c>
      <c r="Q1593">
        <v>8</v>
      </c>
      <c r="R1593" s="4">
        <v>45505</v>
      </c>
      <c r="S1593" s="3">
        <v>1924700</v>
      </c>
      <c r="T1593" s="3">
        <v>19.440000000000001</v>
      </c>
    </row>
    <row r="1594" spans="1:20" x14ac:dyDescent="0.3">
      <c r="A1594" s="1">
        <v>45515</v>
      </c>
      <c r="B1594" s="2" t="s">
        <v>35</v>
      </c>
      <c r="C1594" s="2" t="s">
        <v>87</v>
      </c>
      <c r="D1594" s="2" t="s">
        <v>63</v>
      </c>
      <c r="E1594" s="2" t="s">
        <v>64</v>
      </c>
      <c r="F1594" s="2" t="s">
        <v>24</v>
      </c>
      <c r="G1594">
        <v>3</v>
      </c>
      <c r="H1594">
        <v>127</v>
      </c>
      <c r="I1594">
        <v>174</v>
      </c>
      <c r="J1594" s="3">
        <v>185700</v>
      </c>
      <c r="K1594" s="3">
        <v>32311800</v>
      </c>
      <c r="L1594" s="2" t="s">
        <v>33</v>
      </c>
      <c r="M1594" s="2" t="s">
        <v>26</v>
      </c>
      <c r="N1594">
        <v>2024</v>
      </c>
      <c r="O1594" s="2" t="s">
        <v>148</v>
      </c>
      <c r="P1594" s="2" t="s">
        <v>150</v>
      </c>
      <c r="Q1594">
        <v>8</v>
      </c>
      <c r="R1594" s="4">
        <v>45505</v>
      </c>
      <c r="S1594" s="3">
        <v>185700</v>
      </c>
      <c r="T1594" s="3">
        <v>3.23</v>
      </c>
    </row>
    <row r="1595" spans="1:20" x14ac:dyDescent="0.3">
      <c r="A1595" s="1">
        <v>45515</v>
      </c>
      <c r="B1595" s="2" t="s">
        <v>20</v>
      </c>
      <c r="C1595" s="2" t="s">
        <v>125</v>
      </c>
      <c r="D1595" s="2" t="s">
        <v>31</v>
      </c>
      <c r="E1595" s="2" t="s">
        <v>124</v>
      </c>
      <c r="F1595" s="2" t="s">
        <v>24</v>
      </c>
      <c r="G1595">
        <v>3</v>
      </c>
      <c r="H1595">
        <v>151</v>
      </c>
      <c r="I1595">
        <v>141</v>
      </c>
      <c r="J1595" s="3">
        <v>115800</v>
      </c>
      <c r="K1595" s="3">
        <v>16327800</v>
      </c>
      <c r="L1595" s="2" t="s">
        <v>92</v>
      </c>
      <c r="M1595" s="2" t="s">
        <v>34</v>
      </c>
      <c r="N1595">
        <v>2024</v>
      </c>
      <c r="O1595" s="2" t="s">
        <v>148</v>
      </c>
      <c r="P1595" s="2" t="s">
        <v>150</v>
      </c>
      <c r="Q1595">
        <v>8</v>
      </c>
      <c r="R1595" s="4">
        <v>45505</v>
      </c>
      <c r="S1595" s="3">
        <v>115800</v>
      </c>
      <c r="T1595" s="3">
        <v>1.63</v>
      </c>
    </row>
    <row r="1596" spans="1:20" x14ac:dyDescent="0.3">
      <c r="A1596" s="1">
        <v>45516</v>
      </c>
      <c r="B1596" s="2" t="s">
        <v>40</v>
      </c>
      <c r="C1596" s="2" t="s">
        <v>41</v>
      </c>
      <c r="D1596" s="2" t="s">
        <v>82</v>
      </c>
      <c r="E1596" s="2" t="s">
        <v>83</v>
      </c>
      <c r="F1596" s="2" t="s">
        <v>24</v>
      </c>
      <c r="G1596">
        <v>40</v>
      </c>
      <c r="H1596">
        <v>39</v>
      </c>
      <c r="I1596">
        <v>89</v>
      </c>
      <c r="J1596" s="3">
        <v>1939200</v>
      </c>
      <c r="K1596" s="3">
        <v>172588800</v>
      </c>
      <c r="L1596" s="2" t="s">
        <v>33</v>
      </c>
      <c r="M1596" s="2" t="s">
        <v>26</v>
      </c>
      <c r="N1596">
        <v>2024</v>
      </c>
      <c r="O1596" s="2" t="s">
        <v>148</v>
      </c>
      <c r="P1596" s="2" t="s">
        <v>150</v>
      </c>
      <c r="Q1596">
        <v>8</v>
      </c>
      <c r="R1596" s="4">
        <v>45505</v>
      </c>
      <c r="S1596" s="3">
        <v>1939200</v>
      </c>
      <c r="T1596" s="3">
        <v>17.260000000000002</v>
      </c>
    </row>
    <row r="1597" spans="1:20" x14ac:dyDescent="0.3">
      <c r="A1597" s="1">
        <v>45516</v>
      </c>
      <c r="B1597" s="2" t="s">
        <v>20</v>
      </c>
      <c r="C1597" s="2" t="s">
        <v>112</v>
      </c>
      <c r="D1597" s="2" t="s">
        <v>42</v>
      </c>
      <c r="E1597" s="2" t="s">
        <v>43</v>
      </c>
      <c r="F1597" s="2" t="s">
        <v>24</v>
      </c>
      <c r="G1597">
        <v>3</v>
      </c>
      <c r="H1597">
        <v>135</v>
      </c>
      <c r="I1597">
        <v>103</v>
      </c>
      <c r="J1597" s="3">
        <v>137400</v>
      </c>
      <c r="K1597" s="3">
        <v>14152200</v>
      </c>
      <c r="L1597" s="2" t="s">
        <v>33</v>
      </c>
      <c r="M1597" s="2" t="s">
        <v>26</v>
      </c>
      <c r="N1597">
        <v>2024</v>
      </c>
      <c r="O1597" s="2" t="s">
        <v>148</v>
      </c>
      <c r="P1597" s="2" t="s">
        <v>150</v>
      </c>
      <c r="Q1597">
        <v>8</v>
      </c>
      <c r="R1597" s="4">
        <v>45505</v>
      </c>
      <c r="S1597" s="3">
        <v>137400</v>
      </c>
      <c r="T1597" s="3">
        <v>1.42</v>
      </c>
    </row>
    <row r="1598" spans="1:20" x14ac:dyDescent="0.3">
      <c r="A1598" s="1">
        <v>45516</v>
      </c>
      <c r="B1598" s="2" t="s">
        <v>48</v>
      </c>
      <c r="C1598" s="2" t="s">
        <v>49</v>
      </c>
      <c r="D1598" s="2" t="s">
        <v>22</v>
      </c>
      <c r="E1598" s="2" t="s">
        <v>23</v>
      </c>
      <c r="F1598" s="2" t="s">
        <v>39</v>
      </c>
      <c r="G1598">
        <v>82</v>
      </c>
      <c r="H1598">
        <v>520</v>
      </c>
      <c r="I1598">
        <v>12</v>
      </c>
      <c r="J1598" s="3">
        <v>7182500</v>
      </c>
      <c r="K1598" s="3">
        <v>86190000</v>
      </c>
      <c r="L1598" s="2" t="s">
        <v>33</v>
      </c>
      <c r="M1598" s="2" t="s">
        <v>26</v>
      </c>
      <c r="N1598">
        <v>2024</v>
      </c>
      <c r="O1598" s="2" t="s">
        <v>148</v>
      </c>
      <c r="P1598" s="2" t="s">
        <v>150</v>
      </c>
      <c r="Q1598">
        <v>8</v>
      </c>
      <c r="R1598" s="4">
        <v>45505</v>
      </c>
      <c r="S1598" s="3">
        <v>7182500</v>
      </c>
      <c r="T1598" s="3">
        <v>8.6199999999999992</v>
      </c>
    </row>
    <row r="1599" spans="1:20" x14ac:dyDescent="0.3">
      <c r="A1599" s="1">
        <v>45516</v>
      </c>
      <c r="B1599" s="2" t="s">
        <v>46</v>
      </c>
      <c r="C1599" s="2" t="s">
        <v>56</v>
      </c>
      <c r="D1599" s="2" t="s">
        <v>70</v>
      </c>
      <c r="E1599" s="2" t="s">
        <v>74</v>
      </c>
      <c r="F1599" s="2" t="s">
        <v>24</v>
      </c>
      <c r="G1599">
        <v>25</v>
      </c>
      <c r="H1599">
        <v>32</v>
      </c>
      <c r="I1599">
        <v>165</v>
      </c>
      <c r="J1599" s="3">
        <v>1037000</v>
      </c>
      <c r="K1599" s="3">
        <v>171105000</v>
      </c>
      <c r="L1599" s="2" t="s">
        <v>33</v>
      </c>
      <c r="M1599" s="2" t="s">
        <v>26</v>
      </c>
      <c r="N1599">
        <v>2024</v>
      </c>
      <c r="O1599" s="2" t="s">
        <v>148</v>
      </c>
      <c r="P1599" s="2" t="s">
        <v>150</v>
      </c>
      <c r="Q1599">
        <v>8</v>
      </c>
      <c r="R1599" s="4">
        <v>45505</v>
      </c>
      <c r="S1599" s="3">
        <v>1037000</v>
      </c>
      <c r="T1599" s="3">
        <v>17.11</v>
      </c>
    </row>
    <row r="1600" spans="1:20" x14ac:dyDescent="0.3">
      <c r="A1600" s="1">
        <v>45517</v>
      </c>
      <c r="B1600" s="2" t="s">
        <v>75</v>
      </c>
      <c r="C1600" s="2" t="s">
        <v>134</v>
      </c>
      <c r="D1600" s="2" t="s">
        <v>57</v>
      </c>
      <c r="E1600" s="2" t="s">
        <v>58</v>
      </c>
      <c r="F1600" s="2" t="s">
        <v>72</v>
      </c>
      <c r="G1600">
        <v>72</v>
      </c>
      <c r="H1600">
        <v>488</v>
      </c>
      <c r="I1600">
        <v>94</v>
      </c>
      <c r="J1600" s="3">
        <v>4675300</v>
      </c>
      <c r="K1600" s="3">
        <v>439478200</v>
      </c>
      <c r="L1600" s="2" t="s">
        <v>92</v>
      </c>
      <c r="M1600" s="2" t="s">
        <v>97</v>
      </c>
      <c r="N1600">
        <v>2024</v>
      </c>
      <c r="O1600" s="2" t="s">
        <v>148</v>
      </c>
      <c r="P1600" s="2" t="s">
        <v>150</v>
      </c>
      <c r="Q1600">
        <v>8</v>
      </c>
      <c r="R1600" s="4">
        <v>45505</v>
      </c>
      <c r="S1600" s="3">
        <v>4675300</v>
      </c>
      <c r="T1600" s="3">
        <v>43.95</v>
      </c>
    </row>
    <row r="1601" spans="1:20" x14ac:dyDescent="0.3">
      <c r="A1601" s="1">
        <v>45518</v>
      </c>
      <c r="B1601" s="2" t="s">
        <v>35</v>
      </c>
      <c r="C1601" s="2" t="s">
        <v>121</v>
      </c>
      <c r="D1601" s="2" t="s">
        <v>31</v>
      </c>
      <c r="E1601" s="2" t="s">
        <v>32</v>
      </c>
      <c r="F1601" s="2" t="s">
        <v>24</v>
      </c>
      <c r="G1601">
        <v>4</v>
      </c>
      <c r="H1601">
        <v>195</v>
      </c>
      <c r="I1601">
        <v>47</v>
      </c>
      <c r="J1601" s="3">
        <v>145900</v>
      </c>
      <c r="K1601" s="3">
        <v>6857300</v>
      </c>
      <c r="L1601" s="2" t="s">
        <v>33</v>
      </c>
      <c r="M1601" s="2" t="s">
        <v>34</v>
      </c>
      <c r="N1601">
        <v>2024</v>
      </c>
      <c r="O1601" s="2" t="s">
        <v>148</v>
      </c>
      <c r="P1601" s="2" t="s">
        <v>150</v>
      </c>
      <c r="Q1601">
        <v>8</v>
      </c>
      <c r="R1601" s="4">
        <v>45505</v>
      </c>
      <c r="S1601" s="3">
        <v>145900</v>
      </c>
      <c r="T1601" s="3">
        <v>0.69</v>
      </c>
    </row>
    <row r="1602" spans="1:20" x14ac:dyDescent="0.3">
      <c r="A1602" s="1">
        <v>45518</v>
      </c>
      <c r="B1602" s="2" t="s">
        <v>35</v>
      </c>
      <c r="C1602" s="2" t="s">
        <v>87</v>
      </c>
      <c r="D1602" s="2" t="s">
        <v>54</v>
      </c>
      <c r="E1602" s="2" t="s">
        <v>55</v>
      </c>
      <c r="F1602" s="2" t="s">
        <v>24</v>
      </c>
      <c r="G1602">
        <v>30</v>
      </c>
      <c r="H1602">
        <v>320</v>
      </c>
      <c r="I1602">
        <v>65</v>
      </c>
      <c r="J1602" s="3">
        <v>1601900</v>
      </c>
      <c r="K1602" s="3">
        <v>104123500</v>
      </c>
      <c r="L1602" s="2" t="s">
        <v>33</v>
      </c>
      <c r="M1602" s="2" t="s">
        <v>26</v>
      </c>
      <c r="N1602">
        <v>2024</v>
      </c>
      <c r="O1602" s="2" t="s">
        <v>148</v>
      </c>
      <c r="P1602" s="2" t="s">
        <v>150</v>
      </c>
      <c r="Q1602">
        <v>8</v>
      </c>
      <c r="R1602" s="4">
        <v>45505</v>
      </c>
      <c r="S1602" s="3">
        <v>1601900</v>
      </c>
      <c r="T1602" s="3">
        <v>10.41</v>
      </c>
    </row>
    <row r="1603" spans="1:20" x14ac:dyDescent="0.3">
      <c r="A1603" s="1">
        <v>45519</v>
      </c>
      <c r="B1603" s="2" t="s">
        <v>35</v>
      </c>
      <c r="C1603" s="2" t="s">
        <v>132</v>
      </c>
      <c r="D1603" s="2" t="s">
        <v>37</v>
      </c>
      <c r="E1603" s="2" t="s">
        <v>38</v>
      </c>
      <c r="F1603" s="2" t="s">
        <v>24</v>
      </c>
      <c r="G1603">
        <v>66</v>
      </c>
      <c r="H1603">
        <v>423</v>
      </c>
      <c r="I1603">
        <v>15</v>
      </c>
      <c r="J1603" s="3">
        <v>7058600</v>
      </c>
      <c r="K1603" s="3">
        <v>105879000</v>
      </c>
      <c r="L1603" s="2" t="s">
        <v>33</v>
      </c>
      <c r="M1603" s="2" t="s">
        <v>77</v>
      </c>
      <c r="N1603">
        <v>2024</v>
      </c>
      <c r="O1603" s="2" t="s">
        <v>148</v>
      </c>
      <c r="P1603" s="2" t="s">
        <v>150</v>
      </c>
      <c r="Q1603">
        <v>8</v>
      </c>
      <c r="R1603" s="4">
        <v>45505</v>
      </c>
      <c r="S1603" s="3">
        <v>7058600</v>
      </c>
      <c r="T1603" s="3">
        <v>10.59</v>
      </c>
    </row>
    <row r="1604" spans="1:20" x14ac:dyDescent="0.3">
      <c r="A1604" s="1">
        <v>45519</v>
      </c>
      <c r="B1604" s="2" t="s">
        <v>40</v>
      </c>
      <c r="C1604" s="2" t="s">
        <v>105</v>
      </c>
      <c r="D1604" s="2" t="s">
        <v>42</v>
      </c>
      <c r="E1604" s="2" t="s">
        <v>43</v>
      </c>
      <c r="F1604" s="2" t="s">
        <v>24</v>
      </c>
      <c r="G1604">
        <v>3</v>
      </c>
      <c r="H1604">
        <v>135</v>
      </c>
      <c r="I1604">
        <v>102</v>
      </c>
      <c r="J1604" s="3">
        <v>119200</v>
      </c>
      <c r="K1604" s="3">
        <v>12158400</v>
      </c>
      <c r="L1604" s="2" t="s">
        <v>25</v>
      </c>
      <c r="M1604" s="2" t="s">
        <v>77</v>
      </c>
      <c r="N1604">
        <v>2024</v>
      </c>
      <c r="O1604" s="2" t="s">
        <v>148</v>
      </c>
      <c r="P1604" s="2" t="s">
        <v>150</v>
      </c>
      <c r="Q1604">
        <v>8</v>
      </c>
      <c r="R1604" s="4">
        <v>45505</v>
      </c>
      <c r="S1604" s="3">
        <v>119200</v>
      </c>
      <c r="T1604" s="3">
        <v>1.22</v>
      </c>
    </row>
    <row r="1605" spans="1:20" x14ac:dyDescent="0.3">
      <c r="A1605" s="1">
        <v>45519</v>
      </c>
      <c r="B1605" s="2" t="s">
        <v>35</v>
      </c>
      <c r="C1605" s="2" t="s">
        <v>87</v>
      </c>
      <c r="D1605" s="2" t="s">
        <v>67</v>
      </c>
      <c r="E1605" s="2" t="s">
        <v>118</v>
      </c>
      <c r="F1605" s="2" t="s">
        <v>24</v>
      </c>
      <c r="G1605">
        <v>84</v>
      </c>
      <c r="H1605">
        <v>590</v>
      </c>
      <c r="I1605">
        <v>21</v>
      </c>
      <c r="J1605" s="3">
        <v>6904500</v>
      </c>
      <c r="K1605" s="3">
        <v>144994500</v>
      </c>
      <c r="L1605" s="2" t="s">
        <v>33</v>
      </c>
      <c r="M1605" s="2" t="s">
        <v>97</v>
      </c>
      <c r="N1605">
        <v>2024</v>
      </c>
      <c r="O1605" s="2" t="s">
        <v>148</v>
      </c>
      <c r="P1605" s="2" t="s">
        <v>150</v>
      </c>
      <c r="Q1605">
        <v>8</v>
      </c>
      <c r="R1605" s="4">
        <v>45505</v>
      </c>
      <c r="S1605" s="3">
        <v>6904500</v>
      </c>
      <c r="T1605" s="3">
        <v>14.5</v>
      </c>
    </row>
    <row r="1606" spans="1:20" x14ac:dyDescent="0.3">
      <c r="A1606" s="1">
        <v>45520</v>
      </c>
      <c r="B1606" s="2" t="s">
        <v>44</v>
      </c>
      <c r="C1606" s="2" t="s">
        <v>142</v>
      </c>
      <c r="D1606" s="2" t="s">
        <v>79</v>
      </c>
      <c r="E1606" s="2" t="s">
        <v>80</v>
      </c>
      <c r="F1606" s="2" t="s">
        <v>24</v>
      </c>
      <c r="G1606">
        <v>69</v>
      </c>
      <c r="H1606">
        <v>418</v>
      </c>
      <c r="I1606">
        <v>16</v>
      </c>
      <c r="J1606" s="3">
        <v>5402600</v>
      </c>
      <c r="K1606" s="3">
        <v>86441600</v>
      </c>
      <c r="L1606" s="2" t="s">
        <v>33</v>
      </c>
      <c r="M1606" s="2" t="s">
        <v>34</v>
      </c>
      <c r="N1606">
        <v>2024</v>
      </c>
      <c r="O1606" s="2" t="s">
        <v>148</v>
      </c>
      <c r="P1606" s="2" t="s">
        <v>150</v>
      </c>
      <c r="Q1606">
        <v>8</v>
      </c>
      <c r="R1606" s="4">
        <v>45505</v>
      </c>
      <c r="S1606" s="3">
        <v>5402600</v>
      </c>
      <c r="T1606" s="3">
        <v>8.64</v>
      </c>
    </row>
    <row r="1607" spans="1:20" x14ac:dyDescent="0.3">
      <c r="A1607" s="1">
        <v>45520</v>
      </c>
      <c r="B1607" s="2" t="s">
        <v>44</v>
      </c>
      <c r="C1607" s="2" t="s">
        <v>117</v>
      </c>
      <c r="D1607" s="2" t="s">
        <v>63</v>
      </c>
      <c r="E1607" s="2" t="s">
        <v>64</v>
      </c>
      <c r="F1607" s="2" t="s">
        <v>24</v>
      </c>
      <c r="G1607">
        <v>3</v>
      </c>
      <c r="H1607">
        <v>127</v>
      </c>
      <c r="I1607">
        <v>174</v>
      </c>
      <c r="J1607" s="3">
        <v>186500</v>
      </c>
      <c r="K1607" s="3">
        <v>32451000</v>
      </c>
      <c r="L1607" s="2" t="s">
        <v>92</v>
      </c>
      <c r="M1607" s="2" t="s">
        <v>26</v>
      </c>
      <c r="N1607">
        <v>2024</v>
      </c>
      <c r="O1607" s="2" t="s">
        <v>148</v>
      </c>
      <c r="P1607" s="2" t="s">
        <v>150</v>
      </c>
      <c r="Q1607">
        <v>8</v>
      </c>
      <c r="R1607" s="4">
        <v>45505</v>
      </c>
      <c r="S1607" s="3">
        <v>186500</v>
      </c>
      <c r="T1607" s="3">
        <v>3.25</v>
      </c>
    </row>
    <row r="1608" spans="1:20" x14ac:dyDescent="0.3">
      <c r="A1608" s="1">
        <v>45521</v>
      </c>
      <c r="B1608" s="2" t="s">
        <v>40</v>
      </c>
      <c r="C1608" s="2" t="s">
        <v>105</v>
      </c>
      <c r="D1608" s="2" t="s">
        <v>54</v>
      </c>
      <c r="E1608" s="2" t="s">
        <v>55</v>
      </c>
      <c r="F1608" s="2" t="s">
        <v>24</v>
      </c>
      <c r="G1608">
        <v>30</v>
      </c>
      <c r="H1608">
        <v>320</v>
      </c>
      <c r="I1608">
        <v>23</v>
      </c>
      <c r="J1608" s="3">
        <v>1642500</v>
      </c>
      <c r="K1608" s="3">
        <v>37777500</v>
      </c>
      <c r="L1608" s="2" t="s">
        <v>33</v>
      </c>
      <c r="M1608" s="2" t="s">
        <v>26</v>
      </c>
      <c r="N1608">
        <v>2024</v>
      </c>
      <c r="O1608" s="2" t="s">
        <v>148</v>
      </c>
      <c r="P1608" s="2" t="s">
        <v>150</v>
      </c>
      <c r="Q1608">
        <v>8</v>
      </c>
      <c r="R1608" s="4">
        <v>45505</v>
      </c>
      <c r="S1608" s="3">
        <v>1642500</v>
      </c>
      <c r="T1608" s="3">
        <v>3.78</v>
      </c>
    </row>
    <row r="1609" spans="1:20" x14ac:dyDescent="0.3">
      <c r="A1609" s="1">
        <v>45521</v>
      </c>
      <c r="B1609" s="2" t="s">
        <v>20</v>
      </c>
      <c r="C1609" s="2" t="s">
        <v>21</v>
      </c>
      <c r="D1609" s="2" t="s">
        <v>50</v>
      </c>
      <c r="E1609" s="2" t="s">
        <v>51</v>
      </c>
      <c r="F1609" s="2" t="s">
        <v>39</v>
      </c>
      <c r="G1609">
        <v>77</v>
      </c>
      <c r="H1609">
        <v>528</v>
      </c>
      <c r="I1609">
        <v>38</v>
      </c>
      <c r="J1609" s="3">
        <v>4859700</v>
      </c>
      <c r="K1609" s="3">
        <v>184668600</v>
      </c>
      <c r="L1609" s="2" t="s">
        <v>33</v>
      </c>
      <c r="M1609" s="2" t="s">
        <v>34</v>
      </c>
      <c r="N1609">
        <v>2024</v>
      </c>
      <c r="O1609" s="2" t="s">
        <v>148</v>
      </c>
      <c r="P1609" s="2" t="s">
        <v>150</v>
      </c>
      <c r="Q1609">
        <v>8</v>
      </c>
      <c r="R1609" s="4">
        <v>45505</v>
      </c>
      <c r="S1609" s="3">
        <v>4859700</v>
      </c>
      <c r="T1609" s="3">
        <v>18.47</v>
      </c>
    </row>
    <row r="1610" spans="1:20" x14ac:dyDescent="0.3">
      <c r="A1610" s="1">
        <v>45522</v>
      </c>
      <c r="B1610" s="2" t="s">
        <v>20</v>
      </c>
      <c r="C1610" s="2" t="s">
        <v>125</v>
      </c>
      <c r="D1610" s="2" t="s">
        <v>100</v>
      </c>
      <c r="E1610" s="2" t="s">
        <v>101</v>
      </c>
      <c r="F1610" s="2" t="s">
        <v>24</v>
      </c>
      <c r="G1610">
        <v>3</v>
      </c>
      <c r="H1610">
        <v>150</v>
      </c>
      <c r="I1610">
        <v>170</v>
      </c>
      <c r="J1610" s="3">
        <v>137000</v>
      </c>
      <c r="K1610" s="3">
        <v>23290000</v>
      </c>
      <c r="L1610" s="2" t="s">
        <v>25</v>
      </c>
      <c r="M1610" s="2" t="s">
        <v>26</v>
      </c>
      <c r="N1610">
        <v>2024</v>
      </c>
      <c r="O1610" s="2" t="s">
        <v>148</v>
      </c>
      <c r="P1610" s="2" t="s">
        <v>150</v>
      </c>
      <c r="Q1610">
        <v>8</v>
      </c>
      <c r="R1610" s="4">
        <v>45505</v>
      </c>
      <c r="S1610" s="3">
        <v>137000</v>
      </c>
      <c r="T1610" s="3">
        <v>2.33</v>
      </c>
    </row>
    <row r="1611" spans="1:20" x14ac:dyDescent="0.3">
      <c r="A1611" s="1">
        <v>45522</v>
      </c>
      <c r="B1611" s="2" t="s">
        <v>75</v>
      </c>
      <c r="C1611" s="2" t="s">
        <v>122</v>
      </c>
      <c r="D1611" s="2" t="s">
        <v>22</v>
      </c>
      <c r="E1611" s="2" t="s">
        <v>23</v>
      </c>
      <c r="F1611" s="2" t="s">
        <v>72</v>
      </c>
      <c r="G1611">
        <v>82</v>
      </c>
      <c r="H1611">
        <v>520</v>
      </c>
      <c r="I1611">
        <v>46</v>
      </c>
      <c r="J1611" s="3">
        <v>7073300</v>
      </c>
      <c r="K1611" s="3">
        <v>325371800</v>
      </c>
      <c r="L1611" s="2" t="s">
        <v>33</v>
      </c>
      <c r="M1611" s="2" t="s">
        <v>26</v>
      </c>
      <c r="N1611">
        <v>2024</v>
      </c>
      <c r="O1611" s="2" t="s">
        <v>148</v>
      </c>
      <c r="P1611" s="2" t="s">
        <v>150</v>
      </c>
      <c r="Q1611">
        <v>8</v>
      </c>
      <c r="R1611" s="4">
        <v>45505</v>
      </c>
      <c r="S1611" s="3">
        <v>7073300</v>
      </c>
      <c r="T1611" s="3">
        <v>32.54</v>
      </c>
    </row>
    <row r="1612" spans="1:20" x14ac:dyDescent="0.3">
      <c r="A1612" s="1">
        <v>45522</v>
      </c>
      <c r="B1612" s="2" t="s">
        <v>48</v>
      </c>
      <c r="C1612" s="2" t="s">
        <v>69</v>
      </c>
      <c r="D1612" s="2" t="s">
        <v>22</v>
      </c>
      <c r="E1612" s="2" t="s">
        <v>23</v>
      </c>
      <c r="F1612" s="2" t="s">
        <v>138</v>
      </c>
      <c r="G1612">
        <v>82</v>
      </c>
      <c r="H1612">
        <v>520</v>
      </c>
      <c r="I1612">
        <v>64</v>
      </c>
      <c r="J1612" s="3">
        <v>6352200</v>
      </c>
      <c r="K1612" s="3">
        <v>406540800</v>
      </c>
      <c r="L1612" s="2" t="s">
        <v>33</v>
      </c>
      <c r="M1612" s="2" t="s">
        <v>26</v>
      </c>
      <c r="N1612">
        <v>2024</v>
      </c>
      <c r="O1612" s="2" t="s">
        <v>148</v>
      </c>
      <c r="P1612" s="2" t="s">
        <v>150</v>
      </c>
      <c r="Q1612">
        <v>8</v>
      </c>
      <c r="R1612" s="4">
        <v>45505</v>
      </c>
      <c r="S1612" s="3">
        <v>6352200</v>
      </c>
      <c r="T1612" s="3">
        <v>40.65</v>
      </c>
    </row>
    <row r="1613" spans="1:20" x14ac:dyDescent="0.3">
      <c r="A1613" s="1">
        <v>45523</v>
      </c>
      <c r="B1613" s="2" t="s">
        <v>90</v>
      </c>
      <c r="C1613" s="2" t="s">
        <v>128</v>
      </c>
      <c r="D1613" s="2" t="s">
        <v>67</v>
      </c>
      <c r="E1613" s="2" t="s">
        <v>68</v>
      </c>
      <c r="F1613" s="2" t="s">
        <v>24</v>
      </c>
      <c r="G1613">
        <v>66</v>
      </c>
      <c r="H1613">
        <v>440</v>
      </c>
      <c r="I1613">
        <v>45</v>
      </c>
      <c r="J1613" s="3">
        <v>6489800</v>
      </c>
      <c r="K1613" s="3">
        <v>292041000</v>
      </c>
      <c r="L1613" s="2" t="s">
        <v>33</v>
      </c>
      <c r="M1613" s="2" t="s">
        <v>26</v>
      </c>
      <c r="N1613">
        <v>2024</v>
      </c>
      <c r="O1613" s="2" t="s">
        <v>148</v>
      </c>
      <c r="P1613" s="2" t="s">
        <v>150</v>
      </c>
      <c r="Q1613">
        <v>8</v>
      </c>
      <c r="R1613" s="4">
        <v>45505</v>
      </c>
      <c r="S1613" s="3">
        <v>6489800</v>
      </c>
      <c r="T1613" s="3">
        <v>29.2</v>
      </c>
    </row>
    <row r="1614" spans="1:20" x14ac:dyDescent="0.3">
      <c r="A1614" s="1">
        <v>45523</v>
      </c>
      <c r="B1614" s="2" t="s">
        <v>48</v>
      </c>
      <c r="C1614" s="2" t="s">
        <v>49</v>
      </c>
      <c r="D1614" s="2" t="s">
        <v>82</v>
      </c>
      <c r="E1614" s="2" t="s">
        <v>141</v>
      </c>
      <c r="F1614" s="2" t="s">
        <v>24</v>
      </c>
      <c r="G1614">
        <v>59</v>
      </c>
      <c r="H1614">
        <v>55</v>
      </c>
      <c r="I1614">
        <v>96</v>
      </c>
      <c r="J1614" s="3">
        <v>2784200</v>
      </c>
      <c r="K1614" s="3">
        <v>267283200</v>
      </c>
      <c r="L1614" s="2" t="s">
        <v>33</v>
      </c>
      <c r="M1614" s="2" t="s">
        <v>77</v>
      </c>
      <c r="N1614">
        <v>2024</v>
      </c>
      <c r="O1614" s="2" t="s">
        <v>148</v>
      </c>
      <c r="P1614" s="2" t="s">
        <v>150</v>
      </c>
      <c r="Q1614">
        <v>8</v>
      </c>
      <c r="R1614" s="4">
        <v>45505</v>
      </c>
      <c r="S1614" s="3">
        <v>2784200</v>
      </c>
      <c r="T1614" s="3">
        <v>26.73</v>
      </c>
    </row>
    <row r="1615" spans="1:20" x14ac:dyDescent="0.3">
      <c r="A1615" s="1">
        <v>45524</v>
      </c>
      <c r="B1615" s="2" t="s">
        <v>52</v>
      </c>
      <c r="C1615" s="2" t="s">
        <v>66</v>
      </c>
      <c r="D1615" s="2" t="s">
        <v>67</v>
      </c>
      <c r="E1615" s="2" t="s">
        <v>118</v>
      </c>
      <c r="F1615" s="2" t="s">
        <v>72</v>
      </c>
      <c r="G1615">
        <v>84</v>
      </c>
      <c r="H1615">
        <v>590</v>
      </c>
      <c r="I1615">
        <v>23</v>
      </c>
      <c r="J1615" s="3">
        <v>7067600</v>
      </c>
      <c r="K1615" s="3">
        <v>162554800</v>
      </c>
      <c r="L1615" s="2" t="s">
        <v>33</v>
      </c>
      <c r="M1615" s="2" t="s">
        <v>26</v>
      </c>
      <c r="N1615">
        <v>2024</v>
      </c>
      <c r="O1615" s="2" t="s">
        <v>148</v>
      </c>
      <c r="P1615" s="2" t="s">
        <v>150</v>
      </c>
      <c r="Q1615">
        <v>8</v>
      </c>
      <c r="R1615" s="4">
        <v>45505</v>
      </c>
      <c r="S1615" s="3">
        <v>7067600</v>
      </c>
      <c r="T1615" s="3">
        <v>16.260000000000002</v>
      </c>
    </row>
    <row r="1616" spans="1:20" x14ac:dyDescent="0.3">
      <c r="A1616" s="1">
        <v>45524</v>
      </c>
      <c r="B1616" s="2" t="s">
        <v>44</v>
      </c>
      <c r="C1616" s="2" t="s">
        <v>142</v>
      </c>
      <c r="D1616" s="2" t="s">
        <v>50</v>
      </c>
      <c r="E1616" s="2" t="s">
        <v>51</v>
      </c>
      <c r="F1616" s="2" t="s">
        <v>24</v>
      </c>
      <c r="G1616">
        <v>77</v>
      </c>
      <c r="H1616">
        <v>528</v>
      </c>
      <c r="I1616">
        <v>76</v>
      </c>
      <c r="J1616" s="3">
        <v>5372900</v>
      </c>
      <c r="K1616" s="3">
        <v>408340400</v>
      </c>
      <c r="L1616" s="2" t="s">
        <v>33</v>
      </c>
      <c r="M1616" s="2" t="s">
        <v>26</v>
      </c>
      <c r="N1616">
        <v>2024</v>
      </c>
      <c r="O1616" s="2" t="s">
        <v>148</v>
      </c>
      <c r="P1616" s="2" t="s">
        <v>150</v>
      </c>
      <c r="Q1616">
        <v>8</v>
      </c>
      <c r="R1616" s="4">
        <v>45505</v>
      </c>
      <c r="S1616" s="3">
        <v>5372900</v>
      </c>
      <c r="T1616" s="3">
        <v>40.83</v>
      </c>
    </row>
    <row r="1617" spans="1:20" x14ac:dyDescent="0.3">
      <c r="A1617" s="1">
        <v>45525</v>
      </c>
      <c r="B1617" s="2" t="s">
        <v>48</v>
      </c>
      <c r="C1617" s="2" t="s">
        <v>73</v>
      </c>
      <c r="D1617" s="2" t="s">
        <v>70</v>
      </c>
      <c r="E1617" s="2" t="s">
        <v>71</v>
      </c>
      <c r="F1617" s="2" t="s">
        <v>24</v>
      </c>
      <c r="G1617">
        <v>50</v>
      </c>
      <c r="H1617">
        <v>46</v>
      </c>
      <c r="I1617">
        <v>82</v>
      </c>
      <c r="J1617" s="3">
        <v>2243600</v>
      </c>
      <c r="K1617" s="3">
        <v>183975200</v>
      </c>
      <c r="L1617" s="2" t="s">
        <v>33</v>
      </c>
      <c r="M1617" s="2" t="s">
        <v>77</v>
      </c>
      <c r="N1617">
        <v>2024</v>
      </c>
      <c r="O1617" s="2" t="s">
        <v>148</v>
      </c>
      <c r="P1617" s="2" t="s">
        <v>150</v>
      </c>
      <c r="Q1617">
        <v>8</v>
      </c>
      <c r="R1617" s="4">
        <v>45505</v>
      </c>
      <c r="S1617" s="3">
        <v>2243600</v>
      </c>
      <c r="T1617" s="3">
        <v>18.399999999999999</v>
      </c>
    </row>
    <row r="1618" spans="1:20" x14ac:dyDescent="0.3">
      <c r="A1618" s="1">
        <v>45525</v>
      </c>
      <c r="B1618" s="2" t="s">
        <v>90</v>
      </c>
      <c r="C1618" s="2" t="s">
        <v>91</v>
      </c>
      <c r="D1618" s="2" t="s">
        <v>37</v>
      </c>
      <c r="E1618" s="2" t="s">
        <v>38</v>
      </c>
      <c r="F1618" s="2" t="s">
        <v>24</v>
      </c>
      <c r="G1618">
        <v>66</v>
      </c>
      <c r="H1618">
        <v>423</v>
      </c>
      <c r="I1618">
        <v>70</v>
      </c>
      <c r="J1618" s="3">
        <v>7630800</v>
      </c>
      <c r="K1618" s="3">
        <v>534156000</v>
      </c>
      <c r="L1618" s="2" t="s">
        <v>33</v>
      </c>
      <c r="M1618" s="2" t="s">
        <v>26</v>
      </c>
      <c r="N1618">
        <v>2024</v>
      </c>
      <c r="O1618" s="2" t="s">
        <v>148</v>
      </c>
      <c r="P1618" s="2" t="s">
        <v>150</v>
      </c>
      <c r="Q1618">
        <v>8</v>
      </c>
      <c r="R1618" s="4">
        <v>45505</v>
      </c>
      <c r="S1618" s="3">
        <v>7630800</v>
      </c>
      <c r="T1618" s="3">
        <v>53.42</v>
      </c>
    </row>
    <row r="1619" spans="1:20" x14ac:dyDescent="0.3">
      <c r="A1619" s="1">
        <v>45525</v>
      </c>
      <c r="B1619" s="2" t="s">
        <v>40</v>
      </c>
      <c r="C1619" s="2" t="s">
        <v>105</v>
      </c>
      <c r="D1619" s="2" t="s">
        <v>102</v>
      </c>
      <c r="E1619" s="2" t="s">
        <v>103</v>
      </c>
      <c r="F1619" s="2" t="s">
        <v>24</v>
      </c>
      <c r="G1619">
        <v>5</v>
      </c>
      <c r="H1619">
        <v>150</v>
      </c>
      <c r="I1619">
        <v>147</v>
      </c>
      <c r="J1619" s="3">
        <v>141400</v>
      </c>
      <c r="K1619" s="3">
        <v>20785800</v>
      </c>
      <c r="L1619" s="2" t="s">
        <v>33</v>
      </c>
      <c r="M1619" s="2" t="s">
        <v>26</v>
      </c>
      <c r="N1619">
        <v>2024</v>
      </c>
      <c r="O1619" s="2" t="s">
        <v>148</v>
      </c>
      <c r="P1619" s="2" t="s">
        <v>150</v>
      </c>
      <c r="Q1619">
        <v>8</v>
      </c>
      <c r="R1619" s="4">
        <v>45505</v>
      </c>
      <c r="S1619" s="3">
        <v>141400</v>
      </c>
      <c r="T1619" s="3">
        <v>2.08</v>
      </c>
    </row>
    <row r="1620" spans="1:20" x14ac:dyDescent="0.3">
      <c r="A1620" s="1">
        <v>45526</v>
      </c>
      <c r="B1620" s="2" t="s">
        <v>40</v>
      </c>
      <c r="C1620" s="2" t="s">
        <v>105</v>
      </c>
      <c r="D1620" s="2" t="s">
        <v>22</v>
      </c>
      <c r="E1620" s="2" t="s">
        <v>23</v>
      </c>
      <c r="F1620" s="2" t="s">
        <v>24</v>
      </c>
      <c r="G1620">
        <v>82</v>
      </c>
      <c r="H1620">
        <v>520</v>
      </c>
      <c r="I1620">
        <v>11</v>
      </c>
      <c r="J1620" s="3">
        <v>5928600</v>
      </c>
      <c r="K1620" s="3">
        <v>65214600</v>
      </c>
      <c r="L1620" s="2" t="s">
        <v>33</v>
      </c>
      <c r="M1620" s="2" t="s">
        <v>26</v>
      </c>
      <c r="N1620">
        <v>2024</v>
      </c>
      <c r="O1620" s="2" t="s">
        <v>148</v>
      </c>
      <c r="P1620" s="2" t="s">
        <v>150</v>
      </c>
      <c r="Q1620">
        <v>8</v>
      </c>
      <c r="R1620" s="4">
        <v>45505</v>
      </c>
      <c r="S1620" s="3">
        <v>5928600</v>
      </c>
      <c r="T1620" s="3">
        <v>6.52</v>
      </c>
    </row>
    <row r="1621" spans="1:20" x14ac:dyDescent="0.3">
      <c r="A1621" s="1">
        <v>45526</v>
      </c>
      <c r="B1621" s="2" t="s">
        <v>48</v>
      </c>
      <c r="C1621" s="2" t="s">
        <v>69</v>
      </c>
      <c r="D1621" s="2" t="s">
        <v>79</v>
      </c>
      <c r="E1621" s="2" t="s">
        <v>80</v>
      </c>
      <c r="F1621" s="2" t="s">
        <v>72</v>
      </c>
      <c r="G1621">
        <v>69</v>
      </c>
      <c r="H1621">
        <v>418</v>
      </c>
      <c r="I1621">
        <v>6</v>
      </c>
      <c r="J1621" s="3">
        <v>5888700</v>
      </c>
      <c r="K1621" s="3">
        <v>35332200</v>
      </c>
      <c r="L1621" s="2" t="s">
        <v>33</v>
      </c>
      <c r="M1621" s="2" t="s">
        <v>77</v>
      </c>
      <c r="N1621">
        <v>2024</v>
      </c>
      <c r="O1621" s="2" t="s">
        <v>148</v>
      </c>
      <c r="P1621" s="2" t="s">
        <v>150</v>
      </c>
      <c r="Q1621">
        <v>8</v>
      </c>
      <c r="R1621" s="4">
        <v>45505</v>
      </c>
      <c r="S1621" s="3">
        <v>5888700</v>
      </c>
      <c r="T1621" s="3">
        <v>3.53</v>
      </c>
    </row>
    <row r="1622" spans="1:20" x14ac:dyDescent="0.3">
      <c r="A1622" s="1">
        <v>45526</v>
      </c>
      <c r="B1622" s="2" t="s">
        <v>46</v>
      </c>
      <c r="C1622" s="2" t="s">
        <v>110</v>
      </c>
      <c r="D1622" s="2" t="s">
        <v>67</v>
      </c>
      <c r="E1622" s="2" t="s">
        <v>68</v>
      </c>
      <c r="F1622" s="2" t="s">
        <v>24</v>
      </c>
      <c r="G1622">
        <v>66</v>
      </c>
      <c r="H1622">
        <v>440</v>
      </c>
      <c r="I1622">
        <v>58</v>
      </c>
      <c r="J1622" s="3">
        <v>5357600</v>
      </c>
      <c r="K1622" s="3">
        <v>310740800</v>
      </c>
      <c r="L1622" s="2" t="s">
        <v>33</v>
      </c>
      <c r="M1622" s="2" t="s">
        <v>77</v>
      </c>
      <c r="N1622">
        <v>2024</v>
      </c>
      <c r="O1622" s="2" t="s">
        <v>148</v>
      </c>
      <c r="P1622" s="2" t="s">
        <v>150</v>
      </c>
      <c r="Q1622">
        <v>8</v>
      </c>
      <c r="R1622" s="4">
        <v>45505</v>
      </c>
      <c r="S1622" s="3">
        <v>5357600</v>
      </c>
      <c r="T1622" s="3">
        <v>31.07</v>
      </c>
    </row>
    <row r="1623" spans="1:20" x14ac:dyDescent="0.3">
      <c r="A1623" s="1">
        <v>45526</v>
      </c>
      <c r="B1623" s="2" t="s">
        <v>48</v>
      </c>
      <c r="C1623" s="2" t="s">
        <v>49</v>
      </c>
      <c r="D1623" s="2" t="s">
        <v>57</v>
      </c>
      <c r="E1623" s="2" t="s">
        <v>58</v>
      </c>
      <c r="F1623" s="2" t="s">
        <v>24</v>
      </c>
      <c r="G1623">
        <v>72</v>
      </c>
      <c r="H1623">
        <v>488</v>
      </c>
      <c r="I1623">
        <v>80</v>
      </c>
      <c r="J1623" s="3">
        <v>5033900</v>
      </c>
      <c r="K1623" s="3">
        <v>402712000</v>
      </c>
      <c r="L1623" s="2" t="s">
        <v>33</v>
      </c>
      <c r="M1623" s="2" t="s">
        <v>26</v>
      </c>
      <c r="N1623">
        <v>2024</v>
      </c>
      <c r="O1623" s="2" t="s">
        <v>148</v>
      </c>
      <c r="P1623" s="2" t="s">
        <v>150</v>
      </c>
      <c r="Q1623">
        <v>8</v>
      </c>
      <c r="R1623" s="4">
        <v>45505</v>
      </c>
      <c r="S1623" s="3">
        <v>5033900</v>
      </c>
      <c r="T1623" s="3">
        <v>40.270000000000003</v>
      </c>
    </row>
    <row r="1624" spans="1:20" x14ac:dyDescent="0.3">
      <c r="A1624" s="1">
        <v>45527</v>
      </c>
      <c r="B1624" s="2" t="s">
        <v>46</v>
      </c>
      <c r="C1624" s="2" t="s">
        <v>137</v>
      </c>
      <c r="D1624" s="2" t="s">
        <v>82</v>
      </c>
      <c r="E1624" s="2" t="s">
        <v>141</v>
      </c>
      <c r="F1624" s="2" t="s">
        <v>24</v>
      </c>
      <c r="G1624">
        <v>59</v>
      </c>
      <c r="H1624">
        <v>55</v>
      </c>
      <c r="I1624">
        <v>28</v>
      </c>
      <c r="J1624" s="3">
        <v>2610100</v>
      </c>
      <c r="K1624" s="3">
        <v>73082800</v>
      </c>
      <c r="L1624" s="2" t="s">
        <v>33</v>
      </c>
      <c r="M1624" s="2" t="s">
        <v>26</v>
      </c>
      <c r="N1624">
        <v>2024</v>
      </c>
      <c r="O1624" s="2" t="s">
        <v>148</v>
      </c>
      <c r="P1624" s="2" t="s">
        <v>150</v>
      </c>
      <c r="Q1624">
        <v>8</v>
      </c>
      <c r="R1624" s="4">
        <v>45505</v>
      </c>
      <c r="S1624" s="3">
        <v>2610100</v>
      </c>
      <c r="T1624" s="3">
        <v>7.31</v>
      </c>
    </row>
    <row r="1625" spans="1:20" x14ac:dyDescent="0.3">
      <c r="A1625" s="1">
        <v>45527</v>
      </c>
      <c r="B1625" s="2" t="s">
        <v>40</v>
      </c>
      <c r="C1625" s="2" t="s">
        <v>136</v>
      </c>
      <c r="D1625" s="2" t="s">
        <v>88</v>
      </c>
      <c r="E1625" s="2" t="s">
        <v>111</v>
      </c>
      <c r="F1625" s="2" t="s">
        <v>24</v>
      </c>
      <c r="G1625">
        <v>60</v>
      </c>
      <c r="H1625">
        <v>480</v>
      </c>
      <c r="I1625">
        <v>40</v>
      </c>
      <c r="J1625" s="3">
        <v>3628000</v>
      </c>
      <c r="K1625" s="3">
        <v>145120000</v>
      </c>
      <c r="L1625" s="2" t="s">
        <v>25</v>
      </c>
      <c r="M1625" s="2" t="s">
        <v>26</v>
      </c>
      <c r="N1625">
        <v>2024</v>
      </c>
      <c r="O1625" s="2" t="s">
        <v>148</v>
      </c>
      <c r="P1625" s="2" t="s">
        <v>150</v>
      </c>
      <c r="Q1625">
        <v>8</v>
      </c>
      <c r="R1625" s="4">
        <v>45505</v>
      </c>
      <c r="S1625" s="3">
        <v>3628000</v>
      </c>
      <c r="T1625" s="3">
        <v>14.51</v>
      </c>
    </row>
    <row r="1626" spans="1:20" x14ac:dyDescent="0.3">
      <c r="A1626" s="1">
        <v>45527</v>
      </c>
      <c r="B1626" s="2" t="s">
        <v>40</v>
      </c>
      <c r="C1626" s="2" t="s">
        <v>136</v>
      </c>
      <c r="D1626" s="2" t="s">
        <v>94</v>
      </c>
      <c r="E1626" s="2" t="s">
        <v>140</v>
      </c>
      <c r="F1626" s="2" t="s">
        <v>138</v>
      </c>
      <c r="G1626">
        <v>35</v>
      </c>
      <c r="H1626">
        <v>32</v>
      </c>
      <c r="I1626">
        <v>58</v>
      </c>
      <c r="J1626" s="3">
        <v>2187000</v>
      </c>
      <c r="K1626" s="3">
        <v>126846000</v>
      </c>
      <c r="L1626" s="2" t="s">
        <v>33</v>
      </c>
      <c r="M1626" s="2" t="s">
        <v>26</v>
      </c>
      <c r="N1626">
        <v>2024</v>
      </c>
      <c r="O1626" s="2" t="s">
        <v>148</v>
      </c>
      <c r="P1626" s="2" t="s">
        <v>150</v>
      </c>
      <c r="Q1626">
        <v>8</v>
      </c>
      <c r="R1626" s="4">
        <v>45505</v>
      </c>
      <c r="S1626" s="3">
        <v>2187000</v>
      </c>
      <c r="T1626" s="3">
        <v>12.68</v>
      </c>
    </row>
    <row r="1627" spans="1:20" x14ac:dyDescent="0.3">
      <c r="A1627" s="1">
        <v>45527</v>
      </c>
      <c r="B1627" s="2" t="s">
        <v>35</v>
      </c>
      <c r="C1627" s="2" t="s">
        <v>121</v>
      </c>
      <c r="D1627" s="2" t="s">
        <v>94</v>
      </c>
      <c r="E1627" s="2" t="s">
        <v>115</v>
      </c>
      <c r="F1627" s="2" t="s">
        <v>24</v>
      </c>
      <c r="G1627">
        <v>24</v>
      </c>
      <c r="H1627">
        <v>24</v>
      </c>
      <c r="I1627">
        <v>176</v>
      </c>
      <c r="J1627" s="3">
        <v>1240500</v>
      </c>
      <c r="K1627" s="3">
        <v>218328000</v>
      </c>
      <c r="L1627" s="2" t="s">
        <v>92</v>
      </c>
      <c r="M1627" s="2" t="s">
        <v>26</v>
      </c>
      <c r="N1627">
        <v>2024</v>
      </c>
      <c r="O1627" s="2" t="s">
        <v>148</v>
      </c>
      <c r="P1627" s="2" t="s">
        <v>150</v>
      </c>
      <c r="Q1627">
        <v>8</v>
      </c>
      <c r="R1627" s="4">
        <v>45505</v>
      </c>
      <c r="S1627" s="3">
        <v>1240500</v>
      </c>
      <c r="T1627" s="3">
        <v>21.83</v>
      </c>
    </row>
    <row r="1628" spans="1:20" x14ac:dyDescent="0.3">
      <c r="A1628" s="1">
        <v>45527</v>
      </c>
      <c r="B1628" s="2" t="s">
        <v>106</v>
      </c>
      <c r="C1628" s="2" t="s">
        <v>120</v>
      </c>
      <c r="D1628" s="2" t="s">
        <v>67</v>
      </c>
      <c r="E1628" s="2" t="s">
        <v>68</v>
      </c>
      <c r="F1628" s="2" t="s">
        <v>72</v>
      </c>
      <c r="G1628">
        <v>66</v>
      </c>
      <c r="H1628">
        <v>440</v>
      </c>
      <c r="I1628">
        <v>28</v>
      </c>
      <c r="J1628" s="3">
        <v>5585100</v>
      </c>
      <c r="K1628" s="3">
        <v>156382800</v>
      </c>
      <c r="L1628" s="2" t="s">
        <v>33</v>
      </c>
      <c r="M1628" s="2" t="s">
        <v>34</v>
      </c>
      <c r="N1628">
        <v>2024</v>
      </c>
      <c r="O1628" s="2" t="s">
        <v>148</v>
      </c>
      <c r="P1628" s="2" t="s">
        <v>150</v>
      </c>
      <c r="Q1628">
        <v>8</v>
      </c>
      <c r="R1628" s="4">
        <v>45505</v>
      </c>
      <c r="S1628" s="3">
        <v>5585100</v>
      </c>
      <c r="T1628" s="3">
        <v>15.64</v>
      </c>
    </row>
    <row r="1629" spans="1:20" x14ac:dyDescent="0.3">
      <c r="A1629" s="1">
        <v>45527</v>
      </c>
      <c r="B1629" s="2" t="s">
        <v>35</v>
      </c>
      <c r="C1629" s="2" t="s">
        <v>87</v>
      </c>
      <c r="D1629" s="2" t="s">
        <v>100</v>
      </c>
      <c r="E1629" s="2" t="s">
        <v>101</v>
      </c>
      <c r="F1629" s="2" t="s">
        <v>24</v>
      </c>
      <c r="G1629">
        <v>3</v>
      </c>
      <c r="H1629">
        <v>150</v>
      </c>
      <c r="I1629">
        <v>60</v>
      </c>
      <c r="J1629" s="3">
        <v>168800</v>
      </c>
      <c r="K1629" s="3">
        <v>10128000</v>
      </c>
      <c r="L1629" s="2" t="s">
        <v>33</v>
      </c>
      <c r="M1629" s="2" t="s">
        <v>26</v>
      </c>
      <c r="N1629">
        <v>2024</v>
      </c>
      <c r="O1629" s="2" t="s">
        <v>148</v>
      </c>
      <c r="P1629" s="2" t="s">
        <v>150</v>
      </c>
      <c r="Q1629">
        <v>8</v>
      </c>
      <c r="R1629" s="4">
        <v>45505</v>
      </c>
      <c r="S1629" s="3">
        <v>168800</v>
      </c>
      <c r="T1629" s="3">
        <v>1.01</v>
      </c>
    </row>
    <row r="1630" spans="1:20" x14ac:dyDescent="0.3">
      <c r="A1630" s="1">
        <v>45528</v>
      </c>
      <c r="B1630" s="2" t="s">
        <v>20</v>
      </c>
      <c r="C1630" s="2" t="s">
        <v>21</v>
      </c>
      <c r="D1630" s="2" t="s">
        <v>79</v>
      </c>
      <c r="E1630" s="2" t="s">
        <v>80</v>
      </c>
      <c r="F1630" s="2" t="s">
        <v>24</v>
      </c>
      <c r="G1630">
        <v>69</v>
      </c>
      <c r="H1630">
        <v>418</v>
      </c>
      <c r="I1630">
        <v>12</v>
      </c>
      <c r="J1630" s="3">
        <v>5818000</v>
      </c>
      <c r="K1630" s="3">
        <v>69816000</v>
      </c>
      <c r="L1630" s="2" t="s">
        <v>33</v>
      </c>
      <c r="M1630" s="2" t="s">
        <v>26</v>
      </c>
      <c r="N1630">
        <v>2024</v>
      </c>
      <c r="O1630" s="2" t="s">
        <v>148</v>
      </c>
      <c r="P1630" s="2" t="s">
        <v>150</v>
      </c>
      <c r="Q1630">
        <v>8</v>
      </c>
      <c r="R1630" s="4">
        <v>45505</v>
      </c>
      <c r="S1630" s="3">
        <v>5818000</v>
      </c>
      <c r="T1630" s="3">
        <v>6.98</v>
      </c>
    </row>
    <row r="1631" spans="1:20" x14ac:dyDescent="0.3">
      <c r="A1631" s="1">
        <v>45528</v>
      </c>
      <c r="B1631" s="2" t="s">
        <v>84</v>
      </c>
      <c r="C1631" s="2" t="s">
        <v>85</v>
      </c>
      <c r="D1631" s="2" t="s">
        <v>102</v>
      </c>
      <c r="E1631" s="2" t="s">
        <v>103</v>
      </c>
      <c r="F1631" s="2" t="s">
        <v>24</v>
      </c>
      <c r="G1631">
        <v>5</v>
      </c>
      <c r="H1631">
        <v>150</v>
      </c>
      <c r="I1631">
        <v>132</v>
      </c>
      <c r="J1631" s="3">
        <v>158100</v>
      </c>
      <c r="K1631" s="3">
        <v>20869200</v>
      </c>
      <c r="L1631" s="2" t="s">
        <v>25</v>
      </c>
      <c r="M1631" s="2" t="s">
        <v>26</v>
      </c>
      <c r="N1631">
        <v>2024</v>
      </c>
      <c r="O1631" s="2" t="s">
        <v>148</v>
      </c>
      <c r="P1631" s="2" t="s">
        <v>150</v>
      </c>
      <c r="Q1631">
        <v>8</v>
      </c>
      <c r="R1631" s="4">
        <v>45505</v>
      </c>
      <c r="S1631" s="3">
        <v>158100</v>
      </c>
      <c r="T1631" s="3">
        <v>2.09</v>
      </c>
    </row>
    <row r="1632" spans="1:20" x14ac:dyDescent="0.3">
      <c r="A1632" s="1">
        <v>45528</v>
      </c>
      <c r="B1632" s="2" t="s">
        <v>59</v>
      </c>
      <c r="C1632" s="2" t="s">
        <v>81</v>
      </c>
      <c r="D1632" s="2" t="s">
        <v>37</v>
      </c>
      <c r="E1632" s="2" t="s">
        <v>38</v>
      </c>
      <c r="F1632" s="2" t="s">
        <v>72</v>
      </c>
      <c r="G1632">
        <v>66</v>
      </c>
      <c r="H1632">
        <v>423</v>
      </c>
      <c r="I1632">
        <v>63</v>
      </c>
      <c r="J1632" s="3">
        <v>7711300</v>
      </c>
      <c r="K1632" s="3">
        <v>485811900</v>
      </c>
      <c r="L1632" s="2" t="s">
        <v>33</v>
      </c>
      <c r="M1632" s="2" t="s">
        <v>26</v>
      </c>
      <c r="N1632">
        <v>2024</v>
      </c>
      <c r="O1632" s="2" t="s">
        <v>148</v>
      </c>
      <c r="P1632" s="2" t="s">
        <v>150</v>
      </c>
      <c r="Q1632">
        <v>8</v>
      </c>
      <c r="R1632" s="4">
        <v>45505</v>
      </c>
      <c r="S1632" s="3">
        <v>7711300</v>
      </c>
      <c r="T1632" s="3">
        <v>48.58</v>
      </c>
    </row>
    <row r="1633" spans="1:20" x14ac:dyDescent="0.3">
      <c r="A1633" s="1">
        <v>45528</v>
      </c>
      <c r="B1633" s="2" t="s">
        <v>106</v>
      </c>
      <c r="C1633" s="2" t="s">
        <v>119</v>
      </c>
      <c r="D1633" s="2" t="s">
        <v>70</v>
      </c>
      <c r="E1633" s="2" t="s">
        <v>71</v>
      </c>
      <c r="F1633" s="2" t="s">
        <v>24</v>
      </c>
      <c r="G1633">
        <v>50</v>
      </c>
      <c r="H1633">
        <v>46</v>
      </c>
      <c r="I1633">
        <v>171</v>
      </c>
      <c r="J1633" s="3">
        <v>2277600</v>
      </c>
      <c r="K1633" s="3">
        <v>389469600</v>
      </c>
      <c r="L1633" s="2" t="s">
        <v>25</v>
      </c>
      <c r="M1633" s="2" t="s">
        <v>77</v>
      </c>
      <c r="N1633">
        <v>2024</v>
      </c>
      <c r="O1633" s="2" t="s">
        <v>148</v>
      </c>
      <c r="P1633" s="2" t="s">
        <v>150</v>
      </c>
      <c r="Q1633">
        <v>8</v>
      </c>
      <c r="R1633" s="4">
        <v>45505</v>
      </c>
      <c r="S1633" s="3">
        <v>2277600</v>
      </c>
      <c r="T1633" s="3">
        <v>38.950000000000003</v>
      </c>
    </row>
    <row r="1634" spans="1:20" x14ac:dyDescent="0.3">
      <c r="A1634" s="1">
        <v>45528</v>
      </c>
      <c r="B1634" s="2" t="s">
        <v>84</v>
      </c>
      <c r="C1634" s="2" t="s">
        <v>93</v>
      </c>
      <c r="D1634" s="2" t="s">
        <v>63</v>
      </c>
      <c r="E1634" s="2" t="s">
        <v>64</v>
      </c>
      <c r="F1634" s="2" t="s">
        <v>24</v>
      </c>
      <c r="G1634">
        <v>3</v>
      </c>
      <c r="H1634">
        <v>127</v>
      </c>
      <c r="I1634">
        <v>41</v>
      </c>
      <c r="J1634" s="3">
        <v>148100</v>
      </c>
      <c r="K1634" s="3">
        <v>6072100</v>
      </c>
      <c r="L1634" s="2" t="s">
        <v>33</v>
      </c>
      <c r="M1634" s="2" t="s">
        <v>34</v>
      </c>
      <c r="N1634">
        <v>2024</v>
      </c>
      <c r="O1634" s="2" t="s">
        <v>148</v>
      </c>
      <c r="P1634" s="2" t="s">
        <v>150</v>
      </c>
      <c r="Q1634">
        <v>8</v>
      </c>
      <c r="R1634" s="4">
        <v>45505</v>
      </c>
      <c r="S1634" s="3">
        <v>148100</v>
      </c>
      <c r="T1634" s="3">
        <v>0.61</v>
      </c>
    </row>
    <row r="1635" spans="1:20" x14ac:dyDescent="0.3">
      <c r="A1635" s="1">
        <v>45529</v>
      </c>
      <c r="B1635" s="2" t="s">
        <v>90</v>
      </c>
      <c r="C1635" s="2" t="s">
        <v>128</v>
      </c>
      <c r="D1635" s="2" t="s">
        <v>94</v>
      </c>
      <c r="E1635" s="2" t="s">
        <v>140</v>
      </c>
      <c r="F1635" s="2" t="s">
        <v>39</v>
      </c>
      <c r="G1635">
        <v>35</v>
      </c>
      <c r="H1635">
        <v>32</v>
      </c>
      <c r="I1635">
        <v>135</v>
      </c>
      <c r="J1635" s="3">
        <v>1865800</v>
      </c>
      <c r="K1635" s="3">
        <v>251883000</v>
      </c>
      <c r="L1635" s="2" t="s">
        <v>25</v>
      </c>
      <c r="M1635" s="2" t="s">
        <v>26</v>
      </c>
      <c r="N1635">
        <v>2024</v>
      </c>
      <c r="O1635" s="2" t="s">
        <v>148</v>
      </c>
      <c r="P1635" s="2" t="s">
        <v>150</v>
      </c>
      <c r="Q1635">
        <v>8</v>
      </c>
      <c r="R1635" s="4">
        <v>45505</v>
      </c>
      <c r="S1635" s="3">
        <v>1865800</v>
      </c>
      <c r="T1635" s="3">
        <v>25.19</v>
      </c>
    </row>
    <row r="1636" spans="1:20" x14ac:dyDescent="0.3">
      <c r="A1636" s="1">
        <v>45529</v>
      </c>
      <c r="B1636" s="2" t="s">
        <v>40</v>
      </c>
      <c r="C1636" s="2" t="s">
        <v>136</v>
      </c>
      <c r="D1636" s="2" t="s">
        <v>54</v>
      </c>
      <c r="E1636" s="2" t="s">
        <v>55</v>
      </c>
      <c r="F1636" s="2" t="s">
        <v>24</v>
      </c>
      <c r="G1636">
        <v>30</v>
      </c>
      <c r="H1636">
        <v>320</v>
      </c>
      <c r="I1636">
        <v>67</v>
      </c>
      <c r="J1636" s="3">
        <v>1523200</v>
      </c>
      <c r="K1636" s="3">
        <v>102054400</v>
      </c>
      <c r="L1636" s="2" t="s">
        <v>33</v>
      </c>
      <c r="M1636" s="2" t="s">
        <v>77</v>
      </c>
      <c r="N1636">
        <v>2024</v>
      </c>
      <c r="O1636" s="2" t="s">
        <v>148</v>
      </c>
      <c r="P1636" s="2" t="s">
        <v>150</v>
      </c>
      <c r="Q1636">
        <v>8</v>
      </c>
      <c r="R1636" s="4">
        <v>45505</v>
      </c>
      <c r="S1636" s="3">
        <v>1523200</v>
      </c>
      <c r="T1636" s="3">
        <v>10.210000000000001</v>
      </c>
    </row>
    <row r="1637" spans="1:20" x14ac:dyDescent="0.3">
      <c r="A1637" s="1">
        <v>45529</v>
      </c>
      <c r="B1637" s="2" t="s">
        <v>44</v>
      </c>
      <c r="C1637" s="2" t="s">
        <v>45</v>
      </c>
      <c r="D1637" s="2" t="s">
        <v>94</v>
      </c>
      <c r="E1637" s="2" t="s">
        <v>95</v>
      </c>
      <c r="F1637" s="2" t="s">
        <v>24</v>
      </c>
      <c r="G1637">
        <v>40</v>
      </c>
      <c r="H1637">
        <v>30</v>
      </c>
      <c r="I1637">
        <v>27</v>
      </c>
      <c r="J1637" s="3">
        <v>2521500</v>
      </c>
      <c r="K1637" s="3">
        <v>68080500</v>
      </c>
      <c r="L1637" s="2" t="s">
        <v>25</v>
      </c>
      <c r="M1637" s="2" t="s">
        <v>26</v>
      </c>
      <c r="N1637">
        <v>2024</v>
      </c>
      <c r="O1637" s="2" t="s">
        <v>148</v>
      </c>
      <c r="P1637" s="2" t="s">
        <v>150</v>
      </c>
      <c r="Q1637">
        <v>8</v>
      </c>
      <c r="R1637" s="4">
        <v>45505</v>
      </c>
      <c r="S1637" s="3">
        <v>2521500</v>
      </c>
      <c r="T1637" s="3">
        <v>6.81</v>
      </c>
    </row>
    <row r="1638" spans="1:20" x14ac:dyDescent="0.3">
      <c r="A1638" s="1">
        <v>45529</v>
      </c>
      <c r="B1638" s="2" t="s">
        <v>84</v>
      </c>
      <c r="C1638" s="2" t="s">
        <v>113</v>
      </c>
      <c r="D1638" s="2" t="s">
        <v>82</v>
      </c>
      <c r="E1638" s="2" t="s">
        <v>141</v>
      </c>
      <c r="F1638" s="2" t="s">
        <v>24</v>
      </c>
      <c r="G1638">
        <v>59</v>
      </c>
      <c r="H1638">
        <v>55</v>
      </c>
      <c r="I1638">
        <v>82</v>
      </c>
      <c r="J1638" s="3">
        <v>2534000</v>
      </c>
      <c r="K1638" s="3">
        <v>207788000</v>
      </c>
      <c r="L1638" s="2" t="s">
        <v>33</v>
      </c>
      <c r="M1638" s="2" t="s">
        <v>34</v>
      </c>
      <c r="N1638">
        <v>2024</v>
      </c>
      <c r="O1638" s="2" t="s">
        <v>148</v>
      </c>
      <c r="P1638" s="2" t="s">
        <v>150</v>
      </c>
      <c r="Q1638">
        <v>8</v>
      </c>
      <c r="R1638" s="4">
        <v>45505</v>
      </c>
      <c r="S1638" s="3">
        <v>2534000</v>
      </c>
      <c r="T1638" s="3">
        <v>20.78</v>
      </c>
    </row>
    <row r="1639" spans="1:20" x14ac:dyDescent="0.3">
      <c r="A1639" s="1">
        <v>45530</v>
      </c>
      <c r="B1639" s="2" t="s">
        <v>46</v>
      </c>
      <c r="C1639" s="2" t="s">
        <v>137</v>
      </c>
      <c r="D1639" s="2" t="s">
        <v>70</v>
      </c>
      <c r="E1639" s="2" t="s">
        <v>71</v>
      </c>
      <c r="F1639" s="2" t="s">
        <v>138</v>
      </c>
      <c r="G1639">
        <v>50</v>
      </c>
      <c r="H1639">
        <v>46</v>
      </c>
      <c r="I1639">
        <v>87</v>
      </c>
      <c r="J1639" s="3">
        <v>2194500</v>
      </c>
      <c r="K1639" s="3">
        <v>190921500</v>
      </c>
      <c r="L1639" s="2" t="s">
        <v>33</v>
      </c>
      <c r="M1639" s="2" t="s">
        <v>34</v>
      </c>
      <c r="N1639">
        <v>2024</v>
      </c>
      <c r="O1639" s="2" t="s">
        <v>148</v>
      </c>
      <c r="P1639" s="2" t="s">
        <v>150</v>
      </c>
      <c r="Q1639">
        <v>8</v>
      </c>
      <c r="R1639" s="4">
        <v>45505</v>
      </c>
      <c r="S1639" s="3">
        <v>2194500</v>
      </c>
      <c r="T1639" s="3">
        <v>19.09</v>
      </c>
    </row>
    <row r="1640" spans="1:20" x14ac:dyDescent="0.3">
      <c r="A1640" s="1">
        <v>45530</v>
      </c>
      <c r="B1640" s="2" t="s">
        <v>84</v>
      </c>
      <c r="C1640" s="2" t="s">
        <v>93</v>
      </c>
      <c r="D1640" s="2" t="s">
        <v>82</v>
      </c>
      <c r="E1640" s="2" t="s">
        <v>83</v>
      </c>
      <c r="F1640" s="2" t="s">
        <v>39</v>
      </c>
      <c r="G1640">
        <v>40</v>
      </c>
      <c r="H1640">
        <v>39</v>
      </c>
      <c r="I1640">
        <v>84</v>
      </c>
      <c r="J1640" s="3">
        <v>1977900</v>
      </c>
      <c r="K1640" s="3">
        <v>166143600</v>
      </c>
      <c r="L1640" s="2" t="s">
        <v>92</v>
      </c>
      <c r="M1640" s="2" t="s">
        <v>77</v>
      </c>
      <c r="N1640">
        <v>2024</v>
      </c>
      <c r="O1640" s="2" t="s">
        <v>148</v>
      </c>
      <c r="P1640" s="2" t="s">
        <v>150</v>
      </c>
      <c r="Q1640">
        <v>8</v>
      </c>
      <c r="R1640" s="4">
        <v>45505</v>
      </c>
      <c r="S1640" s="3">
        <v>1977900</v>
      </c>
      <c r="T1640" s="3">
        <v>16.61</v>
      </c>
    </row>
    <row r="1641" spans="1:20" x14ac:dyDescent="0.3">
      <c r="A1641" s="1">
        <v>45530</v>
      </c>
      <c r="B1641" s="2" t="s">
        <v>108</v>
      </c>
      <c r="C1641" s="2" t="s">
        <v>131</v>
      </c>
      <c r="D1641" s="2" t="s">
        <v>54</v>
      </c>
      <c r="E1641" s="2" t="s">
        <v>55</v>
      </c>
      <c r="F1641" s="2" t="s">
        <v>24</v>
      </c>
      <c r="G1641">
        <v>30</v>
      </c>
      <c r="H1641">
        <v>320</v>
      </c>
      <c r="I1641">
        <v>61</v>
      </c>
      <c r="J1641" s="3">
        <v>1409900</v>
      </c>
      <c r="K1641" s="3">
        <v>86003900</v>
      </c>
      <c r="L1641" s="2" t="s">
        <v>92</v>
      </c>
      <c r="M1641" s="2" t="s">
        <v>77</v>
      </c>
      <c r="N1641">
        <v>2024</v>
      </c>
      <c r="O1641" s="2" t="s">
        <v>148</v>
      </c>
      <c r="P1641" s="2" t="s">
        <v>150</v>
      </c>
      <c r="Q1641">
        <v>8</v>
      </c>
      <c r="R1641" s="4">
        <v>45505</v>
      </c>
      <c r="S1641" s="3">
        <v>1409900</v>
      </c>
      <c r="T1641" s="3">
        <v>8.6</v>
      </c>
    </row>
    <row r="1642" spans="1:20" x14ac:dyDescent="0.3">
      <c r="A1642" s="1">
        <v>45531</v>
      </c>
      <c r="B1642" s="2" t="s">
        <v>75</v>
      </c>
      <c r="C1642" s="2" t="s">
        <v>134</v>
      </c>
      <c r="D1642" s="2" t="s">
        <v>94</v>
      </c>
      <c r="E1642" s="2" t="s">
        <v>95</v>
      </c>
      <c r="F1642" s="2" t="s">
        <v>24</v>
      </c>
      <c r="G1642">
        <v>40</v>
      </c>
      <c r="H1642">
        <v>30</v>
      </c>
      <c r="I1642">
        <v>179</v>
      </c>
      <c r="J1642" s="3">
        <v>2470100</v>
      </c>
      <c r="K1642" s="3">
        <v>442147900</v>
      </c>
      <c r="L1642" s="2" t="s">
        <v>33</v>
      </c>
      <c r="M1642" s="2" t="s">
        <v>26</v>
      </c>
      <c r="N1642">
        <v>2024</v>
      </c>
      <c r="O1642" s="2" t="s">
        <v>148</v>
      </c>
      <c r="P1642" s="2" t="s">
        <v>150</v>
      </c>
      <c r="Q1642">
        <v>8</v>
      </c>
      <c r="R1642" s="4">
        <v>45505</v>
      </c>
      <c r="S1642" s="3">
        <v>2470100</v>
      </c>
      <c r="T1642" s="3">
        <v>44.21</v>
      </c>
    </row>
    <row r="1643" spans="1:20" x14ac:dyDescent="0.3">
      <c r="A1643" s="1">
        <v>45531</v>
      </c>
      <c r="B1643" s="2" t="s">
        <v>29</v>
      </c>
      <c r="C1643" s="2" t="s">
        <v>96</v>
      </c>
      <c r="D1643" s="2" t="s">
        <v>88</v>
      </c>
      <c r="E1643" s="2" t="s">
        <v>111</v>
      </c>
      <c r="F1643" s="2" t="s">
        <v>24</v>
      </c>
      <c r="G1643">
        <v>60</v>
      </c>
      <c r="H1643">
        <v>480</v>
      </c>
      <c r="I1643">
        <v>31</v>
      </c>
      <c r="J1643" s="3">
        <v>3245200</v>
      </c>
      <c r="K1643" s="3">
        <v>100601200</v>
      </c>
      <c r="L1643" s="2" t="s">
        <v>33</v>
      </c>
      <c r="M1643" s="2" t="s">
        <v>77</v>
      </c>
      <c r="N1643">
        <v>2024</v>
      </c>
      <c r="O1643" s="2" t="s">
        <v>148</v>
      </c>
      <c r="P1643" s="2" t="s">
        <v>150</v>
      </c>
      <c r="Q1643">
        <v>8</v>
      </c>
      <c r="R1643" s="4">
        <v>45505</v>
      </c>
      <c r="S1643" s="3">
        <v>3245200</v>
      </c>
      <c r="T1643" s="3">
        <v>10.06</v>
      </c>
    </row>
    <row r="1644" spans="1:20" x14ac:dyDescent="0.3">
      <c r="A1644" s="1">
        <v>45531</v>
      </c>
      <c r="B1644" s="2" t="s">
        <v>40</v>
      </c>
      <c r="C1644" s="2" t="s">
        <v>41</v>
      </c>
      <c r="D1644" s="2" t="s">
        <v>22</v>
      </c>
      <c r="E1644" s="2" t="s">
        <v>23</v>
      </c>
      <c r="F1644" s="2" t="s">
        <v>24</v>
      </c>
      <c r="G1644">
        <v>82</v>
      </c>
      <c r="H1644">
        <v>520</v>
      </c>
      <c r="I1644">
        <v>61</v>
      </c>
      <c r="J1644" s="3">
        <v>6896000</v>
      </c>
      <c r="K1644" s="3">
        <v>420656000</v>
      </c>
      <c r="L1644" s="2" t="s">
        <v>25</v>
      </c>
      <c r="M1644" s="2" t="s">
        <v>26</v>
      </c>
      <c r="N1644">
        <v>2024</v>
      </c>
      <c r="O1644" s="2" t="s">
        <v>148</v>
      </c>
      <c r="P1644" s="2" t="s">
        <v>150</v>
      </c>
      <c r="Q1644">
        <v>8</v>
      </c>
      <c r="R1644" s="4">
        <v>45505</v>
      </c>
      <c r="S1644" s="3">
        <v>6896000</v>
      </c>
      <c r="T1644" s="3">
        <v>42.07</v>
      </c>
    </row>
    <row r="1645" spans="1:20" x14ac:dyDescent="0.3">
      <c r="A1645" s="1">
        <v>45531</v>
      </c>
      <c r="B1645" s="2" t="s">
        <v>108</v>
      </c>
      <c r="C1645" s="2" t="s">
        <v>123</v>
      </c>
      <c r="D1645" s="2" t="s">
        <v>50</v>
      </c>
      <c r="E1645" s="2" t="s">
        <v>51</v>
      </c>
      <c r="F1645" s="2" t="s">
        <v>39</v>
      </c>
      <c r="G1645">
        <v>77</v>
      </c>
      <c r="H1645">
        <v>528</v>
      </c>
      <c r="I1645">
        <v>22</v>
      </c>
      <c r="J1645" s="3">
        <v>4942100</v>
      </c>
      <c r="K1645" s="3">
        <v>108726200</v>
      </c>
      <c r="L1645" s="2" t="s">
        <v>33</v>
      </c>
      <c r="M1645" s="2" t="s">
        <v>26</v>
      </c>
      <c r="N1645">
        <v>2024</v>
      </c>
      <c r="O1645" s="2" t="s">
        <v>148</v>
      </c>
      <c r="P1645" s="2" t="s">
        <v>150</v>
      </c>
      <c r="Q1645">
        <v>8</v>
      </c>
      <c r="R1645" s="4">
        <v>45505</v>
      </c>
      <c r="S1645" s="3">
        <v>4942100</v>
      </c>
      <c r="T1645" s="3">
        <v>10.87</v>
      </c>
    </row>
    <row r="1646" spans="1:20" x14ac:dyDescent="0.3">
      <c r="A1646" s="1">
        <v>45532</v>
      </c>
      <c r="B1646" s="2" t="s">
        <v>44</v>
      </c>
      <c r="C1646" s="2" t="s">
        <v>45</v>
      </c>
      <c r="D1646" s="2" t="s">
        <v>31</v>
      </c>
      <c r="E1646" s="2" t="s">
        <v>124</v>
      </c>
      <c r="F1646" s="2" t="s">
        <v>24</v>
      </c>
      <c r="G1646">
        <v>3</v>
      </c>
      <c r="H1646">
        <v>151</v>
      </c>
      <c r="I1646">
        <v>28</v>
      </c>
      <c r="J1646" s="3">
        <v>122200</v>
      </c>
      <c r="K1646" s="3">
        <v>3421600</v>
      </c>
      <c r="L1646" s="2" t="s">
        <v>33</v>
      </c>
      <c r="M1646" s="2" t="s">
        <v>26</v>
      </c>
      <c r="N1646">
        <v>2024</v>
      </c>
      <c r="O1646" s="2" t="s">
        <v>148</v>
      </c>
      <c r="P1646" s="2" t="s">
        <v>150</v>
      </c>
      <c r="Q1646">
        <v>8</v>
      </c>
      <c r="R1646" s="4">
        <v>45505</v>
      </c>
      <c r="S1646" s="3">
        <v>122200</v>
      </c>
      <c r="T1646" s="3">
        <v>0.34</v>
      </c>
    </row>
    <row r="1647" spans="1:20" x14ac:dyDescent="0.3">
      <c r="A1647" s="1">
        <v>45532</v>
      </c>
      <c r="B1647" s="2" t="s">
        <v>52</v>
      </c>
      <c r="C1647" s="2" t="s">
        <v>66</v>
      </c>
      <c r="D1647" s="2" t="s">
        <v>79</v>
      </c>
      <c r="E1647" s="2" t="s">
        <v>80</v>
      </c>
      <c r="F1647" s="2" t="s">
        <v>24</v>
      </c>
      <c r="G1647">
        <v>69</v>
      </c>
      <c r="H1647">
        <v>418</v>
      </c>
      <c r="I1647">
        <v>66</v>
      </c>
      <c r="J1647" s="3">
        <v>6068600</v>
      </c>
      <c r="K1647" s="3">
        <v>400527600</v>
      </c>
      <c r="L1647" s="2" t="s">
        <v>92</v>
      </c>
      <c r="M1647" s="2" t="s">
        <v>34</v>
      </c>
      <c r="N1647">
        <v>2024</v>
      </c>
      <c r="O1647" s="2" t="s">
        <v>148</v>
      </c>
      <c r="P1647" s="2" t="s">
        <v>150</v>
      </c>
      <c r="Q1647">
        <v>8</v>
      </c>
      <c r="R1647" s="4">
        <v>45505</v>
      </c>
      <c r="S1647" s="3">
        <v>6068600</v>
      </c>
      <c r="T1647" s="3">
        <v>40.049999999999997</v>
      </c>
    </row>
    <row r="1648" spans="1:20" x14ac:dyDescent="0.3">
      <c r="A1648" s="1">
        <v>45532</v>
      </c>
      <c r="B1648" s="2" t="s">
        <v>20</v>
      </c>
      <c r="C1648" s="2" t="s">
        <v>125</v>
      </c>
      <c r="D1648" s="2" t="s">
        <v>37</v>
      </c>
      <c r="E1648" s="2" t="s">
        <v>38</v>
      </c>
      <c r="F1648" s="2" t="s">
        <v>24</v>
      </c>
      <c r="G1648">
        <v>66</v>
      </c>
      <c r="H1648">
        <v>423</v>
      </c>
      <c r="I1648">
        <v>44</v>
      </c>
      <c r="J1648" s="3">
        <v>7023900</v>
      </c>
      <c r="K1648" s="3">
        <v>309051600</v>
      </c>
      <c r="L1648" s="2" t="s">
        <v>25</v>
      </c>
      <c r="M1648" s="2" t="s">
        <v>77</v>
      </c>
      <c r="N1648">
        <v>2024</v>
      </c>
      <c r="O1648" s="2" t="s">
        <v>148</v>
      </c>
      <c r="P1648" s="2" t="s">
        <v>150</v>
      </c>
      <c r="Q1648">
        <v>8</v>
      </c>
      <c r="R1648" s="4">
        <v>45505</v>
      </c>
      <c r="S1648" s="3">
        <v>7023900</v>
      </c>
      <c r="T1648" s="3">
        <v>30.91</v>
      </c>
    </row>
    <row r="1649" spans="1:20" x14ac:dyDescent="0.3">
      <c r="A1649" s="1">
        <v>45532</v>
      </c>
      <c r="B1649" s="2" t="s">
        <v>75</v>
      </c>
      <c r="C1649" s="2" t="s">
        <v>122</v>
      </c>
      <c r="D1649" s="2" t="s">
        <v>31</v>
      </c>
      <c r="E1649" s="2" t="s">
        <v>124</v>
      </c>
      <c r="F1649" s="2" t="s">
        <v>24</v>
      </c>
      <c r="G1649">
        <v>3</v>
      </c>
      <c r="H1649">
        <v>151</v>
      </c>
      <c r="I1649">
        <v>89</v>
      </c>
      <c r="J1649" s="3">
        <v>119800</v>
      </c>
      <c r="K1649" s="3">
        <v>10662200</v>
      </c>
      <c r="L1649" s="2" t="s">
        <v>33</v>
      </c>
      <c r="M1649" s="2" t="s">
        <v>77</v>
      </c>
      <c r="N1649">
        <v>2024</v>
      </c>
      <c r="O1649" s="2" t="s">
        <v>148</v>
      </c>
      <c r="P1649" s="2" t="s">
        <v>150</v>
      </c>
      <c r="Q1649">
        <v>8</v>
      </c>
      <c r="R1649" s="4">
        <v>45505</v>
      </c>
      <c r="S1649" s="3">
        <v>119800</v>
      </c>
      <c r="T1649" s="3">
        <v>1.07</v>
      </c>
    </row>
    <row r="1650" spans="1:20" x14ac:dyDescent="0.3">
      <c r="A1650" s="1">
        <v>45533</v>
      </c>
      <c r="B1650" s="2" t="s">
        <v>29</v>
      </c>
      <c r="C1650" s="2" t="s">
        <v>96</v>
      </c>
      <c r="D1650" s="2" t="s">
        <v>50</v>
      </c>
      <c r="E1650" s="2" t="s">
        <v>51</v>
      </c>
      <c r="F1650" s="2" t="s">
        <v>24</v>
      </c>
      <c r="G1650">
        <v>77</v>
      </c>
      <c r="H1650">
        <v>528</v>
      </c>
      <c r="I1650">
        <v>71</v>
      </c>
      <c r="J1650" s="3">
        <v>4947200</v>
      </c>
      <c r="K1650" s="3">
        <v>351251200</v>
      </c>
      <c r="L1650" s="2" t="s">
        <v>33</v>
      </c>
      <c r="M1650" s="2" t="s">
        <v>26</v>
      </c>
      <c r="N1650">
        <v>2024</v>
      </c>
      <c r="O1650" s="2" t="s">
        <v>148</v>
      </c>
      <c r="P1650" s="2" t="s">
        <v>150</v>
      </c>
      <c r="Q1650">
        <v>8</v>
      </c>
      <c r="R1650" s="4">
        <v>45505</v>
      </c>
      <c r="S1650" s="3">
        <v>4947200</v>
      </c>
      <c r="T1650" s="3">
        <v>35.130000000000003</v>
      </c>
    </row>
    <row r="1651" spans="1:20" x14ac:dyDescent="0.3">
      <c r="A1651" s="1">
        <v>45533</v>
      </c>
      <c r="B1651" s="2" t="s">
        <v>61</v>
      </c>
      <c r="C1651" s="2" t="s">
        <v>62</v>
      </c>
      <c r="D1651" s="2" t="s">
        <v>63</v>
      </c>
      <c r="E1651" s="2" t="s">
        <v>64</v>
      </c>
      <c r="F1651" s="2" t="s">
        <v>24</v>
      </c>
      <c r="G1651">
        <v>3</v>
      </c>
      <c r="H1651">
        <v>127</v>
      </c>
      <c r="I1651">
        <v>42</v>
      </c>
      <c r="J1651" s="3">
        <v>173600</v>
      </c>
      <c r="K1651" s="3">
        <v>7291200</v>
      </c>
      <c r="L1651" s="2" t="s">
        <v>33</v>
      </c>
      <c r="M1651" s="2" t="s">
        <v>77</v>
      </c>
      <c r="N1651">
        <v>2024</v>
      </c>
      <c r="O1651" s="2" t="s">
        <v>148</v>
      </c>
      <c r="P1651" s="2" t="s">
        <v>150</v>
      </c>
      <c r="Q1651">
        <v>8</v>
      </c>
      <c r="R1651" s="4">
        <v>45505</v>
      </c>
      <c r="S1651" s="3">
        <v>173600</v>
      </c>
      <c r="T1651" s="3">
        <v>0.73</v>
      </c>
    </row>
    <row r="1652" spans="1:20" x14ac:dyDescent="0.3">
      <c r="A1652" s="1">
        <v>45533</v>
      </c>
      <c r="B1652" s="2" t="s">
        <v>40</v>
      </c>
      <c r="C1652" s="2" t="s">
        <v>105</v>
      </c>
      <c r="D1652" s="2" t="s">
        <v>37</v>
      </c>
      <c r="E1652" s="2" t="s">
        <v>38</v>
      </c>
      <c r="F1652" s="2" t="s">
        <v>24</v>
      </c>
      <c r="G1652">
        <v>66</v>
      </c>
      <c r="H1652">
        <v>423</v>
      </c>
      <c r="I1652">
        <v>27</v>
      </c>
      <c r="J1652" s="3">
        <v>8706400</v>
      </c>
      <c r="K1652" s="3">
        <v>235072800</v>
      </c>
      <c r="L1652" s="2" t="s">
        <v>33</v>
      </c>
      <c r="M1652" s="2" t="s">
        <v>34</v>
      </c>
      <c r="N1652">
        <v>2024</v>
      </c>
      <c r="O1652" s="2" t="s">
        <v>148</v>
      </c>
      <c r="P1652" s="2" t="s">
        <v>150</v>
      </c>
      <c r="Q1652">
        <v>8</v>
      </c>
      <c r="R1652" s="4">
        <v>45505</v>
      </c>
      <c r="S1652" s="3">
        <v>8706400</v>
      </c>
      <c r="T1652" s="3">
        <v>23.51</v>
      </c>
    </row>
    <row r="1653" spans="1:20" x14ac:dyDescent="0.3">
      <c r="A1653" s="1">
        <v>45534</v>
      </c>
      <c r="B1653" s="2" t="s">
        <v>40</v>
      </c>
      <c r="C1653" s="2" t="s">
        <v>136</v>
      </c>
      <c r="D1653" s="2" t="s">
        <v>67</v>
      </c>
      <c r="E1653" s="2" t="s">
        <v>68</v>
      </c>
      <c r="F1653" s="2" t="s">
        <v>138</v>
      </c>
      <c r="G1653">
        <v>66</v>
      </c>
      <c r="H1653">
        <v>440</v>
      </c>
      <c r="I1653">
        <v>74</v>
      </c>
      <c r="J1653" s="3">
        <v>6730600</v>
      </c>
      <c r="K1653" s="3">
        <v>498064400</v>
      </c>
      <c r="L1653" s="2" t="s">
        <v>33</v>
      </c>
      <c r="M1653" s="2" t="s">
        <v>26</v>
      </c>
      <c r="N1653">
        <v>2024</v>
      </c>
      <c r="O1653" s="2" t="s">
        <v>148</v>
      </c>
      <c r="P1653" s="2" t="s">
        <v>150</v>
      </c>
      <c r="Q1653">
        <v>8</v>
      </c>
      <c r="R1653" s="4">
        <v>45505</v>
      </c>
      <c r="S1653" s="3">
        <v>6730600</v>
      </c>
      <c r="T1653" s="3">
        <v>49.81</v>
      </c>
    </row>
    <row r="1654" spans="1:20" x14ac:dyDescent="0.3">
      <c r="A1654" s="1">
        <v>45534</v>
      </c>
      <c r="B1654" s="2" t="s">
        <v>46</v>
      </c>
      <c r="C1654" s="2" t="s">
        <v>137</v>
      </c>
      <c r="D1654" s="2" t="s">
        <v>88</v>
      </c>
      <c r="E1654" s="2" t="s">
        <v>89</v>
      </c>
      <c r="F1654" s="2" t="s">
        <v>24</v>
      </c>
      <c r="G1654">
        <v>82</v>
      </c>
      <c r="H1654">
        <v>580</v>
      </c>
      <c r="I1654">
        <v>52</v>
      </c>
      <c r="J1654" s="3">
        <v>4566300</v>
      </c>
      <c r="K1654" s="3">
        <v>237447600</v>
      </c>
      <c r="L1654" s="2" t="s">
        <v>25</v>
      </c>
      <c r="M1654" s="2" t="s">
        <v>26</v>
      </c>
      <c r="N1654">
        <v>2024</v>
      </c>
      <c r="O1654" s="2" t="s">
        <v>148</v>
      </c>
      <c r="P1654" s="2" t="s">
        <v>150</v>
      </c>
      <c r="Q1654">
        <v>8</v>
      </c>
      <c r="R1654" s="4">
        <v>45505</v>
      </c>
      <c r="S1654" s="3">
        <v>4566300</v>
      </c>
      <c r="T1654" s="3">
        <v>23.74</v>
      </c>
    </row>
    <row r="1655" spans="1:20" x14ac:dyDescent="0.3">
      <c r="A1655" s="1">
        <v>45534</v>
      </c>
      <c r="B1655" s="2" t="s">
        <v>44</v>
      </c>
      <c r="C1655" s="2" t="s">
        <v>45</v>
      </c>
      <c r="D1655" s="2" t="s">
        <v>37</v>
      </c>
      <c r="E1655" s="2" t="s">
        <v>38</v>
      </c>
      <c r="F1655" s="2" t="s">
        <v>72</v>
      </c>
      <c r="G1655">
        <v>66</v>
      </c>
      <c r="H1655">
        <v>423</v>
      </c>
      <c r="I1655">
        <v>64</v>
      </c>
      <c r="J1655" s="3">
        <v>8341000</v>
      </c>
      <c r="K1655" s="3">
        <v>533824000</v>
      </c>
      <c r="L1655" s="2" t="s">
        <v>33</v>
      </c>
      <c r="M1655" s="2" t="s">
        <v>26</v>
      </c>
      <c r="N1655">
        <v>2024</v>
      </c>
      <c r="O1655" s="2" t="s">
        <v>148</v>
      </c>
      <c r="P1655" s="2" t="s">
        <v>150</v>
      </c>
      <c r="Q1655">
        <v>8</v>
      </c>
      <c r="R1655" s="4">
        <v>45505</v>
      </c>
      <c r="S1655" s="3">
        <v>8341000</v>
      </c>
      <c r="T1655" s="3">
        <v>53.38</v>
      </c>
    </row>
    <row r="1656" spans="1:20" x14ac:dyDescent="0.3">
      <c r="A1656" s="1">
        <v>45535</v>
      </c>
      <c r="B1656" s="2" t="s">
        <v>44</v>
      </c>
      <c r="C1656" s="2" t="s">
        <v>142</v>
      </c>
      <c r="D1656" s="2" t="s">
        <v>50</v>
      </c>
      <c r="E1656" s="2" t="s">
        <v>51</v>
      </c>
      <c r="F1656" s="2" t="s">
        <v>72</v>
      </c>
      <c r="G1656">
        <v>77</v>
      </c>
      <c r="H1656">
        <v>528</v>
      </c>
      <c r="I1656">
        <v>45</v>
      </c>
      <c r="J1656" s="3">
        <v>5724700</v>
      </c>
      <c r="K1656" s="3">
        <v>257611500</v>
      </c>
      <c r="L1656" s="2" t="s">
        <v>33</v>
      </c>
      <c r="M1656" s="2" t="s">
        <v>26</v>
      </c>
      <c r="N1656">
        <v>2024</v>
      </c>
      <c r="O1656" s="2" t="s">
        <v>148</v>
      </c>
      <c r="P1656" s="2" t="s">
        <v>150</v>
      </c>
      <c r="Q1656">
        <v>8</v>
      </c>
      <c r="R1656" s="4">
        <v>45505</v>
      </c>
      <c r="S1656" s="3">
        <v>5724700</v>
      </c>
      <c r="T1656" s="3">
        <v>25.76</v>
      </c>
    </row>
    <row r="1657" spans="1:20" x14ac:dyDescent="0.3">
      <c r="A1657" s="1">
        <v>45535</v>
      </c>
      <c r="B1657" s="2" t="s">
        <v>84</v>
      </c>
      <c r="C1657" s="2" t="s">
        <v>85</v>
      </c>
      <c r="D1657" s="2" t="s">
        <v>67</v>
      </c>
      <c r="E1657" s="2" t="s">
        <v>118</v>
      </c>
      <c r="F1657" s="2" t="s">
        <v>39</v>
      </c>
      <c r="G1657">
        <v>84</v>
      </c>
      <c r="H1657">
        <v>590</v>
      </c>
      <c r="I1657">
        <v>54</v>
      </c>
      <c r="J1657" s="3">
        <v>8427900</v>
      </c>
      <c r="K1657" s="3">
        <v>455106600</v>
      </c>
      <c r="L1657" s="2" t="s">
        <v>33</v>
      </c>
      <c r="M1657" s="2" t="s">
        <v>77</v>
      </c>
      <c r="N1657">
        <v>2024</v>
      </c>
      <c r="O1657" s="2" t="s">
        <v>148</v>
      </c>
      <c r="P1657" s="2" t="s">
        <v>150</v>
      </c>
      <c r="Q1657">
        <v>8</v>
      </c>
      <c r="R1657" s="4">
        <v>45505</v>
      </c>
      <c r="S1657" s="3">
        <v>8427900</v>
      </c>
      <c r="T1657" s="3">
        <v>45.51</v>
      </c>
    </row>
    <row r="1658" spans="1:20" x14ac:dyDescent="0.3">
      <c r="A1658" s="1">
        <v>45535</v>
      </c>
      <c r="B1658" s="2" t="s">
        <v>35</v>
      </c>
      <c r="C1658" s="2" t="s">
        <v>36</v>
      </c>
      <c r="D1658" s="2" t="s">
        <v>50</v>
      </c>
      <c r="E1658" s="2" t="s">
        <v>51</v>
      </c>
      <c r="F1658" s="2" t="s">
        <v>24</v>
      </c>
      <c r="G1658">
        <v>77</v>
      </c>
      <c r="H1658">
        <v>528</v>
      </c>
      <c r="I1658">
        <v>37</v>
      </c>
      <c r="J1658" s="3">
        <v>5895500</v>
      </c>
      <c r="K1658" s="3">
        <v>218133500</v>
      </c>
      <c r="L1658" s="2" t="s">
        <v>33</v>
      </c>
      <c r="M1658" s="2" t="s">
        <v>34</v>
      </c>
      <c r="N1658">
        <v>2024</v>
      </c>
      <c r="O1658" s="2" t="s">
        <v>148</v>
      </c>
      <c r="P1658" s="2" t="s">
        <v>150</v>
      </c>
      <c r="Q1658">
        <v>8</v>
      </c>
      <c r="R1658" s="4">
        <v>45505</v>
      </c>
      <c r="S1658" s="3">
        <v>5895500</v>
      </c>
      <c r="T1658" s="3">
        <v>21.81</v>
      </c>
    </row>
    <row r="1659" spans="1:20" x14ac:dyDescent="0.3">
      <c r="A1659" s="1">
        <v>45535</v>
      </c>
      <c r="B1659" s="2" t="s">
        <v>84</v>
      </c>
      <c r="C1659" s="2" t="s">
        <v>113</v>
      </c>
      <c r="D1659" s="2" t="s">
        <v>54</v>
      </c>
      <c r="E1659" s="2" t="s">
        <v>55</v>
      </c>
      <c r="F1659" s="2" t="s">
        <v>24</v>
      </c>
      <c r="G1659">
        <v>30</v>
      </c>
      <c r="H1659">
        <v>320</v>
      </c>
      <c r="I1659">
        <v>5</v>
      </c>
      <c r="J1659" s="3">
        <v>1432400</v>
      </c>
      <c r="K1659" s="3">
        <v>7162000</v>
      </c>
      <c r="L1659" s="2" t="s">
        <v>33</v>
      </c>
      <c r="M1659" s="2" t="s">
        <v>77</v>
      </c>
      <c r="N1659">
        <v>2024</v>
      </c>
      <c r="O1659" s="2" t="s">
        <v>148</v>
      </c>
      <c r="P1659" s="2" t="s">
        <v>150</v>
      </c>
      <c r="Q1659">
        <v>8</v>
      </c>
      <c r="R1659" s="4">
        <v>45505</v>
      </c>
      <c r="S1659" s="3">
        <v>1432400</v>
      </c>
      <c r="T1659" s="3">
        <v>0.72</v>
      </c>
    </row>
    <row r="1660" spans="1:20" x14ac:dyDescent="0.3">
      <c r="A1660" s="1">
        <v>45536</v>
      </c>
      <c r="B1660" s="2" t="s">
        <v>59</v>
      </c>
      <c r="C1660" s="2" t="s">
        <v>81</v>
      </c>
      <c r="D1660" s="2" t="s">
        <v>50</v>
      </c>
      <c r="E1660" s="2" t="s">
        <v>51</v>
      </c>
      <c r="F1660" s="2" t="s">
        <v>24</v>
      </c>
      <c r="G1660">
        <v>77</v>
      </c>
      <c r="H1660">
        <v>528</v>
      </c>
      <c r="I1660">
        <v>67</v>
      </c>
      <c r="J1660" s="3">
        <v>5168800</v>
      </c>
      <c r="K1660" s="3">
        <v>346309600</v>
      </c>
      <c r="L1660" s="2" t="s">
        <v>33</v>
      </c>
      <c r="M1660" s="2" t="s">
        <v>77</v>
      </c>
      <c r="N1660">
        <v>2024</v>
      </c>
      <c r="O1660" s="2" t="s">
        <v>148</v>
      </c>
      <c r="P1660" s="2" t="s">
        <v>151</v>
      </c>
      <c r="Q1660">
        <v>9</v>
      </c>
      <c r="R1660" s="4">
        <v>45536</v>
      </c>
      <c r="S1660" s="3">
        <v>5168800</v>
      </c>
      <c r="T1660" s="3">
        <v>34.630000000000003</v>
      </c>
    </row>
    <row r="1661" spans="1:20" x14ac:dyDescent="0.3">
      <c r="A1661" s="1">
        <v>45536</v>
      </c>
      <c r="B1661" s="2" t="s">
        <v>35</v>
      </c>
      <c r="C1661" s="2" t="s">
        <v>132</v>
      </c>
      <c r="D1661" s="2" t="s">
        <v>88</v>
      </c>
      <c r="E1661" s="2" t="s">
        <v>111</v>
      </c>
      <c r="F1661" s="2" t="s">
        <v>24</v>
      </c>
      <c r="G1661">
        <v>60</v>
      </c>
      <c r="H1661">
        <v>480</v>
      </c>
      <c r="I1661">
        <v>51</v>
      </c>
      <c r="J1661" s="3">
        <v>3556000</v>
      </c>
      <c r="K1661" s="3">
        <v>181356000</v>
      </c>
      <c r="L1661" s="2" t="s">
        <v>33</v>
      </c>
      <c r="M1661" s="2" t="s">
        <v>77</v>
      </c>
      <c r="N1661">
        <v>2024</v>
      </c>
      <c r="O1661" s="2" t="s">
        <v>148</v>
      </c>
      <c r="P1661" s="2" t="s">
        <v>151</v>
      </c>
      <c r="Q1661">
        <v>9</v>
      </c>
      <c r="R1661" s="4">
        <v>45536</v>
      </c>
      <c r="S1661" s="3">
        <v>3556000</v>
      </c>
      <c r="T1661" s="3">
        <v>18.14</v>
      </c>
    </row>
    <row r="1662" spans="1:20" x14ac:dyDescent="0.3">
      <c r="A1662" s="1">
        <v>45537</v>
      </c>
      <c r="B1662" s="2" t="s">
        <v>90</v>
      </c>
      <c r="C1662" s="2" t="s">
        <v>114</v>
      </c>
      <c r="D1662" s="2" t="s">
        <v>57</v>
      </c>
      <c r="E1662" s="2" t="s">
        <v>58</v>
      </c>
      <c r="F1662" s="2" t="s">
        <v>24</v>
      </c>
      <c r="G1662">
        <v>72</v>
      </c>
      <c r="H1662">
        <v>488</v>
      </c>
      <c r="I1662">
        <v>74</v>
      </c>
      <c r="J1662" s="3">
        <v>4386800</v>
      </c>
      <c r="K1662" s="3">
        <v>324623200</v>
      </c>
      <c r="L1662" s="2" t="s">
        <v>33</v>
      </c>
      <c r="M1662" s="2" t="s">
        <v>97</v>
      </c>
      <c r="N1662">
        <v>2024</v>
      </c>
      <c r="O1662" s="2" t="s">
        <v>148</v>
      </c>
      <c r="P1662" s="2" t="s">
        <v>151</v>
      </c>
      <c r="Q1662">
        <v>9</v>
      </c>
      <c r="R1662" s="4">
        <v>45536</v>
      </c>
      <c r="S1662" s="3">
        <v>4386800</v>
      </c>
      <c r="T1662" s="3">
        <v>32.46</v>
      </c>
    </row>
    <row r="1663" spans="1:20" x14ac:dyDescent="0.3">
      <c r="A1663" s="1">
        <v>45537</v>
      </c>
      <c r="B1663" s="2" t="s">
        <v>75</v>
      </c>
      <c r="C1663" s="2" t="s">
        <v>134</v>
      </c>
      <c r="D1663" s="2" t="s">
        <v>54</v>
      </c>
      <c r="E1663" s="2" t="s">
        <v>55</v>
      </c>
      <c r="F1663" s="2" t="s">
        <v>72</v>
      </c>
      <c r="G1663">
        <v>30</v>
      </c>
      <c r="H1663">
        <v>320</v>
      </c>
      <c r="I1663">
        <v>63</v>
      </c>
      <c r="J1663" s="3">
        <v>1552800</v>
      </c>
      <c r="K1663" s="3">
        <v>97826400</v>
      </c>
      <c r="L1663" s="2" t="s">
        <v>33</v>
      </c>
      <c r="M1663" s="2" t="s">
        <v>34</v>
      </c>
      <c r="N1663">
        <v>2024</v>
      </c>
      <c r="O1663" s="2" t="s">
        <v>148</v>
      </c>
      <c r="P1663" s="2" t="s">
        <v>151</v>
      </c>
      <c r="Q1663">
        <v>9</v>
      </c>
      <c r="R1663" s="4">
        <v>45536</v>
      </c>
      <c r="S1663" s="3">
        <v>1552800</v>
      </c>
      <c r="T1663" s="3">
        <v>9.7799999999999994</v>
      </c>
    </row>
    <row r="1664" spans="1:20" x14ac:dyDescent="0.3">
      <c r="A1664" s="1">
        <v>45538</v>
      </c>
      <c r="B1664" s="2" t="s">
        <v>84</v>
      </c>
      <c r="C1664" s="2" t="s">
        <v>93</v>
      </c>
      <c r="D1664" s="2" t="s">
        <v>50</v>
      </c>
      <c r="E1664" s="2" t="s">
        <v>51</v>
      </c>
      <c r="F1664" s="2" t="s">
        <v>39</v>
      </c>
      <c r="G1664">
        <v>77</v>
      </c>
      <c r="H1664">
        <v>528</v>
      </c>
      <c r="I1664">
        <v>57</v>
      </c>
      <c r="J1664" s="3">
        <v>5487700</v>
      </c>
      <c r="K1664" s="3">
        <v>312798900</v>
      </c>
      <c r="L1664" s="2" t="s">
        <v>25</v>
      </c>
      <c r="M1664" s="2" t="s">
        <v>77</v>
      </c>
      <c r="N1664">
        <v>2024</v>
      </c>
      <c r="O1664" s="2" t="s">
        <v>148</v>
      </c>
      <c r="P1664" s="2" t="s">
        <v>151</v>
      </c>
      <c r="Q1664">
        <v>9</v>
      </c>
      <c r="R1664" s="4">
        <v>45536</v>
      </c>
      <c r="S1664" s="3">
        <v>5487700</v>
      </c>
      <c r="T1664" s="3">
        <v>31.28</v>
      </c>
    </row>
    <row r="1665" spans="1:20" x14ac:dyDescent="0.3">
      <c r="A1665" s="1">
        <v>45538</v>
      </c>
      <c r="B1665" s="2" t="s">
        <v>20</v>
      </c>
      <c r="C1665" s="2" t="s">
        <v>21</v>
      </c>
      <c r="D1665" s="2" t="s">
        <v>70</v>
      </c>
      <c r="E1665" s="2" t="s">
        <v>74</v>
      </c>
      <c r="F1665" s="2" t="s">
        <v>138</v>
      </c>
      <c r="G1665">
        <v>25</v>
      </c>
      <c r="H1665">
        <v>32</v>
      </c>
      <c r="I1665">
        <v>166</v>
      </c>
      <c r="J1665" s="3">
        <v>1216900</v>
      </c>
      <c r="K1665" s="3">
        <v>202005400</v>
      </c>
      <c r="L1665" s="2" t="s">
        <v>33</v>
      </c>
      <c r="M1665" s="2" t="s">
        <v>26</v>
      </c>
      <c r="N1665">
        <v>2024</v>
      </c>
      <c r="O1665" s="2" t="s">
        <v>148</v>
      </c>
      <c r="P1665" s="2" t="s">
        <v>151</v>
      </c>
      <c r="Q1665">
        <v>9</v>
      </c>
      <c r="R1665" s="4">
        <v>45536</v>
      </c>
      <c r="S1665" s="3">
        <v>1216900</v>
      </c>
      <c r="T1665" s="3">
        <v>20.2</v>
      </c>
    </row>
    <row r="1666" spans="1:20" x14ac:dyDescent="0.3">
      <c r="A1666" s="1">
        <v>45538</v>
      </c>
      <c r="B1666" s="2" t="s">
        <v>90</v>
      </c>
      <c r="C1666" s="2" t="s">
        <v>128</v>
      </c>
      <c r="D1666" s="2" t="s">
        <v>67</v>
      </c>
      <c r="E1666" s="2" t="s">
        <v>68</v>
      </c>
      <c r="F1666" s="2" t="s">
        <v>24</v>
      </c>
      <c r="G1666">
        <v>66</v>
      </c>
      <c r="H1666">
        <v>440</v>
      </c>
      <c r="I1666">
        <v>73</v>
      </c>
      <c r="J1666" s="3">
        <v>6878400</v>
      </c>
      <c r="K1666" s="3">
        <v>502123200</v>
      </c>
      <c r="L1666" s="2" t="s">
        <v>33</v>
      </c>
      <c r="M1666" s="2" t="s">
        <v>26</v>
      </c>
      <c r="N1666">
        <v>2024</v>
      </c>
      <c r="O1666" s="2" t="s">
        <v>148</v>
      </c>
      <c r="P1666" s="2" t="s">
        <v>151</v>
      </c>
      <c r="Q1666">
        <v>9</v>
      </c>
      <c r="R1666" s="4">
        <v>45536</v>
      </c>
      <c r="S1666" s="3">
        <v>6878400</v>
      </c>
      <c r="T1666" s="3">
        <v>50.21</v>
      </c>
    </row>
    <row r="1667" spans="1:20" x14ac:dyDescent="0.3">
      <c r="A1667" s="1">
        <v>45539</v>
      </c>
      <c r="B1667" s="2" t="s">
        <v>20</v>
      </c>
      <c r="C1667" s="2" t="s">
        <v>112</v>
      </c>
      <c r="D1667" s="2" t="s">
        <v>94</v>
      </c>
      <c r="E1667" s="2" t="s">
        <v>95</v>
      </c>
      <c r="F1667" s="2" t="s">
        <v>24</v>
      </c>
      <c r="G1667">
        <v>40</v>
      </c>
      <c r="H1667">
        <v>30</v>
      </c>
      <c r="I1667">
        <v>179</v>
      </c>
      <c r="J1667" s="3">
        <v>2462100</v>
      </c>
      <c r="K1667" s="3">
        <v>440715900</v>
      </c>
      <c r="L1667" s="2" t="s">
        <v>25</v>
      </c>
      <c r="M1667" s="2" t="s">
        <v>34</v>
      </c>
      <c r="N1667">
        <v>2024</v>
      </c>
      <c r="O1667" s="2" t="s">
        <v>148</v>
      </c>
      <c r="P1667" s="2" t="s">
        <v>151</v>
      </c>
      <c r="Q1667">
        <v>9</v>
      </c>
      <c r="R1667" s="4">
        <v>45536</v>
      </c>
      <c r="S1667" s="3">
        <v>2462100</v>
      </c>
      <c r="T1667" s="3">
        <v>44.07</v>
      </c>
    </row>
    <row r="1668" spans="1:20" x14ac:dyDescent="0.3">
      <c r="A1668" s="1">
        <v>45539</v>
      </c>
      <c r="B1668" s="2" t="s">
        <v>108</v>
      </c>
      <c r="C1668" s="2" t="s">
        <v>131</v>
      </c>
      <c r="D1668" s="2" t="s">
        <v>79</v>
      </c>
      <c r="E1668" s="2" t="s">
        <v>80</v>
      </c>
      <c r="F1668" s="2" t="s">
        <v>24</v>
      </c>
      <c r="G1668">
        <v>69</v>
      </c>
      <c r="H1668">
        <v>418</v>
      </c>
      <c r="I1668">
        <v>29</v>
      </c>
      <c r="J1668" s="3">
        <v>6108600</v>
      </c>
      <c r="K1668" s="3">
        <v>177149400</v>
      </c>
      <c r="L1668" s="2" t="s">
        <v>33</v>
      </c>
      <c r="M1668" s="2" t="s">
        <v>26</v>
      </c>
      <c r="N1668">
        <v>2024</v>
      </c>
      <c r="O1668" s="2" t="s">
        <v>148</v>
      </c>
      <c r="P1668" s="2" t="s">
        <v>151</v>
      </c>
      <c r="Q1668">
        <v>9</v>
      </c>
      <c r="R1668" s="4">
        <v>45536</v>
      </c>
      <c r="S1668" s="3">
        <v>6108600</v>
      </c>
      <c r="T1668" s="3">
        <v>17.71</v>
      </c>
    </row>
    <row r="1669" spans="1:20" x14ac:dyDescent="0.3">
      <c r="A1669" s="1">
        <v>45539</v>
      </c>
      <c r="B1669" s="2" t="s">
        <v>52</v>
      </c>
      <c r="C1669" s="2" t="s">
        <v>53</v>
      </c>
      <c r="D1669" s="2" t="s">
        <v>63</v>
      </c>
      <c r="E1669" s="2" t="s">
        <v>64</v>
      </c>
      <c r="F1669" s="2" t="s">
        <v>24</v>
      </c>
      <c r="G1669">
        <v>3</v>
      </c>
      <c r="H1669">
        <v>127</v>
      </c>
      <c r="I1669">
        <v>66</v>
      </c>
      <c r="J1669" s="3">
        <v>149300</v>
      </c>
      <c r="K1669" s="3">
        <v>9853800</v>
      </c>
      <c r="L1669" s="2" t="s">
        <v>33</v>
      </c>
      <c r="M1669" s="2" t="s">
        <v>26</v>
      </c>
      <c r="N1669">
        <v>2024</v>
      </c>
      <c r="O1669" s="2" t="s">
        <v>148</v>
      </c>
      <c r="P1669" s="2" t="s">
        <v>151</v>
      </c>
      <c r="Q1669">
        <v>9</v>
      </c>
      <c r="R1669" s="4">
        <v>45536</v>
      </c>
      <c r="S1669" s="3">
        <v>149300</v>
      </c>
      <c r="T1669" s="3">
        <v>0.99</v>
      </c>
    </row>
    <row r="1670" spans="1:20" x14ac:dyDescent="0.3">
      <c r="A1670" s="1">
        <v>45539</v>
      </c>
      <c r="B1670" s="2" t="s">
        <v>90</v>
      </c>
      <c r="C1670" s="2" t="s">
        <v>128</v>
      </c>
      <c r="D1670" s="2" t="s">
        <v>100</v>
      </c>
      <c r="E1670" s="2" t="s">
        <v>101</v>
      </c>
      <c r="F1670" s="2" t="s">
        <v>24</v>
      </c>
      <c r="G1670">
        <v>3</v>
      </c>
      <c r="H1670">
        <v>150</v>
      </c>
      <c r="I1670">
        <v>33</v>
      </c>
      <c r="J1670" s="3">
        <v>158300</v>
      </c>
      <c r="K1670" s="3">
        <v>5223900</v>
      </c>
      <c r="L1670" s="2" t="s">
        <v>33</v>
      </c>
      <c r="M1670" s="2" t="s">
        <v>34</v>
      </c>
      <c r="N1670">
        <v>2024</v>
      </c>
      <c r="O1670" s="2" t="s">
        <v>148</v>
      </c>
      <c r="P1670" s="2" t="s">
        <v>151</v>
      </c>
      <c r="Q1670">
        <v>9</v>
      </c>
      <c r="R1670" s="4">
        <v>45536</v>
      </c>
      <c r="S1670" s="3">
        <v>158300</v>
      </c>
      <c r="T1670" s="3">
        <v>0.52</v>
      </c>
    </row>
    <row r="1671" spans="1:20" x14ac:dyDescent="0.3">
      <c r="A1671" s="1">
        <v>45540</v>
      </c>
      <c r="B1671" s="2" t="s">
        <v>20</v>
      </c>
      <c r="C1671" s="2" t="s">
        <v>112</v>
      </c>
      <c r="D1671" s="2" t="s">
        <v>102</v>
      </c>
      <c r="E1671" s="2" t="s">
        <v>103</v>
      </c>
      <c r="F1671" s="2" t="s">
        <v>24</v>
      </c>
      <c r="G1671">
        <v>5</v>
      </c>
      <c r="H1671">
        <v>150</v>
      </c>
      <c r="I1671">
        <v>86</v>
      </c>
      <c r="J1671" s="3">
        <v>167200</v>
      </c>
      <c r="K1671" s="3">
        <v>14379200</v>
      </c>
      <c r="L1671" s="2" t="s">
        <v>33</v>
      </c>
      <c r="M1671" s="2" t="s">
        <v>26</v>
      </c>
      <c r="N1671">
        <v>2024</v>
      </c>
      <c r="O1671" s="2" t="s">
        <v>148</v>
      </c>
      <c r="P1671" s="2" t="s">
        <v>151</v>
      </c>
      <c r="Q1671">
        <v>9</v>
      </c>
      <c r="R1671" s="4">
        <v>45536</v>
      </c>
      <c r="S1671" s="3">
        <v>167200</v>
      </c>
      <c r="T1671" s="3">
        <v>1.44</v>
      </c>
    </row>
    <row r="1672" spans="1:20" x14ac:dyDescent="0.3">
      <c r="A1672" s="1">
        <v>45540</v>
      </c>
      <c r="B1672" s="2" t="s">
        <v>84</v>
      </c>
      <c r="C1672" s="2" t="s">
        <v>126</v>
      </c>
      <c r="D1672" s="2" t="s">
        <v>70</v>
      </c>
      <c r="E1672" s="2" t="s">
        <v>71</v>
      </c>
      <c r="F1672" s="2" t="s">
        <v>138</v>
      </c>
      <c r="G1672">
        <v>50</v>
      </c>
      <c r="H1672">
        <v>46</v>
      </c>
      <c r="I1672">
        <v>17</v>
      </c>
      <c r="J1672" s="3">
        <v>2372200</v>
      </c>
      <c r="K1672" s="3">
        <v>40327400</v>
      </c>
      <c r="L1672" s="2" t="s">
        <v>33</v>
      </c>
      <c r="M1672" s="2" t="s">
        <v>26</v>
      </c>
      <c r="N1672">
        <v>2024</v>
      </c>
      <c r="O1672" s="2" t="s">
        <v>148</v>
      </c>
      <c r="P1672" s="2" t="s">
        <v>151</v>
      </c>
      <c r="Q1672">
        <v>9</v>
      </c>
      <c r="R1672" s="4">
        <v>45536</v>
      </c>
      <c r="S1672" s="3">
        <v>2372200</v>
      </c>
      <c r="T1672" s="3">
        <v>4.03</v>
      </c>
    </row>
    <row r="1673" spans="1:20" x14ac:dyDescent="0.3">
      <c r="A1673" s="1">
        <v>45540</v>
      </c>
      <c r="B1673" s="2" t="s">
        <v>44</v>
      </c>
      <c r="C1673" s="2" t="s">
        <v>45</v>
      </c>
      <c r="D1673" s="2" t="s">
        <v>42</v>
      </c>
      <c r="E1673" s="2" t="s">
        <v>43</v>
      </c>
      <c r="F1673" s="2" t="s">
        <v>24</v>
      </c>
      <c r="G1673">
        <v>3</v>
      </c>
      <c r="H1673">
        <v>135</v>
      </c>
      <c r="I1673">
        <v>109</v>
      </c>
      <c r="J1673" s="3">
        <v>122300</v>
      </c>
      <c r="K1673" s="3">
        <v>13330700</v>
      </c>
      <c r="L1673" s="2" t="s">
        <v>33</v>
      </c>
      <c r="M1673" s="2" t="s">
        <v>34</v>
      </c>
      <c r="N1673">
        <v>2024</v>
      </c>
      <c r="O1673" s="2" t="s">
        <v>148</v>
      </c>
      <c r="P1673" s="2" t="s">
        <v>151</v>
      </c>
      <c r="Q1673">
        <v>9</v>
      </c>
      <c r="R1673" s="4">
        <v>45536</v>
      </c>
      <c r="S1673" s="3">
        <v>122300</v>
      </c>
      <c r="T1673" s="3">
        <v>1.33</v>
      </c>
    </row>
    <row r="1674" spans="1:20" x14ac:dyDescent="0.3">
      <c r="A1674" s="1">
        <v>45540</v>
      </c>
      <c r="B1674" s="2" t="s">
        <v>90</v>
      </c>
      <c r="C1674" s="2" t="s">
        <v>91</v>
      </c>
      <c r="D1674" s="2" t="s">
        <v>67</v>
      </c>
      <c r="E1674" s="2" t="s">
        <v>118</v>
      </c>
      <c r="F1674" s="2" t="s">
        <v>24</v>
      </c>
      <c r="G1674">
        <v>84</v>
      </c>
      <c r="H1674">
        <v>590</v>
      </c>
      <c r="I1674">
        <v>79</v>
      </c>
      <c r="J1674" s="3">
        <v>7117800</v>
      </c>
      <c r="K1674" s="3">
        <v>562306200</v>
      </c>
      <c r="L1674" s="2" t="s">
        <v>33</v>
      </c>
      <c r="M1674" s="2" t="s">
        <v>77</v>
      </c>
      <c r="N1674">
        <v>2024</v>
      </c>
      <c r="O1674" s="2" t="s">
        <v>148</v>
      </c>
      <c r="P1674" s="2" t="s">
        <v>151</v>
      </c>
      <c r="Q1674">
        <v>9</v>
      </c>
      <c r="R1674" s="4">
        <v>45536</v>
      </c>
      <c r="S1674" s="3">
        <v>7117800</v>
      </c>
      <c r="T1674" s="3">
        <v>56.23</v>
      </c>
    </row>
    <row r="1675" spans="1:20" x14ac:dyDescent="0.3">
      <c r="A1675" s="1">
        <v>45541</v>
      </c>
      <c r="B1675" s="2" t="s">
        <v>44</v>
      </c>
      <c r="C1675" s="2" t="s">
        <v>117</v>
      </c>
      <c r="D1675" s="2" t="s">
        <v>22</v>
      </c>
      <c r="E1675" s="2" t="s">
        <v>23</v>
      </c>
      <c r="F1675" s="2" t="s">
        <v>24</v>
      </c>
      <c r="G1675">
        <v>82</v>
      </c>
      <c r="H1675">
        <v>520</v>
      </c>
      <c r="I1675">
        <v>77</v>
      </c>
      <c r="J1675" s="3">
        <v>7426100</v>
      </c>
      <c r="K1675" s="3">
        <v>571809700</v>
      </c>
      <c r="L1675" s="2" t="s">
        <v>25</v>
      </c>
      <c r="M1675" s="2" t="s">
        <v>26</v>
      </c>
      <c r="N1675">
        <v>2024</v>
      </c>
      <c r="O1675" s="2" t="s">
        <v>148</v>
      </c>
      <c r="P1675" s="2" t="s">
        <v>151</v>
      </c>
      <c r="Q1675">
        <v>9</v>
      </c>
      <c r="R1675" s="4">
        <v>45536</v>
      </c>
      <c r="S1675" s="3">
        <v>7426100</v>
      </c>
      <c r="T1675" s="3">
        <v>57.18</v>
      </c>
    </row>
    <row r="1676" spans="1:20" x14ac:dyDescent="0.3">
      <c r="A1676" s="1">
        <v>45541</v>
      </c>
      <c r="B1676" s="2" t="s">
        <v>46</v>
      </c>
      <c r="C1676" s="2" t="s">
        <v>47</v>
      </c>
      <c r="D1676" s="2" t="s">
        <v>42</v>
      </c>
      <c r="E1676" s="2" t="s">
        <v>43</v>
      </c>
      <c r="F1676" s="2" t="s">
        <v>24</v>
      </c>
      <c r="G1676">
        <v>3</v>
      </c>
      <c r="H1676">
        <v>135</v>
      </c>
      <c r="I1676">
        <v>137</v>
      </c>
      <c r="J1676" s="3">
        <v>117500</v>
      </c>
      <c r="K1676" s="3">
        <v>16097500</v>
      </c>
      <c r="L1676" s="2" t="s">
        <v>33</v>
      </c>
      <c r="M1676" s="2" t="s">
        <v>77</v>
      </c>
      <c r="N1676">
        <v>2024</v>
      </c>
      <c r="O1676" s="2" t="s">
        <v>148</v>
      </c>
      <c r="P1676" s="2" t="s">
        <v>151</v>
      </c>
      <c r="Q1676">
        <v>9</v>
      </c>
      <c r="R1676" s="4">
        <v>45536</v>
      </c>
      <c r="S1676" s="3">
        <v>117500</v>
      </c>
      <c r="T1676" s="3">
        <v>1.61</v>
      </c>
    </row>
    <row r="1677" spans="1:20" x14ac:dyDescent="0.3">
      <c r="A1677" s="1">
        <v>45542</v>
      </c>
      <c r="B1677" s="2" t="s">
        <v>20</v>
      </c>
      <c r="C1677" s="2" t="s">
        <v>21</v>
      </c>
      <c r="D1677" s="2" t="s">
        <v>22</v>
      </c>
      <c r="E1677" s="2" t="s">
        <v>23</v>
      </c>
      <c r="F1677" s="2" t="s">
        <v>72</v>
      </c>
      <c r="G1677">
        <v>82</v>
      </c>
      <c r="H1677">
        <v>520</v>
      </c>
      <c r="I1677">
        <v>70</v>
      </c>
      <c r="J1677" s="3">
        <v>7245500</v>
      </c>
      <c r="K1677" s="3">
        <v>507185000</v>
      </c>
      <c r="L1677" s="2" t="s">
        <v>33</v>
      </c>
      <c r="M1677" s="2" t="s">
        <v>77</v>
      </c>
      <c r="N1677">
        <v>2024</v>
      </c>
      <c r="O1677" s="2" t="s">
        <v>148</v>
      </c>
      <c r="P1677" s="2" t="s">
        <v>151</v>
      </c>
      <c r="Q1677">
        <v>9</v>
      </c>
      <c r="R1677" s="4">
        <v>45536</v>
      </c>
      <c r="S1677" s="3">
        <v>7245500</v>
      </c>
      <c r="T1677" s="3">
        <v>50.72</v>
      </c>
    </row>
    <row r="1678" spans="1:20" x14ac:dyDescent="0.3">
      <c r="A1678" s="1">
        <v>45542</v>
      </c>
      <c r="B1678" s="2" t="s">
        <v>46</v>
      </c>
      <c r="C1678" s="2" t="s">
        <v>56</v>
      </c>
      <c r="D1678" s="2" t="s">
        <v>67</v>
      </c>
      <c r="E1678" s="2" t="s">
        <v>68</v>
      </c>
      <c r="F1678" s="2" t="s">
        <v>24</v>
      </c>
      <c r="G1678">
        <v>66</v>
      </c>
      <c r="H1678">
        <v>440</v>
      </c>
      <c r="I1678">
        <v>69</v>
      </c>
      <c r="J1678" s="3">
        <v>5976800</v>
      </c>
      <c r="K1678" s="3">
        <v>412399200</v>
      </c>
      <c r="L1678" s="2" t="s">
        <v>33</v>
      </c>
      <c r="M1678" s="2" t="s">
        <v>26</v>
      </c>
      <c r="N1678">
        <v>2024</v>
      </c>
      <c r="O1678" s="2" t="s">
        <v>148</v>
      </c>
      <c r="P1678" s="2" t="s">
        <v>151</v>
      </c>
      <c r="Q1678">
        <v>9</v>
      </c>
      <c r="R1678" s="4">
        <v>45536</v>
      </c>
      <c r="S1678" s="3">
        <v>5976800</v>
      </c>
      <c r="T1678" s="3">
        <v>41.24</v>
      </c>
    </row>
    <row r="1679" spans="1:20" x14ac:dyDescent="0.3">
      <c r="A1679" s="1">
        <v>45542</v>
      </c>
      <c r="B1679" s="2" t="s">
        <v>75</v>
      </c>
      <c r="C1679" s="2" t="s">
        <v>122</v>
      </c>
      <c r="D1679" s="2" t="s">
        <v>94</v>
      </c>
      <c r="E1679" s="2" t="s">
        <v>115</v>
      </c>
      <c r="F1679" s="2" t="s">
        <v>24</v>
      </c>
      <c r="G1679">
        <v>24</v>
      </c>
      <c r="H1679">
        <v>24</v>
      </c>
      <c r="I1679">
        <v>96</v>
      </c>
      <c r="J1679" s="3">
        <v>1308900</v>
      </c>
      <c r="K1679" s="3">
        <v>125654400</v>
      </c>
      <c r="L1679" s="2" t="s">
        <v>33</v>
      </c>
      <c r="M1679" s="2" t="s">
        <v>34</v>
      </c>
      <c r="N1679">
        <v>2024</v>
      </c>
      <c r="O1679" s="2" t="s">
        <v>148</v>
      </c>
      <c r="P1679" s="2" t="s">
        <v>151</v>
      </c>
      <c r="Q1679">
        <v>9</v>
      </c>
      <c r="R1679" s="4">
        <v>45536</v>
      </c>
      <c r="S1679" s="3">
        <v>1308900</v>
      </c>
      <c r="T1679" s="3">
        <v>12.57</v>
      </c>
    </row>
    <row r="1680" spans="1:20" x14ac:dyDescent="0.3">
      <c r="A1680" s="1">
        <v>45543</v>
      </c>
      <c r="B1680" s="2" t="s">
        <v>40</v>
      </c>
      <c r="C1680" s="2" t="s">
        <v>41</v>
      </c>
      <c r="D1680" s="2" t="s">
        <v>57</v>
      </c>
      <c r="E1680" s="2" t="s">
        <v>86</v>
      </c>
      <c r="F1680" s="2" t="s">
        <v>24</v>
      </c>
      <c r="G1680">
        <v>48</v>
      </c>
      <c r="H1680">
        <v>39</v>
      </c>
      <c r="I1680">
        <v>123</v>
      </c>
      <c r="J1680" s="3">
        <v>2194300</v>
      </c>
      <c r="K1680" s="3">
        <v>269898900</v>
      </c>
      <c r="L1680" s="2" t="s">
        <v>33</v>
      </c>
      <c r="M1680" s="2" t="s">
        <v>77</v>
      </c>
      <c r="N1680">
        <v>2024</v>
      </c>
      <c r="O1680" s="2" t="s">
        <v>148</v>
      </c>
      <c r="P1680" s="2" t="s">
        <v>151</v>
      </c>
      <c r="Q1680">
        <v>9</v>
      </c>
      <c r="R1680" s="4">
        <v>45536</v>
      </c>
      <c r="S1680" s="3">
        <v>2194300</v>
      </c>
      <c r="T1680" s="3">
        <v>26.99</v>
      </c>
    </row>
    <row r="1681" spans="1:20" x14ac:dyDescent="0.3">
      <c r="A1681" s="1">
        <v>45543</v>
      </c>
      <c r="B1681" s="2" t="s">
        <v>75</v>
      </c>
      <c r="C1681" s="2" t="s">
        <v>76</v>
      </c>
      <c r="D1681" s="2" t="s">
        <v>37</v>
      </c>
      <c r="E1681" s="2" t="s">
        <v>38</v>
      </c>
      <c r="F1681" s="2" t="s">
        <v>24</v>
      </c>
      <c r="G1681">
        <v>66</v>
      </c>
      <c r="H1681">
        <v>423</v>
      </c>
      <c r="I1681">
        <v>17</v>
      </c>
      <c r="J1681" s="3">
        <v>9224100</v>
      </c>
      <c r="K1681" s="3">
        <v>156809700</v>
      </c>
      <c r="L1681" s="2" t="s">
        <v>33</v>
      </c>
      <c r="M1681" s="2" t="s">
        <v>34</v>
      </c>
      <c r="N1681">
        <v>2024</v>
      </c>
      <c r="O1681" s="2" t="s">
        <v>148</v>
      </c>
      <c r="P1681" s="2" t="s">
        <v>151</v>
      </c>
      <c r="Q1681">
        <v>9</v>
      </c>
      <c r="R1681" s="4">
        <v>45536</v>
      </c>
      <c r="S1681" s="3">
        <v>9224100</v>
      </c>
      <c r="T1681" s="3">
        <v>15.68</v>
      </c>
    </row>
    <row r="1682" spans="1:20" x14ac:dyDescent="0.3">
      <c r="A1682" s="1">
        <v>45544</v>
      </c>
      <c r="B1682" s="2" t="s">
        <v>61</v>
      </c>
      <c r="C1682" s="2" t="s">
        <v>147</v>
      </c>
      <c r="D1682" s="2" t="s">
        <v>31</v>
      </c>
      <c r="E1682" s="2" t="s">
        <v>32</v>
      </c>
      <c r="F1682" s="2" t="s">
        <v>24</v>
      </c>
      <c r="G1682">
        <v>4</v>
      </c>
      <c r="H1682">
        <v>195</v>
      </c>
      <c r="I1682">
        <v>80</v>
      </c>
      <c r="J1682" s="3">
        <v>149600</v>
      </c>
      <c r="K1682" s="3">
        <v>11968000</v>
      </c>
      <c r="L1682" s="2" t="s">
        <v>33</v>
      </c>
      <c r="M1682" s="2" t="s">
        <v>77</v>
      </c>
      <c r="N1682">
        <v>2024</v>
      </c>
      <c r="O1682" s="2" t="s">
        <v>148</v>
      </c>
      <c r="P1682" s="2" t="s">
        <v>151</v>
      </c>
      <c r="Q1682">
        <v>9</v>
      </c>
      <c r="R1682" s="4">
        <v>45536</v>
      </c>
      <c r="S1682" s="3">
        <v>149600</v>
      </c>
      <c r="T1682" s="3">
        <v>1.2</v>
      </c>
    </row>
    <row r="1683" spans="1:20" x14ac:dyDescent="0.3">
      <c r="A1683" s="1">
        <v>45544</v>
      </c>
      <c r="B1683" s="2" t="s">
        <v>46</v>
      </c>
      <c r="C1683" s="2" t="s">
        <v>56</v>
      </c>
      <c r="D1683" s="2" t="s">
        <v>22</v>
      </c>
      <c r="E1683" s="2" t="s">
        <v>23</v>
      </c>
      <c r="F1683" s="2" t="s">
        <v>24</v>
      </c>
      <c r="G1683">
        <v>82</v>
      </c>
      <c r="H1683">
        <v>520</v>
      </c>
      <c r="I1683">
        <v>7</v>
      </c>
      <c r="J1683" s="3">
        <v>6280500</v>
      </c>
      <c r="K1683" s="3">
        <v>43963500</v>
      </c>
      <c r="L1683" s="2" t="s">
        <v>33</v>
      </c>
      <c r="M1683" s="2" t="s">
        <v>26</v>
      </c>
      <c r="N1683">
        <v>2024</v>
      </c>
      <c r="O1683" s="2" t="s">
        <v>148</v>
      </c>
      <c r="P1683" s="2" t="s">
        <v>151</v>
      </c>
      <c r="Q1683">
        <v>9</v>
      </c>
      <c r="R1683" s="4">
        <v>45536</v>
      </c>
      <c r="S1683" s="3">
        <v>6280500</v>
      </c>
      <c r="T1683" s="3">
        <v>4.4000000000000004</v>
      </c>
    </row>
    <row r="1684" spans="1:20" x14ac:dyDescent="0.3">
      <c r="A1684" s="1">
        <v>45544</v>
      </c>
      <c r="B1684" s="2" t="s">
        <v>90</v>
      </c>
      <c r="C1684" s="2" t="s">
        <v>128</v>
      </c>
      <c r="D1684" s="2" t="s">
        <v>100</v>
      </c>
      <c r="E1684" s="2" t="s">
        <v>101</v>
      </c>
      <c r="F1684" s="2" t="s">
        <v>24</v>
      </c>
      <c r="G1684">
        <v>3</v>
      </c>
      <c r="H1684">
        <v>150</v>
      </c>
      <c r="I1684">
        <v>66</v>
      </c>
      <c r="J1684" s="3">
        <v>151100</v>
      </c>
      <c r="K1684" s="3">
        <v>9972600</v>
      </c>
      <c r="L1684" s="2" t="s">
        <v>33</v>
      </c>
      <c r="M1684" s="2" t="s">
        <v>26</v>
      </c>
      <c r="N1684">
        <v>2024</v>
      </c>
      <c r="O1684" s="2" t="s">
        <v>148</v>
      </c>
      <c r="P1684" s="2" t="s">
        <v>151</v>
      </c>
      <c r="Q1684">
        <v>9</v>
      </c>
      <c r="R1684" s="4">
        <v>45536</v>
      </c>
      <c r="S1684" s="3">
        <v>151100</v>
      </c>
      <c r="T1684" s="3">
        <v>1</v>
      </c>
    </row>
    <row r="1685" spans="1:20" x14ac:dyDescent="0.3">
      <c r="A1685" s="1">
        <v>45545</v>
      </c>
      <c r="B1685" s="2" t="s">
        <v>84</v>
      </c>
      <c r="C1685" s="2" t="s">
        <v>126</v>
      </c>
      <c r="D1685" s="2" t="s">
        <v>82</v>
      </c>
      <c r="E1685" s="2" t="s">
        <v>141</v>
      </c>
      <c r="F1685" s="2" t="s">
        <v>24</v>
      </c>
      <c r="G1685">
        <v>59</v>
      </c>
      <c r="H1685">
        <v>55</v>
      </c>
      <c r="I1685">
        <v>148</v>
      </c>
      <c r="J1685" s="3">
        <v>2654400</v>
      </c>
      <c r="K1685" s="3">
        <v>392851200</v>
      </c>
      <c r="L1685" s="2" t="s">
        <v>33</v>
      </c>
      <c r="M1685" s="2" t="s">
        <v>34</v>
      </c>
      <c r="N1685">
        <v>2024</v>
      </c>
      <c r="O1685" s="2" t="s">
        <v>148</v>
      </c>
      <c r="P1685" s="2" t="s">
        <v>151</v>
      </c>
      <c r="Q1685">
        <v>9</v>
      </c>
      <c r="R1685" s="4">
        <v>45536</v>
      </c>
      <c r="S1685" s="3">
        <v>2654400</v>
      </c>
      <c r="T1685" s="3">
        <v>39.29</v>
      </c>
    </row>
    <row r="1686" spans="1:20" x14ac:dyDescent="0.3">
      <c r="A1686" s="1">
        <v>45546</v>
      </c>
      <c r="B1686" s="2" t="s">
        <v>48</v>
      </c>
      <c r="C1686" s="2" t="s">
        <v>69</v>
      </c>
      <c r="D1686" s="2" t="s">
        <v>54</v>
      </c>
      <c r="E1686" s="2" t="s">
        <v>55</v>
      </c>
      <c r="F1686" s="2" t="s">
        <v>24</v>
      </c>
      <c r="G1686">
        <v>30</v>
      </c>
      <c r="H1686">
        <v>320</v>
      </c>
      <c r="I1686">
        <v>35</v>
      </c>
      <c r="J1686" s="3">
        <v>1327000</v>
      </c>
      <c r="K1686" s="3">
        <v>46445000</v>
      </c>
      <c r="L1686" s="2" t="s">
        <v>33</v>
      </c>
      <c r="M1686" s="2" t="s">
        <v>77</v>
      </c>
      <c r="N1686">
        <v>2024</v>
      </c>
      <c r="O1686" s="2" t="s">
        <v>148</v>
      </c>
      <c r="P1686" s="2" t="s">
        <v>151</v>
      </c>
      <c r="Q1686">
        <v>9</v>
      </c>
      <c r="R1686" s="4">
        <v>45536</v>
      </c>
      <c r="S1686" s="3">
        <v>1327000</v>
      </c>
      <c r="T1686" s="3">
        <v>4.6399999999999997</v>
      </c>
    </row>
    <row r="1687" spans="1:20" x14ac:dyDescent="0.3">
      <c r="A1687" s="1">
        <v>45547</v>
      </c>
      <c r="B1687" s="2" t="s">
        <v>108</v>
      </c>
      <c r="C1687" s="2" t="s">
        <v>133</v>
      </c>
      <c r="D1687" s="2" t="s">
        <v>54</v>
      </c>
      <c r="E1687" s="2" t="s">
        <v>55</v>
      </c>
      <c r="F1687" s="2" t="s">
        <v>39</v>
      </c>
      <c r="G1687">
        <v>30</v>
      </c>
      <c r="H1687">
        <v>320</v>
      </c>
      <c r="I1687">
        <v>69</v>
      </c>
      <c r="J1687" s="3">
        <v>1266500</v>
      </c>
      <c r="K1687" s="3">
        <v>87388500</v>
      </c>
      <c r="L1687" s="2" t="s">
        <v>33</v>
      </c>
      <c r="M1687" s="2" t="s">
        <v>26</v>
      </c>
      <c r="N1687">
        <v>2024</v>
      </c>
      <c r="O1687" s="2" t="s">
        <v>148</v>
      </c>
      <c r="P1687" s="2" t="s">
        <v>151</v>
      </c>
      <c r="Q1687">
        <v>9</v>
      </c>
      <c r="R1687" s="4">
        <v>45536</v>
      </c>
      <c r="S1687" s="3">
        <v>1266500</v>
      </c>
      <c r="T1687" s="3">
        <v>8.74</v>
      </c>
    </row>
    <row r="1688" spans="1:20" x14ac:dyDescent="0.3">
      <c r="A1688" s="1">
        <v>45547</v>
      </c>
      <c r="B1688" s="2" t="s">
        <v>52</v>
      </c>
      <c r="C1688" s="2" t="s">
        <v>53</v>
      </c>
      <c r="D1688" s="2" t="s">
        <v>42</v>
      </c>
      <c r="E1688" s="2" t="s">
        <v>43</v>
      </c>
      <c r="F1688" s="2" t="s">
        <v>24</v>
      </c>
      <c r="G1688">
        <v>3</v>
      </c>
      <c r="H1688">
        <v>135</v>
      </c>
      <c r="I1688">
        <v>174</v>
      </c>
      <c r="J1688" s="3">
        <v>122500</v>
      </c>
      <c r="K1688" s="3">
        <v>21315000</v>
      </c>
      <c r="L1688" s="2" t="s">
        <v>33</v>
      </c>
      <c r="M1688" s="2" t="s">
        <v>26</v>
      </c>
      <c r="N1688">
        <v>2024</v>
      </c>
      <c r="O1688" s="2" t="s">
        <v>148</v>
      </c>
      <c r="P1688" s="2" t="s">
        <v>151</v>
      </c>
      <c r="Q1688">
        <v>9</v>
      </c>
      <c r="R1688" s="4">
        <v>45536</v>
      </c>
      <c r="S1688" s="3">
        <v>122500</v>
      </c>
      <c r="T1688" s="3">
        <v>2.13</v>
      </c>
    </row>
    <row r="1689" spans="1:20" x14ac:dyDescent="0.3">
      <c r="A1689" s="1">
        <v>45547</v>
      </c>
      <c r="B1689" s="2" t="s">
        <v>52</v>
      </c>
      <c r="C1689" s="2" t="s">
        <v>53</v>
      </c>
      <c r="D1689" s="2" t="s">
        <v>54</v>
      </c>
      <c r="E1689" s="2" t="s">
        <v>55</v>
      </c>
      <c r="F1689" s="2" t="s">
        <v>138</v>
      </c>
      <c r="G1689">
        <v>30</v>
      </c>
      <c r="H1689">
        <v>320</v>
      </c>
      <c r="I1689">
        <v>57</v>
      </c>
      <c r="J1689" s="3">
        <v>1331300</v>
      </c>
      <c r="K1689" s="3">
        <v>75884100</v>
      </c>
      <c r="L1689" s="2" t="s">
        <v>33</v>
      </c>
      <c r="M1689" s="2" t="s">
        <v>26</v>
      </c>
      <c r="N1689">
        <v>2024</v>
      </c>
      <c r="O1689" s="2" t="s">
        <v>148</v>
      </c>
      <c r="P1689" s="2" t="s">
        <v>151</v>
      </c>
      <c r="Q1689">
        <v>9</v>
      </c>
      <c r="R1689" s="4">
        <v>45536</v>
      </c>
      <c r="S1689" s="3">
        <v>1331300</v>
      </c>
      <c r="T1689" s="3">
        <v>7.59</v>
      </c>
    </row>
    <row r="1690" spans="1:20" x14ac:dyDescent="0.3">
      <c r="A1690" s="1">
        <v>45548</v>
      </c>
      <c r="B1690" s="2" t="s">
        <v>40</v>
      </c>
      <c r="C1690" s="2" t="s">
        <v>41</v>
      </c>
      <c r="D1690" s="2" t="s">
        <v>100</v>
      </c>
      <c r="E1690" s="2" t="s">
        <v>101</v>
      </c>
      <c r="F1690" s="2" t="s">
        <v>24</v>
      </c>
      <c r="G1690">
        <v>3</v>
      </c>
      <c r="H1690">
        <v>150</v>
      </c>
      <c r="I1690">
        <v>126</v>
      </c>
      <c r="J1690" s="3">
        <v>150200</v>
      </c>
      <c r="K1690" s="3">
        <v>18925200</v>
      </c>
      <c r="L1690" s="2" t="s">
        <v>25</v>
      </c>
      <c r="M1690" s="2" t="s">
        <v>26</v>
      </c>
      <c r="N1690">
        <v>2024</v>
      </c>
      <c r="O1690" s="2" t="s">
        <v>148</v>
      </c>
      <c r="P1690" s="2" t="s">
        <v>151</v>
      </c>
      <c r="Q1690">
        <v>9</v>
      </c>
      <c r="R1690" s="4">
        <v>45536</v>
      </c>
      <c r="S1690" s="3">
        <v>150200</v>
      </c>
      <c r="T1690" s="3">
        <v>1.89</v>
      </c>
    </row>
    <row r="1691" spans="1:20" x14ac:dyDescent="0.3">
      <c r="A1691" s="1">
        <v>45548</v>
      </c>
      <c r="B1691" s="2" t="s">
        <v>106</v>
      </c>
      <c r="C1691" s="2" t="s">
        <v>120</v>
      </c>
      <c r="D1691" s="2" t="s">
        <v>31</v>
      </c>
      <c r="E1691" s="2" t="s">
        <v>32</v>
      </c>
      <c r="F1691" s="2" t="s">
        <v>24</v>
      </c>
      <c r="G1691">
        <v>4</v>
      </c>
      <c r="H1691">
        <v>195</v>
      </c>
      <c r="I1691">
        <v>80</v>
      </c>
      <c r="J1691" s="3">
        <v>152200</v>
      </c>
      <c r="K1691" s="3">
        <v>12176000</v>
      </c>
      <c r="L1691" s="2" t="s">
        <v>33</v>
      </c>
      <c r="M1691" s="2" t="s">
        <v>77</v>
      </c>
      <c r="N1691">
        <v>2024</v>
      </c>
      <c r="O1691" s="2" t="s">
        <v>148</v>
      </c>
      <c r="P1691" s="2" t="s">
        <v>151</v>
      </c>
      <c r="Q1691">
        <v>9</v>
      </c>
      <c r="R1691" s="4">
        <v>45536</v>
      </c>
      <c r="S1691" s="3">
        <v>152200</v>
      </c>
      <c r="T1691" s="3">
        <v>1.22</v>
      </c>
    </row>
    <row r="1692" spans="1:20" x14ac:dyDescent="0.3">
      <c r="A1692" s="1">
        <v>45548</v>
      </c>
      <c r="B1692" s="2" t="s">
        <v>29</v>
      </c>
      <c r="C1692" s="2" t="s">
        <v>104</v>
      </c>
      <c r="D1692" s="2" t="s">
        <v>102</v>
      </c>
      <c r="E1692" s="2" t="s">
        <v>103</v>
      </c>
      <c r="F1692" s="2" t="s">
        <v>24</v>
      </c>
      <c r="G1692">
        <v>5</v>
      </c>
      <c r="H1692">
        <v>150</v>
      </c>
      <c r="I1692">
        <v>66</v>
      </c>
      <c r="J1692" s="3">
        <v>181100</v>
      </c>
      <c r="K1692" s="3">
        <v>11952600</v>
      </c>
      <c r="L1692" s="2" t="s">
        <v>33</v>
      </c>
      <c r="M1692" s="2" t="s">
        <v>26</v>
      </c>
      <c r="N1692">
        <v>2024</v>
      </c>
      <c r="O1692" s="2" t="s">
        <v>148</v>
      </c>
      <c r="P1692" s="2" t="s">
        <v>151</v>
      </c>
      <c r="Q1692">
        <v>9</v>
      </c>
      <c r="R1692" s="4">
        <v>45536</v>
      </c>
      <c r="S1692" s="3">
        <v>181100</v>
      </c>
      <c r="T1692" s="3">
        <v>1.2</v>
      </c>
    </row>
    <row r="1693" spans="1:20" x14ac:dyDescent="0.3">
      <c r="A1693" s="1">
        <v>45548</v>
      </c>
      <c r="B1693" s="2" t="s">
        <v>35</v>
      </c>
      <c r="C1693" s="2" t="s">
        <v>87</v>
      </c>
      <c r="D1693" s="2" t="s">
        <v>37</v>
      </c>
      <c r="E1693" s="2" t="s">
        <v>38</v>
      </c>
      <c r="F1693" s="2" t="s">
        <v>138</v>
      </c>
      <c r="G1693">
        <v>66</v>
      </c>
      <c r="H1693">
        <v>423</v>
      </c>
      <c r="I1693">
        <v>11</v>
      </c>
      <c r="J1693" s="3">
        <v>8299600</v>
      </c>
      <c r="K1693" s="3">
        <v>91295600</v>
      </c>
      <c r="L1693" s="2" t="s">
        <v>25</v>
      </c>
      <c r="M1693" s="2" t="s">
        <v>26</v>
      </c>
      <c r="N1693">
        <v>2024</v>
      </c>
      <c r="O1693" s="2" t="s">
        <v>148</v>
      </c>
      <c r="P1693" s="2" t="s">
        <v>151</v>
      </c>
      <c r="Q1693">
        <v>9</v>
      </c>
      <c r="R1693" s="4">
        <v>45536</v>
      </c>
      <c r="S1693" s="3">
        <v>8299600</v>
      </c>
      <c r="T1693" s="3">
        <v>9.1300000000000008</v>
      </c>
    </row>
    <row r="1694" spans="1:20" x14ac:dyDescent="0.3">
      <c r="A1694" s="1">
        <v>45548</v>
      </c>
      <c r="B1694" s="2" t="s">
        <v>75</v>
      </c>
      <c r="C1694" s="2" t="s">
        <v>76</v>
      </c>
      <c r="D1694" s="2" t="s">
        <v>63</v>
      </c>
      <c r="E1694" s="2" t="s">
        <v>64</v>
      </c>
      <c r="F1694" s="2" t="s">
        <v>24</v>
      </c>
      <c r="G1694">
        <v>3</v>
      </c>
      <c r="H1694">
        <v>127</v>
      </c>
      <c r="I1694">
        <v>77</v>
      </c>
      <c r="J1694" s="3">
        <v>143000</v>
      </c>
      <c r="K1694" s="3">
        <v>11011000</v>
      </c>
      <c r="L1694" s="2" t="s">
        <v>33</v>
      </c>
      <c r="M1694" s="2" t="s">
        <v>34</v>
      </c>
      <c r="N1694">
        <v>2024</v>
      </c>
      <c r="O1694" s="2" t="s">
        <v>148</v>
      </c>
      <c r="P1694" s="2" t="s">
        <v>151</v>
      </c>
      <c r="Q1694">
        <v>9</v>
      </c>
      <c r="R1694" s="4">
        <v>45536</v>
      </c>
      <c r="S1694" s="3">
        <v>143000</v>
      </c>
      <c r="T1694" s="3">
        <v>1.1000000000000001</v>
      </c>
    </row>
    <row r="1695" spans="1:20" x14ac:dyDescent="0.3">
      <c r="A1695" s="1">
        <v>45549</v>
      </c>
      <c r="B1695" s="2" t="s">
        <v>40</v>
      </c>
      <c r="C1695" s="2" t="s">
        <v>78</v>
      </c>
      <c r="D1695" s="2" t="s">
        <v>102</v>
      </c>
      <c r="E1695" s="2" t="s">
        <v>103</v>
      </c>
      <c r="F1695" s="2" t="s">
        <v>24</v>
      </c>
      <c r="G1695">
        <v>5</v>
      </c>
      <c r="H1695">
        <v>150</v>
      </c>
      <c r="I1695">
        <v>145</v>
      </c>
      <c r="J1695" s="3">
        <v>184900</v>
      </c>
      <c r="K1695" s="3">
        <v>26810500</v>
      </c>
      <c r="L1695" s="2" t="s">
        <v>25</v>
      </c>
      <c r="M1695" s="2" t="s">
        <v>77</v>
      </c>
      <c r="N1695">
        <v>2024</v>
      </c>
      <c r="O1695" s="2" t="s">
        <v>148</v>
      </c>
      <c r="P1695" s="2" t="s">
        <v>151</v>
      </c>
      <c r="Q1695">
        <v>9</v>
      </c>
      <c r="R1695" s="4">
        <v>45536</v>
      </c>
      <c r="S1695" s="3">
        <v>184900</v>
      </c>
      <c r="T1695" s="3">
        <v>2.68</v>
      </c>
    </row>
    <row r="1696" spans="1:20" x14ac:dyDescent="0.3">
      <c r="A1696" s="1">
        <v>45549</v>
      </c>
      <c r="B1696" s="2" t="s">
        <v>35</v>
      </c>
      <c r="C1696" s="2" t="s">
        <v>36</v>
      </c>
      <c r="D1696" s="2" t="s">
        <v>31</v>
      </c>
      <c r="E1696" s="2" t="s">
        <v>124</v>
      </c>
      <c r="F1696" s="2" t="s">
        <v>24</v>
      </c>
      <c r="G1696">
        <v>3</v>
      </c>
      <c r="H1696">
        <v>151</v>
      </c>
      <c r="I1696">
        <v>123</v>
      </c>
      <c r="J1696" s="3">
        <v>117100</v>
      </c>
      <c r="K1696" s="3">
        <v>14403300</v>
      </c>
      <c r="L1696" s="2" t="s">
        <v>25</v>
      </c>
      <c r="M1696" s="2" t="s">
        <v>26</v>
      </c>
      <c r="N1696">
        <v>2024</v>
      </c>
      <c r="O1696" s="2" t="s">
        <v>148</v>
      </c>
      <c r="P1696" s="2" t="s">
        <v>151</v>
      </c>
      <c r="Q1696">
        <v>9</v>
      </c>
      <c r="R1696" s="4">
        <v>45536</v>
      </c>
      <c r="S1696" s="3">
        <v>117100</v>
      </c>
      <c r="T1696" s="3">
        <v>1.44</v>
      </c>
    </row>
    <row r="1697" spans="1:20" x14ac:dyDescent="0.3">
      <c r="A1697" s="1">
        <v>45549</v>
      </c>
      <c r="B1697" s="2" t="s">
        <v>35</v>
      </c>
      <c r="C1697" s="2" t="s">
        <v>36</v>
      </c>
      <c r="D1697" s="2" t="s">
        <v>31</v>
      </c>
      <c r="E1697" s="2" t="s">
        <v>32</v>
      </c>
      <c r="F1697" s="2" t="s">
        <v>24</v>
      </c>
      <c r="G1697">
        <v>4</v>
      </c>
      <c r="H1697">
        <v>195</v>
      </c>
      <c r="I1697">
        <v>141</v>
      </c>
      <c r="J1697" s="3">
        <v>134400</v>
      </c>
      <c r="K1697" s="3">
        <v>18950400</v>
      </c>
      <c r="L1697" s="2" t="s">
        <v>25</v>
      </c>
      <c r="M1697" s="2" t="s">
        <v>26</v>
      </c>
      <c r="N1697">
        <v>2024</v>
      </c>
      <c r="O1697" s="2" t="s">
        <v>148</v>
      </c>
      <c r="P1697" s="2" t="s">
        <v>151</v>
      </c>
      <c r="Q1697">
        <v>9</v>
      </c>
      <c r="R1697" s="4">
        <v>45536</v>
      </c>
      <c r="S1697" s="3">
        <v>134400</v>
      </c>
      <c r="T1697" s="3">
        <v>1.9</v>
      </c>
    </row>
    <row r="1698" spans="1:20" x14ac:dyDescent="0.3">
      <c r="A1698" s="1">
        <v>45549</v>
      </c>
      <c r="B1698" s="2" t="s">
        <v>20</v>
      </c>
      <c r="C1698" s="2" t="s">
        <v>112</v>
      </c>
      <c r="D1698" s="2" t="s">
        <v>22</v>
      </c>
      <c r="E1698" s="2" t="s">
        <v>23</v>
      </c>
      <c r="F1698" s="2" t="s">
        <v>24</v>
      </c>
      <c r="G1698">
        <v>82</v>
      </c>
      <c r="H1698">
        <v>520</v>
      </c>
      <c r="I1698">
        <v>14</v>
      </c>
      <c r="J1698" s="3">
        <v>6702400</v>
      </c>
      <c r="K1698" s="3">
        <v>93833600</v>
      </c>
      <c r="L1698" s="2" t="s">
        <v>33</v>
      </c>
      <c r="M1698" s="2" t="s">
        <v>26</v>
      </c>
      <c r="N1698">
        <v>2024</v>
      </c>
      <c r="O1698" s="2" t="s">
        <v>148</v>
      </c>
      <c r="P1698" s="2" t="s">
        <v>151</v>
      </c>
      <c r="Q1698">
        <v>9</v>
      </c>
      <c r="R1698" s="4">
        <v>45536</v>
      </c>
      <c r="S1698" s="3">
        <v>6702400</v>
      </c>
      <c r="T1698" s="3">
        <v>9.3800000000000008</v>
      </c>
    </row>
    <row r="1699" spans="1:20" x14ac:dyDescent="0.3">
      <c r="A1699" s="1">
        <v>45549</v>
      </c>
      <c r="B1699" s="2" t="s">
        <v>20</v>
      </c>
      <c r="C1699" s="2" t="s">
        <v>125</v>
      </c>
      <c r="D1699" s="2" t="s">
        <v>57</v>
      </c>
      <c r="E1699" s="2" t="s">
        <v>58</v>
      </c>
      <c r="F1699" s="2" t="s">
        <v>72</v>
      </c>
      <c r="G1699">
        <v>72</v>
      </c>
      <c r="H1699">
        <v>488</v>
      </c>
      <c r="I1699">
        <v>173</v>
      </c>
      <c r="J1699" s="3">
        <v>5630200</v>
      </c>
      <c r="K1699" s="3">
        <v>974024600</v>
      </c>
      <c r="L1699" s="2" t="s">
        <v>92</v>
      </c>
      <c r="M1699" s="2" t="s">
        <v>77</v>
      </c>
      <c r="N1699">
        <v>2024</v>
      </c>
      <c r="O1699" s="2" t="s">
        <v>148</v>
      </c>
      <c r="P1699" s="2" t="s">
        <v>151</v>
      </c>
      <c r="Q1699">
        <v>9</v>
      </c>
      <c r="R1699" s="4">
        <v>45536</v>
      </c>
      <c r="S1699" s="3">
        <v>5630200</v>
      </c>
      <c r="T1699" s="3">
        <v>97.4</v>
      </c>
    </row>
    <row r="1700" spans="1:20" x14ac:dyDescent="0.3">
      <c r="A1700" s="1">
        <v>45549</v>
      </c>
      <c r="B1700" s="2" t="s">
        <v>75</v>
      </c>
      <c r="C1700" s="2" t="s">
        <v>122</v>
      </c>
      <c r="D1700" s="2" t="s">
        <v>100</v>
      </c>
      <c r="E1700" s="2" t="s">
        <v>101</v>
      </c>
      <c r="F1700" s="2" t="s">
        <v>24</v>
      </c>
      <c r="G1700">
        <v>3</v>
      </c>
      <c r="H1700">
        <v>150</v>
      </c>
      <c r="I1700">
        <v>121</v>
      </c>
      <c r="J1700" s="3">
        <v>145600</v>
      </c>
      <c r="K1700" s="3">
        <v>17617600</v>
      </c>
      <c r="L1700" s="2" t="s">
        <v>33</v>
      </c>
      <c r="M1700" s="2" t="s">
        <v>77</v>
      </c>
      <c r="N1700">
        <v>2024</v>
      </c>
      <c r="O1700" s="2" t="s">
        <v>148</v>
      </c>
      <c r="P1700" s="2" t="s">
        <v>151</v>
      </c>
      <c r="Q1700">
        <v>9</v>
      </c>
      <c r="R1700" s="4">
        <v>45536</v>
      </c>
      <c r="S1700" s="3">
        <v>145600</v>
      </c>
      <c r="T1700" s="3">
        <v>1.76</v>
      </c>
    </row>
    <row r="1701" spans="1:20" x14ac:dyDescent="0.3">
      <c r="A1701" s="1">
        <v>45549</v>
      </c>
      <c r="B1701" s="2" t="s">
        <v>108</v>
      </c>
      <c r="C1701" s="2" t="s">
        <v>131</v>
      </c>
      <c r="D1701" s="2" t="s">
        <v>100</v>
      </c>
      <c r="E1701" s="2" t="s">
        <v>101</v>
      </c>
      <c r="F1701" s="2" t="s">
        <v>24</v>
      </c>
      <c r="G1701">
        <v>3</v>
      </c>
      <c r="H1701">
        <v>150</v>
      </c>
      <c r="I1701">
        <v>109</v>
      </c>
      <c r="J1701" s="3">
        <v>176600</v>
      </c>
      <c r="K1701" s="3">
        <v>19249400</v>
      </c>
      <c r="L1701" s="2" t="s">
        <v>25</v>
      </c>
      <c r="M1701" s="2" t="s">
        <v>34</v>
      </c>
      <c r="N1701">
        <v>2024</v>
      </c>
      <c r="O1701" s="2" t="s">
        <v>148</v>
      </c>
      <c r="P1701" s="2" t="s">
        <v>151</v>
      </c>
      <c r="Q1701">
        <v>9</v>
      </c>
      <c r="R1701" s="4">
        <v>45536</v>
      </c>
      <c r="S1701" s="3">
        <v>176600</v>
      </c>
      <c r="T1701" s="3">
        <v>1.92</v>
      </c>
    </row>
    <row r="1702" spans="1:20" x14ac:dyDescent="0.3">
      <c r="A1702" s="1">
        <v>45550</v>
      </c>
      <c r="B1702" s="2" t="s">
        <v>84</v>
      </c>
      <c r="C1702" s="2" t="s">
        <v>93</v>
      </c>
      <c r="D1702" s="2" t="s">
        <v>79</v>
      </c>
      <c r="E1702" s="2" t="s">
        <v>80</v>
      </c>
      <c r="F1702" s="2" t="s">
        <v>24</v>
      </c>
      <c r="G1702">
        <v>69</v>
      </c>
      <c r="H1702">
        <v>418</v>
      </c>
      <c r="I1702">
        <v>39</v>
      </c>
      <c r="J1702" s="3">
        <v>6459400</v>
      </c>
      <c r="K1702" s="3">
        <v>251916600</v>
      </c>
      <c r="L1702" s="2" t="s">
        <v>33</v>
      </c>
      <c r="M1702" s="2" t="s">
        <v>97</v>
      </c>
      <c r="N1702">
        <v>2024</v>
      </c>
      <c r="O1702" s="2" t="s">
        <v>148</v>
      </c>
      <c r="P1702" s="2" t="s">
        <v>151</v>
      </c>
      <c r="Q1702">
        <v>9</v>
      </c>
      <c r="R1702" s="4">
        <v>45536</v>
      </c>
      <c r="S1702" s="3">
        <v>6459400</v>
      </c>
      <c r="T1702" s="3">
        <v>25.19</v>
      </c>
    </row>
    <row r="1703" spans="1:20" x14ac:dyDescent="0.3">
      <c r="A1703" s="1">
        <v>45550</v>
      </c>
      <c r="B1703" s="2" t="s">
        <v>52</v>
      </c>
      <c r="C1703" s="2" t="s">
        <v>53</v>
      </c>
      <c r="D1703" s="2" t="s">
        <v>22</v>
      </c>
      <c r="E1703" s="2" t="s">
        <v>23</v>
      </c>
      <c r="F1703" s="2" t="s">
        <v>24</v>
      </c>
      <c r="G1703">
        <v>82</v>
      </c>
      <c r="H1703">
        <v>520</v>
      </c>
      <c r="I1703">
        <v>20</v>
      </c>
      <c r="J1703" s="3">
        <v>7447700</v>
      </c>
      <c r="K1703" s="3">
        <v>148954000</v>
      </c>
      <c r="L1703" s="2" t="s">
        <v>33</v>
      </c>
      <c r="M1703" s="2" t="s">
        <v>26</v>
      </c>
      <c r="N1703">
        <v>2024</v>
      </c>
      <c r="O1703" s="2" t="s">
        <v>148</v>
      </c>
      <c r="P1703" s="2" t="s">
        <v>151</v>
      </c>
      <c r="Q1703">
        <v>9</v>
      </c>
      <c r="R1703" s="4">
        <v>45536</v>
      </c>
      <c r="S1703" s="3">
        <v>7447700</v>
      </c>
      <c r="T1703" s="3">
        <v>14.9</v>
      </c>
    </row>
    <row r="1704" spans="1:20" x14ac:dyDescent="0.3">
      <c r="A1704" s="1">
        <v>45550</v>
      </c>
      <c r="B1704" s="2" t="s">
        <v>40</v>
      </c>
      <c r="C1704" s="2" t="s">
        <v>105</v>
      </c>
      <c r="D1704" s="2" t="s">
        <v>100</v>
      </c>
      <c r="E1704" s="2" t="s">
        <v>101</v>
      </c>
      <c r="F1704" s="2" t="s">
        <v>24</v>
      </c>
      <c r="G1704">
        <v>3</v>
      </c>
      <c r="H1704">
        <v>150</v>
      </c>
      <c r="I1704">
        <v>14</v>
      </c>
      <c r="J1704" s="3">
        <v>139500</v>
      </c>
      <c r="K1704" s="3">
        <v>1953000</v>
      </c>
      <c r="L1704" s="2" t="s">
        <v>33</v>
      </c>
      <c r="M1704" s="2" t="s">
        <v>26</v>
      </c>
      <c r="N1704">
        <v>2024</v>
      </c>
      <c r="O1704" s="2" t="s">
        <v>148</v>
      </c>
      <c r="P1704" s="2" t="s">
        <v>151</v>
      </c>
      <c r="Q1704">
        <v>9</v>
      </c>
      <c r="R1704" s="4">
        <v>45536</v>
      </c>
      <c r="S1704" s="3">
        <v>139500</v>
      </c>
      <c r="T1704" s="3">
        <v>0.2</v>
      </c>
    </row>
    <row r="1705" spans="1:20" x14ac:dyDescent="0.3">
      <c r="A1705" s="1">
        <v>45550</v>
      </c>
      <c r="B1705" s="2" t="s">
        <v>35</v>
      </c>
      <c r="C1705" s="2" t="s">
        <v>36</v>
      </c>
      <c r="D1705" s="2" t="s">
        <v>67</v>
      </c>
      <c r="E1705" s="2" t="s">
        <v>118</v>
      </c>
      <c r="F1705" s="2" t="s">
        <v>24</v>
      </c>
      <c r="G1705">
        <v>84</v>
      </c>
      <c r="H1705">
        <v>590</v>
      </c>
      <c r="I1705">
        <v>32</v>
      </c>
      <c r="J1705" s="3">
        <v>7494900</v>
      </c>
      <c r="K1705" s="3">
        <v>239836800</v>
      </c>
      <c r="L1705" s="2" t="s">
        <v>33</v>
      </c>
      <c r="M1705" s="2" t="s">
        <v>26</v>
      </c>
      <c r="N1705">
        <v>2024</v>
      </c>
      <c r="O1705" s="2" t="s">
        <v>148</v>
      </c>
      <c r="P1705" s="2" t="s">
        <v>151</v>
      </c>
      <c r="Q1705">
        <v>9</v>
      </c>
      <c r="R1705" s="4">
        <v>45536</v>
      </c>
      <c r="S1705" s="3">
        <v>7494900</v>
      </c>
      <c r="T1705" s="3">
        <v>23.98</v>
      </c>
    </row>
    <row r="1706" spans="1:20" x14ac:dyDescent="0.3">
      <c r="A1706" s="1">
        <v>45551</v>
      </c>
      <c r="B1706" s="2" t="s">
        <v>46</v>
      </c>
      <c r="C1706" s="2" t="s">
        <v>56</v>
      </c>
      <c r="D1706" s="2" t="s">
        <v>82</v>
      </c>
      <c r="E1706" s="2" t="s">
        <v>141</v>
      </c>
      <c r="F1706" s="2" t="s">
        <v>24</v>
      </c>
      <c r="G1706">
        <v>59</v>
      </c>
      <c r="H1706">
        <v>55</v>
      </c>
      <c r="I1706">
        <v>144</v>
      </c>
      <c r="J1706" s="3">
        <v>3082900</v>
      </c>
      <c r="K1706" s="3">
        <v>443937600</v>
      </c>
      <c r="L1706" s="2" t="s">
        <v>33</v>
      </c>
      <c r="M1706" s="2" t="s">
        <v>26</v>
      </c>
      <c r="N1706">
        <v>2024</v>
      </c>
      <c r="O1706" s="2" t="s">
        <v>148</v>
      </c>
      <c r="P1706" s="2" t="s">
        <v>151</v>
      </c>
      <c r="Q1706">
        <v>9</v>
      </c>
      <c r="R1706" s="4">
        <v>45536</v>
      </c>
      <c r="S1706" s="3">
        <v>3082900</v>
      </c>
      <c r="T1706" s="3">
        <v>44.39</v>
      </c>
    </row>
    <row r="1707" spans="1:20" x14ac:dyDescent="0.3">
      <c r="A1707" s="1">
        <v>45551</v>
      </c>
      <c r="B1707" s="2" t="s">
        <v>20</v>
      </c>
      <c r="C1707" s="2" t="s">
        <v>21</v>
      </c>
      <c r="D1707" s="2" t="s">
        <v>57</v>
      </c>
      <c r="E1707" s="2" t="s">
        <v>86</v>
      </c>
      <c r="F1707" s="2" t="s">
        <v>24</v>
      </c>
      <c r="G1707">
        <v>48</v>
      </c>
      <c r="H1707">
        <v>39</v>
      </c>
      <c r="I1707">
        <v>65</v>
      </c>
      <c r="J1707" s="3">
        <v>2329300</v>
      </c>
      <c r="K1707" s="3">
        <v>151404500</v>
      </c>
      <c r="L1707" s="2" t="s">
        <v>33</v>
      </c>
      <c r="M1707" s="2" t="s">
        <v>77</v>
      </c>
      <c r="N1707">
        <v>2024</v>
      </c>
      <c r="O1707" s="2" t="s">
        <v>148</v>
      </c>
      <c r="P1707" s="2" t="s">
        <v>151</v>
      </c>
      <c r="Q1707">
        <v>9</v>
      </c>
      <c r="R1707" s="4">
        <v>45536</v>
      </c>
      <c r="S1707" s="3">
        <v>2329300</v>
      </c>
      <c r="T1707" s="3">
        <v>15.14</v>
      </c>
    </row>
    <row r="1708" spans="1:20" x14ac:dyDescent="0.3">
      <c r="A1708" s="1">
        <v>45551</v>
      </c>
      <c r="B1708" s="2" t="s">
        <v>29</v>
      </c>
      <c r="C1708" s="2" t="s">
        <v>104</v>
      </c>
      <c r="D1708" s="2" t="s">
        <v>63</v>
      </c>
      <c r="E1708" s="2" t="s">
        <v>64</v>
      </c>
      <c r="F1708" s="2" t="s">
        <v>24</v>
      </c>
      <c r="G1708">
        <v>3</v>
      </c>
      <c r="H1708">
        <v>127</v>
      </c>
      <c r="I1708">
        <v>58</v>
      </c>
      <c r="J1708" s="3">
        <v>141000</v>
      </c>
      <c r="K1708" s="3">
        <v>8178000</v>
      </c>
      <c r="L1708" s="2" t="s">
        <v>33</v>
      </c>
      <c r="M1708" s="2" t="s">
        <v>26</v>
      </c>
      <c r="N1708">
        <v>2024</v>
      </c>
      <c r="O1708" s="2" t="s">
        <v>148</v>
      </c>
      <c r="P1708" s="2" t="s">
        <v>151</v>
      </c>
      <c r="Q1708">
        <v>9</v>
      </c>
      <c r="R1708" s="4">
        <v>45536</v>
      </c>
      <c r="S1708" s="3">
        <v>141000</v>
      </c>
      <c r="T1708" s="3">
        <v>0.82</v>
      </c>
    </row>
    <row r="1709" spans="1:20" x14ac:dyDescent="0.3">
      <c r="A1709" s="1">
        <v>45551</v>
      </c>
      <c r="B1709" s="2" t="s">
        <v>90</v>
      </c>
      <c r="C1709" s="2" t="s">
        <v>114</v>
      </c>
      <c r="D1709" s="2" t="s">
        <v>88</v>
      </c>
      <c r="E1709" s="2" t="s">
        <v>89</v>
      </c>
      <c r="F1709" s="2" t="s">
        <v>24</v>
      </c>
      <c r="G1709">
        <v>82</v>
      </c>
      <c r="H1709">
        <v>580</v>
      </c>
      <c r="I1709">
        <v>13</v>
      </c>
      <c r="J1709" s="3">
        <v>5393700</v>
      </c>
      <c r="K1709" s="3">
        <v>70118100</v>
      </c>
      <c r="L1709" s="2" t="s">
        <v>92</v>
      </c>
      <c r="M1709" s="2" t="s">
        <v>97</v>
      </c>
      <c r="N1709">
        <v>2024</v>
      </c>
      <c r="O1709" s="2" t="s">
        <v>148</v>
      </c>
      <c r="P1709" s="2" t="s">
        <v>151</v>
      </c>
      <c r="Q1709">
        <v>9</v>
      </c>
      <c r="R1709" s="4">
        <v>45536</v>
      </c>
      <c r="S1709" s="3">
        <v>5393700</v>
      </c>
      <c r="T1709" s="3">
        <v>7.01</v>
      </c>
    </row>
    <row r="1710" spans="1:20" x14ac:dyDescent="0.3">
      <c r="A1710" s="1">
        <v>45552</v>
      </c>
      <c r="B1710" s="2" t="s">
        <v>44</v>
      </c>
      <c r="C1710" s="2" t="s">
        <v>142</v>
      </c>
      <c r="D1710" s="2" t="s">
        <v>63</v>
      </c>
      <c r="E1710" s="2" t="s">
        <v>64</v>
      </c>
      <c r="F1710" s="2" t="s">
        <v>24</v>
      </c>
      <c r="G1710">
        <v>3</v>
      </c>
      <c r="H1710">
        <v>127</v>
      </c>
      <c r="I1710">
        <v>41</v>
      </c>
      <c r="J1710" s="3">
        <v>186400</v>
      </c>
      <c r="K1710" s="3">
        <v>7642400</v>
      </c>
      <c r="L1710" s="2" t="s">
        <v>33</v>
      </c>
      <c r="M1710" s="2" t="s">
        <v>26</v>
      </c>
      <c r="N1710">
        <v>2024</v>
      </c>
      <c r="O1710" s="2" t="s">
        <v>148</v>
      </c>
      <c r="P1710" s="2" t="s">
        <v>151</v>
      </c>
      <c r="Q1710">
        <v>9</v>
      </c>
      <c r="R1710" s="4">
        <v>45536</v>
      </c>
      <c r="S1710" s="3">
        <v>186400</v>
      </c>
      <c r="T1710" s="3">
        <v>0.76</v>
      </c>
    </row>
    <row r="1711" spans="1:20" x14ac:dyDescent="0.3">
      <c r="A1711" s="1">
        <v>45553</v>
      </c>
      <c r="B1711" s="2" t="s">
        <v>46</v>
      </c>
      <c r="C1711" s="2" t="s">
        <v>110</v>
      </c>
      <c r="D1711" s="2" t="s">
        <v>79</v>
      </c>
      <c r="E1711" s="2" t="s">
        <v>80</v>
      </c>
      <c r="F1711" s="2" t="s">
        <v>24</v>
      </c>
      <c r="G1711">
        <v>69</v>
      </c>
      <c r="H1711">
        <v>418</v>
      </c>
      <c r="I1711">
        <v>14</v>
      </c>
      <c r="J1711" s="3">
        <v>5527800</v>
      </c>
      <c r="K1711" s="3">
        <v>77389200</v>
      </c>
      <c r="L1711" s="2" t="s">
        <v>25</v>
      </c>
      <c r="M1711" s="2" t="s">
        <v>77</v>
      </c>
      <c r="N1711">
        <v>2024</v>
      </c>
      <c r="O1711" s="2" t="s">
        <v>148</v>
      </c>
      <c r="P1711" s="2" t="s">
        <v>151</v>
      </c>
      <c r="Q1711">
        <v>9</v>
      </c>
      <c r="R1711" s="4">
        <v>45536</v>
      </c>
      <c r="S1711" s="3">
        <v>5527800</v>
      </c>
      <c r="T1711" s="3">
        <v>7.74</v>
      </c>
    </row>
    <row r="1712" spans="1:20" x14ac:dyDescent="0.3">
      <c r="A1712" s="1">
        <v>45553</v>
      </c>
      <c r="B1712" s="2" t="s">
        <v>48</v>
      </c>
      <c r="C1712" s="2" t="s">
        <v>69</v>
      </c>
      <c r="D1712" s="2" t="s">
        <v>100</v>
      </c>
      <c r="E1712" s="2" t="s">
        <v>101</v>
      </c>
      <c r="F1712" s="2" t="s">
        <v>24</v>
      </c>
      <c r="G1712">
        <v>3</v>
      </c>
      <c r="H1712">
        <v>150</v>
      </c>
      <c r="I1712">
        <v>146</v>
      </c>
      <c r="J1712" s="3">
        <v>143900</v>
      </c>
      <c r="K1712" s="3">
        <v>21009400</v>
      </c>
      <c r="L1712" s="2" t="s">
        <v>33</v>
      </c>
      <c r="M1712" s="2" t="s">
        <v>26</v>
      </c>
      <c r="N1712">
        <v>2024</v>
      </c>
      <c r="O1712" s="2" t="s">
        <v>148</v>
      </c>
      <c r="P1712" s="2" t="s">
        <v>151</v>
      </c>
      <c r="Q1712">
        <v>9</v>
      </c>
      <c r="R1712" s="4">
        <v>45536</v>
      </c>
      <c r="S1712" s="3">
        <v>143900</v>
      </c>
      <c r="T1712" s="3">
        <v>2.1</v>
      </c>
    </row>
    <row r="1713" spans="1:20" x14ac:dyDescent="0.3">
      <c r="A1713" s="1">
        <v>45553</v>
      </c>
      <c r="B1713" s="2" t="s">
        <v>75</v>
      </c>
      <c r="C1713" s="2" t="s">
        <v>122</v>
      </c>
      <c r="D1713" s="2" t="s">
        <v>22</v>
      </c>
      <c r="E1713" s="2" t="s">
        <v>23</v>
      </c>
      <c r="F1713" s="2" t="s">
        <v>24</v>
      </c>
      <c r="G1713">
        <v>82</v>
      </c>
      <c r="H1713">
        <v>520</v>
      </c>
      <c r="I1713">
        <v>79</v>
      </c>
      <c r="J1713" s="3">
        <v>6488000</v>
      </c>
      <c r="K1713" s="3">
        <v>512552000</v>
      </c>
      <c r="L1713" s="2" t="s">
        <v>92</v>
      </c>
      <c r="M1713" s="2" t="s">
        <v>77</v>
      </c>
      <c r="N1713">
        <v>2024</v>
      </c>
      <c r="O1713" s="2" t="s">
        <v>148</v>
      </c>
      <c r="P1713" s="2" t="s">
        <v>151</v>
      </c>
      <c r="Q1713">
        <v>9</v>
      </c>
      <c r="R1713" s="4">
        <v>45536</v>
      </c>
      <c r="S1713" s="3">
        <v>6488000</v>
      </c>
      <c r="T1713" s="3">
        <v>51.26</v>
      </c>
    </row>
    <row r="1714" spans="1:20" x14ac:dyDescent="0.3">
      <c r="A1714" s="1">
        <v>45554</v>
      </c>
      <c r="B1714" s="2" t="s">
        <v>108</v>
      </c>
      <c r="C1714" s="2" t="s">
        <v>133</v>
      </c>
      <c r="D1714" s="2" t="s">
        <v>50</v>
      </c>
      <c r="E1714" s="2" t="s">
        <v>51</v>
      </c>
      <c r="F1714" s="2" t="s">
        <v>24</v>
      </c>
      <c r="G1714">
        <v>77</v>
      </c>
      <c r="H1714">
        <v>528</v>
      </c>
      <c r="I1714">
        <v>52</v>
      </c>
      <c r="J1714" s="3">
        <v>5397100</v>
      </c>
      <c r="K1714" s="3">
        <v>280649200</v>
      </c>
      <c r="L1714" s="2" t="s">
        <v>33</v>
      </c>
      <c r="M1714" s="2" t="s">
        <v>26</v>
      </c>
      <c r="N1714">
        <v>2024</v>
      </c>
      <c r="O1714" s="2" t="s">
        <v>148</v>
      </c>
      <c r="P1714" s="2" t="s">
        <v>151</v>
      </c>
      <c r="Q1714">
        <v>9</v>
      </c>
      <c r="R1714" s="4">
        <v>45536</v>
      </c>
      <c r="S1714" s="3">
        <v>5397100</v>
      </c>
      <c r="T1714" s="3">
        <v>28.06</v>
      </c>
    </row>
    <row r="1715" spans="1:20" x14ac:dyDescent="0.3">
      <c r="A1715" s="1">
        <v>45555</v>
      </c>
      <c r="B1715" s="2" t="s">
        <v>59</v>
      </c>
      <c r="C1715" s="2" t="s">
        <v>135</v>
      </c>
      <c r="D1715" s="2" t="s">
        <v>79</v>
      </c>
      <c r="E1715" s="2" t="s">
        <v>80</v>
      </c>
      <c r="F1715" s="2" t="s">
        <v>24</v>
      </c>
      <c r="G1715">
        <v>69</v>
      </c>
      <c r="H1715">
        <v>418</v>
      </c>
      <c r="I1715">
        <v>50</v>
      </c>
      <c r="J1715" s="3">
        <v>5484400</v>
      </c>
      <c r="K1715" s="3">
        <v>274220000</v>
      </c>
      <c r="L1715" s="2" t="s">
        <v>33</v>
      </c>
      <c r="M1715" s="2" t="s">
        <v>77</v>
      </c>
      <c r="N1715">
        <v>2024</v>
      </c>
      <c r="O1715" s="2" t="s">
        <v>148</v>
      </c>
      <c r="P1715" s="2" t="s">
        <v>151</v>
      </c>
      <c r="Q1715">
        <v>9</v>
      </c>
      <c r="R1715" s="4">
        <v>45536</v>
      </c>
      <c r="S1715" s="3">
        <v>5484400</v>
      </c>
      <c r="T1715" s="3">
        <v>27.42</v>
      </c>
    </row>
    <row r="1716" spans="1:20" x14ac:dyDescent="0.3">
      <c r="A1716" s="1">
        <v>45555</v>
      </c>
      <c r="B1716" s="2" t="s">
        <v>40</v>
      </c>
      <c r="C1716" s="2" t="s">
        <v>136</v>
      </c>
      <c r="D1716" s="2" t="s">
        <v>102</v>
      </c>
      <c r="E1716" s="2" t="s">
        <v>103</v>
      </c>
      <c r="F1716" s="2" t="s">
        <v>24</v>
      </c>
      <c r="G1716">
        <v>5</v>
      </c>
      <c r="H1716">
        <v>150</v>
      </c>
      <c r="I1716">
        <v>34</v>
      </c>
      <c r="J1716" s="3">
        <v>165700</v>
      </c>
      <c r="K1716" s="3">
        <v>5633800</v>
      </c>
      <c r="L1716" s="2" t="s">
        <v>33</v>
      </c>
      <c r="M1716" s="2" t="s">
        <v>26</v>
      </c>
      <c r="N1716">
        <v>2024</v>
      </c>
      <c r="O1716" s="2" t="s">
        <v>148</v>
      </c>
      <c r="P1716" s="2" t="s">
        <v>151</v>
      </c>
      <c r="Q1716">
        <v>9</v>
      </c>
      <c r="R1716" s="4">
        <v>45536</v>
      </c>
      <c r="S1716" s="3">
        <v>165700</v>
      </c>
      <c r="T1716" s="3">
        <v>0.56000000000000005</v>
      </c>
    </row>
    <row r="1717" spans="1:20" x14ac:dyDescent="0.3">
      <c r="A1717" s="1">
        <v>45555</v>
      </c>
      <c r="B1717" s="2" t="s">
        <v>108</v>
      </c>
      <c r="C1717" s="2" t="s">
        <v>131</v>
      </c>
      <c r="D1717" s="2" t="s">
        <v>82</v>
      </c>
      <c r="E1717" s="2" t="s">
        <v>141</v>
      </c>
      <c r="F1717" s="2" t="s">
        <v>39</v>
      </c>
      <c r="G1717">
        <v>59</v>
      </c>
      <c r="H1717">
        <v>55</v>
      </c>
      <c r="I1717">
        <v>68</v>
      </c>
      <c r="J1717" s="3">
        <v>2303800</v>
      </c>
      <c r="K1717" s="3">
        <v>156658400</v>
      </c>
      <c r="L1717" s="2" t="s">
        <v>92</v>
      </c>
      <c r="M1717" s="2" t="s">
        <v>26</v>
      </c>
      <c r="N1717">
        <v>2024</v>
      </c>
      <c r="O1717" s="2" t="s">
        <v>148</v>
      </c>
      <c r="P1717" s="2" t="s">
        <v>151</v>
      </c>
      <c r="Q1717">
        <v>9</v>
      </c>
      <c r="R1717" s="4">
        <v>45536</v>
      </c>
      <c r="S1717" s="3">
        <v>2303800</v>
      </c>
      <c r="T1717" s="3">
        <v>15.67</v>
      </c>
    </row>
    <row r="1718" spans="1:20" x14ac:dyDescent="0.3">
      <c r="A1718" s="1">
        <v>45556</v>
      </c>
      <c r="B1718" s="2" t="s">
        <v>46</v>
      </c>
      <c r="C1718" s="2" t="s">
        <v>110</v>
      </c>
      <c r="D1718" s="2" t="s">
        <v>94</v>
      </c>
      <c r="E1718" s="2" t="s">
        <v>115</v>
      </c>
      <c r="F1718" s="2" t="s">
        <v>39</v>
      </c>
      <c r="G1718">
        <v>24</v>
      </c>
      <c r="H1718">
        <v>24</v>
      </c>
      <c r="I1718">
        <v>156</v>
      </c>
      <c r="J1718" s="3">
        <v>1349400</v>
      </c>
      <c r="K1718" s="3">
        <v>210506400</v>
      </c>
      <c r="L1718" s="2" t="s">
        <v>33</v>
      </c>
      <c r="M1718" s="2" t="s">
        <v>26</v>
      </c>
      <c r="N1718">
        <v>2024</v>
      </c>
      <c r="O1718" s="2" t="s">
        <v>148</v>
      </c>
      <c r="P1718" s="2" t="s">
        <v>151</v>
      </c>
      <c r="Q1718">
        <v>9</v>
      </c>
      <c r="R1718" s="4">
        <v>45536</v>
      </c>
      <c r="S1718" s="3">
        <v>1349400</v>
      </c>
      <c r="T1718" s="3">
        <v>21.05</v>
      </c>
    </row>
    <row r="1719" spans="1:20" x14ac:dyDescent="0.3">
      <c r="A1719" s="1">
        <v>45556</v>
      </c>
      <c r="B1719" s="2" t="s">
        <v>20</v>
      </c>
      <c r="C1719" s="2" t="s">
        <v>112</v>
      </c>
      <c r="D1719" s="2" t="s">
        <v>22</v>
      </c>
      <c r="E1719" s="2" t="s">
        <v>23</v>
      </c>
      <c r="F1719" s="2" t="s">
        <v>39</v>
      </c>
      <c r="G1719">
        <v>82</v>
      </c>
      <c r="H1719">
        <v>520</v>
      </c>
      <c r="I1719">
        <v>69</v>
      </c>
      <c r="J1719" s="3">
        <v>6401200</v>
      </c>
      <c r="K1719" s="3">
        <v>441682800</v>
      </c>
      <c r="L1719" s="2" t="s">
        <v>33</v>
      </c>
      <c r="M1719" s="2" t="s">
        <v>77</v>
      </c>
      <c r="N1719">
        <v>2024</v>
      </c>
      <c r="O1719" s="2" t="s">
        <v>148</v>
      </c>
      <c r="P1719" s="2" t="s">
        <v>151</v>
      </c>
      <c r="Q1719">
        <v>9</v>
      </c>
      <c r="R1719" s="4">
        <v>45536</v>
      </c>
      <c r="S1719" s="3">
        <v>6401200</v>
      </c>
      <c r="T1719" s="3">
        <v>44.17</v>
      </c>
    </row>
    <row r="1720" spans="1:20" x14ac:dyDescent="0.3">
      <c r="A1720" s="1">
        <v>45556</v>
      </c>
      <c r="B1720" s="2" t="s">
        <v>84</v>
      </c>
      <c r="C1720" s="2" t="s">
        <v>93</v>
      </c>
      <c r="D1720" s="2" t="s">
        <v>82</v>
      </c>
      <c r="E1720" s="2" t="s">
        <v>83</v>
      </c>
      <c r="F1720" s="2" t="s">
        <v>24</v>
      </c>
      <c r="G1720">
        <v>40</v>
      </c>
      <c r="H1720">
        <v>39</v>
      </c>
      <c r="I1720">
        <v>49</v>
      </c>
      <c r="J1720" s="3">
        <v>2278800</v>
      </c>
      <c r="K1720" s="3">
        <v>111661200</v>
      </c>
      <c r="L1720" s="2" t="s">
        <v>25</v>
      </c>
      <c r="M1720" s="2" t="s">
        <v>34</v>
      </c>
      <c r="N1720">
        <v>2024</v>
      </c>
      <c r="O1720" s="2" t="s">
        <v>148</v>
      </c>
      <c r="P1720" s="2" t="s">
        <v>151</v>
      </c>
      <c r="Q1720">
        <v>9</v>
      </c>
      <c r="R1720" s="4">
        <v>45536</v>
      </c>
      <c r="S1720" s="3">
        <v>2278800</v>
      </c>
      <c r="T1720" s="3">
        <v>11.17</v>
      </c>
    </row>
    <row r="1721" spans="1:20" x14ac:dyDescent="0.3">
      <c r="A1721" s="1">
        <v>45557</v>
      </c>
      <c r="B1721" s="2" t="s">
        <v>84</v>
      </c>
      <c r="C1721" s="2" t="s">
        <v>93</v>
      </c>
      <c r="D1721" s="2" t="s">
        <v>37</v>
      </c>
      <c r="E1721" s="2" t="s">
        <v>38</v>
      </c>
      <c r="F1721" s="2" t="s">
        <v>24</v>
      </c>
      <c r="G1721">
        <v>66</v>
      </c>
      <c r="H1721">
        <v>423</v>
      </c>
      <c r="I1721">
        <v>42</v>
      </c>
      <c r="J1721" s="3">
        <v>9377400</v>
      </c>
      <c r="K1721" s="3">
        <v>393850800</v>
      </c>
      <c r="L1721" s="2" t="s">
        <v>33</v>
      </c>
      <c r="M1721" s="2" t="s">
        <v>26</v>
      </c>
      <c r="N1721">
        <v>2024</v>
      </c>
      <c r="O1721" s="2" t="s">
        <v>148</v>
      </c>
      <c r="P1721" s="2" t="s">
        <v>151</v>
      </c>
      <c r="Q1721">
        <v>9</v>
      </c>
      <c r="R1721" s="4">
        <v>45536</v>
      </c>
      <c r="S1721" s="3">
        <v>9377400</v>
      </c>
      <c r="T1721" s="3">
        <v>39.39</v>
      </c>
    </row>
    <row r="1722" spans="1:20" x14ac:dyDescent="0.3">
      <c r="A1722" s="1">
        <v>45557</v>
      </c>
      <c r="B1722" s="2" t="s">
        <v>108</v>
      </c>
      <c r="C1722" s="2" t="s">
        <v>133</v>
      </c>
      <c r="D1722" s="2" t="s">
        <v>57</v>
      </c>
      <c r="E1722" s="2" t="s">
        <v>86</v>
      </c>
      <c r="F1722" s="2" t="s">
        <v>24</v>
      </c>
      <c r="G1722">
        <v>48</v>
      </c>
      <c r="H1722">
        <v>39</v>
      </c>
      <c r="I1722">
        <v>151</v>
      </c>
      <c r="J1722" s="3">
        <v>2436800</v>
      </c>
      <c r="K1722" s="3">
        <v>367956800</v>
      </c>
      <c r="L1722" s="2" t="s">
        <v>25</v>
      </c>
      <c r="M1722" s="2" t="s">
        <v>26</v>
      </c>
      <c r="N1722">
        <v>2024</v>
      </c>
      <c r="O1722" s="2" t="s">
        <v>148</v>
      </c>
      <c r="P1722" s="2" t="s">
        <v>151</v>
      </c>
      <c r="Q1722">
        <v>9</v>
      </c>
      <c r="R1722" s="4">
        <v>45536</v>
      </c>
      <c r="S1722" s="3">
        <v>2436800</v>
      </c>
      <c r="T1722" s="3">
        <v>36.799999999999997</v>
      </c>
    </row>
    <row r="1723" spans="1:20" x14ac:dyDescent="0.3">
      <c r="A1723" s="1">
        <v>45557</v>
      </c>
      <c r="B1723" s="2" t="s">
        <v>48</v>
      </c>
      <c r="C1723" s="2" t="s">
        <v>98</v>
      </c>
      <c r="D1723" s="2" t="s">
        <v>22</v>
      </c>
      <c r="E1723" s="2" t="s">
        <v>23</v>
      </c>
      <c r="F1723" s="2" t="s">
        <v>138</v>
      </c>
      <c r="G1723">
        <v>82</v>
      </c>
      <c r="H1723">
        <v>520</v>
      </c>
      <c r="I1723">
        <v>72</v>
      </c>
      <c r="J1723" s="3">
        <v>6796400</v>
      </c>
      <c r="K1723" s="3">
        <v>489340800</v>
      </c>
      <c r="L1723" s="2" t="s">
        <v>33</v>
      </c>
      <c r="M1723" s="2" t="s">
        <v>26</v>
      </c>
      <c r="N1723">
        <v>2024</v>
      </c>
      <c r="O1723" s="2" t="s">
        <v>148</v>
      </c>
      <c r="P1723" s="2" t="s">
        <v>151</v>
      </c>
      <c r="Q1723">
        <v>9</v>
      </c>
      <c r="R1723" s="4">
        <v>45536</v>
      </c>
      <c r="S1723" s="3">
        <v>6796400</v>
      </c>
      <c r="T1723" s="3">
        <v>48.93</v>
      </c>
    </row>
    <row r="1724" spans="1:20" x14ac:dyDescent="0.3">
      <c r="A1724" s="1">
        <v>45558</v>
      </c>
      <c r="B1724" s="2" t="s">
        <v>52</v>
      </c>
      <c r="C1724" s="2" t="s">
        <v>53</v>
      </c>
      <c r="D1724" s="2" t="s">
        <v>22</v>
      </c>
      <c r="E1724" s="2" t="s">
        <v>23</v>
      </c>
      <c r="F1724" s="2" t="s">
        <v>39</v>
      </c>
      <c r="G1724">
        <v>82</v>
      </c>
      <c r="H1724">
        <v>520</v>
      </c>
      <c r="I1724">
        <v>79</v>
      </c>
      <c r="J1724" s="3">
        <v>7318800</v>
      </c>
      <c r="K1724" s="3">
        <v>578185200</v>
      </c>
      <c r="L1724" s="2" t="s">
        <v>33</v>
      </c>
      <c r="M1724" s="2" t="s">
        <v>26</v>
      </c>
      <c r="N1724">
        <v>2024</v>
      </c>
      <c r="O1724" s="2" t="s">
        <v>148</v>
      </c>
      <c r="P1724" s="2" t="s">
        <v>151</v>
      </c>
      <c r="Q1724">
        <v>9</v>
      </c>
      <c r="R1724" s="4">
        <v>45536</v>
      </c>
      <c r="S1724" s="3">
        <v>7318800</v>
      </c>
      <c r="T1724" s="3">
        <v>57.82</v>
      </c>
    </row>
    <row r="1725" spans="1:20" x14ac:dyDescent="0.3">
      <c r="A1725" s="1">
        <v>45558</v>
      </c>
      <c r="B1725" s="2" t="s">
        <v>46</v>
      </c>
      <c r="C1725" s="2" t="s">
        <v>137</v>
      </c>
      <c r="D1725" s="2" t="s">
        <v>102</v>
      </c>
      <c r="E1725" s="2" t="s">
        <v>103</v>
      </c>
      <c r="F1725" s="2" t="s">
        <v>24</v>
      </c>
      <c r="G1725">
        <v>5</v>
      </c>
      <c r="H1725">
        <v>150</v>
      </c>
      <c r="I1725">
        <v>140</v>
      </c>
      <c r="J1725" s="3">
        <v>186300</v>
      </c>
      <c r="K1725" s="3">
        <v>26082000</v>
      </c>
      <c r="L1725" s="2" t="s">
        <v>25</v>
      </c>
      <c r="M1725" s="2" t="s">
        <v>97</v>
      </c>
      <c r="N1725">
        <v>2024</v>
      </c>
      <c r="O1725" s="2" t="s">
        <v>148</v>
      </c>
      <c r="P1725" s="2" t="s">
        <v>151</v>
      </c>
      <c r="Q1725">
        <v>9</v>
      </c>
      <c r="R1725" s="4">
        <v>45536</v>
      </c>
      <c r="S1725" s="3">
        <v>186300</v>
      </c>
      <c r="T1725" s="3">
        <v>2.61</v>
      </c>
    </row>
    <row r="1726" spans="1:20" x14ac:dyDescent="0.3">
      <c r="A1726" s="1">
        <v>45558</v>
      </c>
      <c r="B1726" s="2" t="s">
        <v>84</v>
      </c>
      <c r="C1726" s="2" t="s">
        <v>126</v>
      </c>
      <c r="D1726" s="2" t="s">
        <v>57</v>
      </c>
      <c r="E1726" s="2" t="s">
        <v>86</v>
      </c>
      <c r="F1726" s="2" t="s">
        <v>24</v>
      </c>
      <c r="G1726">
        <v>48</v>
      </c>
      <c r="H1726">
        <v>39</v>
      </c>
      <c r="I1726">
        <v>97</v>
      </c>
      <c r="J1726" s="3">
        <v>1985500</v>
      </c>
      <c r="K1726" s="3">
        <v>192593500</v>
      </c>
      <c r="L1726" s="2" t="s">
        <v>92</v>
      </c>
      <c r="M1726" s="2" t="s">
        <v>26</v>
      </c>
      <c r="N1726">
        <v>2024</v>
      </c>
      <c r="O1726" s="2" t="s">
        <v>148</v>
      </c>
      <c r="P1726" s="2" t="s">
        <v>151</v>
      </c>
      <c r="Q1726">
        <v>9</v>
      </c>
      <c r="R1726" s="4">
        <v>45536</v>
      </c>
      <c r="S1726" s="3">
        <v>1985500</v>
      </c>
      <c r="T1726" s="3">
        <v>19.260000000000002</v>
      </c>
    </row>
    <row r="1727" spans="1:20" x14ac:dyDescent="0.3">
      <c r="A1727" s="1">
        <v>45558</v>
      </c>
      <c r="B1727" s="2" t="s">
        <v>108</v>
      </c>
      <c r="C1727" s="2" t="s">
        <v>123</v>
      </c>
      <c r="D1727" s="2" t="s">
        <v>50</v>
      </c>
      <c r="E1727" s="2" t="s">
        <v>51</v>
      </c>
      <c r="F1727" s="2" t="s">
        <v>24</v>
      </c>
      <c r="G1727">
        <v>77</v>
      </c>
      <c r="H1727">
        <v>528</v>
      </c>
      <c r="I1727">
        <v>49</v>
      </c>
      <c r="J1727" s="3">
        <v>5087000</v>
      </c>
      <c r="K1727" s="3">
        <v>249263000</v>
      </c>
      <c r="L1727" s="2" t="s">
        <v>33</v>
      </c>
      <c r="M1727" s="2" t="s">
        <v>34</v>
      </c>
      <c r="N1727">
        <v>2024</v>
      </c>
      <c r="O1727" s="2" t="s">
        <v>148</v>
      </c>
      <c r="P1727" s="2" t="s">
        <v>151</v>
      </c>
      <c r="Q1727">
        <v>9</v>
      </c>
      <c r="R1727" s="4">
        <v>45536</v>
      </c>
      <c r="S1727" s="3">
        <v>5087000</v>
      </c>
      <c r="T1727" s="3">
        <v>24.93</v>
      </c>
    </row>
    <row r="1728" spans="1:20" x14ac:dyDescent="0.3">
      <c r="A1728" s="1">
        <v>45558</v>
      </c>
      <c r="B1728" s="2" t="s">
        <v>75</v>
      </c>
      <c r="C1728" s="2" t="s">
        <v>76</v>
      </c>
      <c r="D1728" s="2" t="s">
        <v>67</v>
      </c>
      <c r="E1728" s="2" t="s">
        <v>118</v>
      </c>
      <c r="F1728" s="2" t="s">
        <v>24</v>
      </c>
      <c r="G1728">
        <v>84</v>
      </c>
      <c r="H1728">
        <v>590</v>
      </c>
      <c r="I1728">
        <v>21</v>
      </c>
      <c r="J1728" s="3">
        <v>8062200</v>
      </c>
      <c r="K1728" s="3">
        <v>169306200</v>
      </c>
      <c r="L1728" s="2" t="s">
        <v>33</v>
      </c>
      <c r="M1728" s="2" t="s">
        <v>97</v>
      </c>
      <c r="N1728">
        <v>2024</v>
      </c>
      <c r="O1728" s="2" t="s">
        <v>148</v>
      </c>
      <c r="P1728" s="2" t="s">
        <v>151</v>
      </c>
      <c r="Q1728">
        <v>9</v>
      </c>
      <c r="R1728" s="4">
        <v>45536</v>
      </c>
      <c r="S1728" s="3">
        <v>8062200</v>
      </c>
      <c r="T1728" s="3">
        <v>16.93</v>
      </c>
    </row>
    <row r="1729" spans="1:20" x14ac:dyDescent="0.3">
      <c r="A1729" s="1">
        <v>45559</v>
      </c>
      <c r="B1729" s="2" t="s">
        <v>20</v>
      </c>
      <c r="C1729" s="2" t="s">
        <v>112</v>
      </c>
      <c r="D1729" s="2" t="s">
        <v>88</v>
      </c>
      <c r="E1729" s="2" t="s">
        <v>89</v>
      </c>
      <c r="F1729" s="2" t="s">
        <v>24</v>
      </c>
      <c r="G1729">
        <v>82</v>
      </c>
      <c r="H1729">
        <v>580</v>
      </c>
      <c r="I1729">
        <v>16</v>
      </c>
      <c r="J1729" s="3">
        <v>5447800</v>
      </c>
      <c r="K1729" s="3">
        <v>87164800</v>
      </c>
      <c r="L1729" s="2" t="s">
        <v>33</v>
      </c>
      <c r="M1729" s="2" t="s">
        <v>26</v>
      </c>
      <c r="N1729">
        <v>2024</v>
      </c>
      <c r="O1729" s="2" t="s">
        <v>148</v>
      </c>
      <c r="P1729" s="2" t="s">
        <v>151</v>
      </c>
      <c r="Q1729">
        <v>9</v>
      </c>
      <c r="R1729" s="4">
        <v>45536</v>
      </c>
      <c r="S1729" s="3">
        <v>5447800</v>
      </c>
      <c r="T1729" s="3">
        <v>8.7200000000000006</v>
      </c>
    </row>
    <row r="1730" spans="1:20" x14ac:dyDescent="0.3">
      <c r="A1730" s="1">
        <v>45560</v>
      </c>
      <c r="B1730" s="2" t="s">
        <v>48</v>
      </c>
      <c r="C1730" s="2" t="s">
        <v>73</v>
      </c>
      <c r="D1730" s="2" t="s">
        <v>70</v>
      </c>
      <c r="E1730" s="2" t="s">
        <v>74</v>
      </c>
      <c r="F1730" s="2" t="s">
        <v>24</v>
      </c>
      <c r="G1730">
        <v>25</v>
      </c>
      <c r="H1730">
        <v>32</v>
      </c>
      <c r="I1730">
        <v>60</v>
      </c>
      <c r="J1730" s="3">
        <v>1287600</v>
      </c>
      <c r="K1730" s="3">
        <v>77256000</v>
      </c>
      <c r="L1730" s="2" t="s">
        <v>33</v>
      </c>
      <c r="M1730" s="2" t="s">
        <v>77</v>
      </c>
      <c r="N1730">
        <v>2024</v>
      </c>
      <c r="O1730" s="2" t="s">
        <v>148</v>
      </c>
      <c r="P1730" s="2" t="s">
        <v>151</v>
      </c>
      <c r="Q1730">
        <v>9</v>
      </c>
      <c r="R1730" s="4">
        <v>45536</v>
      </c>
      <c r="S1730" s="3">
        <v>1287600</v>
      </c>
      <c r="T1730" s="3">
        <v>7.73</v>
      </c>
    </row>
    <row r="1731" spans="1:20" x14ac:dyDescent="0.3">
      <c r="A1731" s="1">
        <v>45560</v>
      </c>
      <c r="B1731" s="2" t="s">
        <v>59</v>
      </c>
      <c r="C1731" s="2" t="s">
        <v>60</v>
      </c>
      <c r="D1731" s="2" t="s">
        <v>57</v>
      </c>
      <c r="E1731" s="2" t="s">
        <v>58</v>
      </c>
      <c r="F1731" s="2" t="s">
        <v>24</v>
      </c>
      <c r="G1731">
        <v>72</v>
      </c>
      <c r="H1731">
        <v>488</v>
      </c>
      <c r="I1731">
        <v>71</v>
      </c>
      <c r="J1731" s="3">
        <v>4631200</v>
      </c>
      <c r="K1731" s="3">
        <v>328815200</v>
      </c>
      <c r="L1731" s="2" t="s">
        <v>92</v>
      </c>
      <c r="M1731" s="2" t="s">
        <v>26</v>
      </c>
      <c r="N1731">
        <v>2024</v>
      </c>
      <c r="O1731" s="2" t="s">
        <v>148</v>
      </c>
      <c r="P1731" s="2" t="s">
        <v>151</v>
      </c>
      <c r="Q1731">
        <v>9</v>
      </c>
      <c r="R1731" s="4">
        <v>45536</v>
      </c>
      <c r="S1731" s="3">
        <v>4631200</v>
      </c>
      <c r="T1731" s="3">
        <v>32.880000000000003</v>
      </c>
    </row>
    <row r="1732" spans="1:20" x14ac:dyDescent="0.3">
      <c r="A1732" s="1">
        <v>45560</v>
      </c>
      <c r="B1732" s="2" t="s">
        <v>29</v>
      </c>
      <c r="C1732" s="2" t="s">
        <v>30</v>
      </c>
      <c r="D1732" s="2" t="s">
        <v>42</v>
      </c>
      <c r="E1732" s="2" t="s">
        <v>43</v>
      </c>
      <c r="F1732" s="2" t="s">
        <v>24</v>
      </c>
      <c r="G1732">
        <v>3</v>
      </c>
      <c r="H1732">
        <v>135</v>
      </c>
      <c r="I1732">
        <v>92</v>
      </c>
      <c r="J1732" s="3">
        <v>103400</v>
      </c>
      <c r="K1732" s="3">
        <v>9512800</v>
      </c>
      <c r="L1732" s="2" t="s">
        <v>33</v>
      </c>
      <c r="M1732" s="2" t="s">
        <v>34</v>
      </c>
      <c r="N1732">
        <v>2024</v>
      </c>
      <c r="O1732" s="2" t="s">
        <v>148</v>
      </c>
      <c r="P1732" s="2" t="s">
        <v>151</v>
      </c>
      <c r="Q1732">
        <v>9</v>
      </c>
      <c r="R1732" s="4">
        <v>45536</v>
      </c>
      <c r="S1732" s="3">
        <v>103400</v>
      </c>
      <c r="T1732" s="3">
        <v>0.95</v>
      </c>
    </row>
    <row r="1733" spans="1:20" x14ac:dyDescent="0.3">
      <c r="A1733" s="1">
        <v>45561</v>
      </c>
      <c r="B1733" s="2" t="s">
        <v>90</v>
      </c>
      <c r="C1733" s="2" t="s">
        <v>128</v>
      </c>
      <c r="D1733" s="2" t="s">
        <v>70</v>
      </c>
      <c r="E1733" s="2" t="s">
        <v>71</v>
      </c>
      <c r="F1733" s="2" t="s">
        <v>24</v>
      </c>
      <c r="G1733">
        <v>50</v>
      </c>
      <c r="H1733">
        <v>46</v>
      </c>
      <c r="I1733">
        <v>63</v>
      </c>
      <c r="J1733" s="3">
        <v>2130700</v>
      </c>
      <c r="K1733" s="3">
        <v>134234100</v>
      </c>
      <c r="L1733" s="2" t="s">
        <v>33</v>
      </c>
      <c r="M1733" s="2" t="s">
        <v>26</v>
      </c>
      <c r="N1733">
        <v>2024</v>
      </c>
      <c r="O1733" s="2" t="s">
        <v>148</v>
      </c>
      <c r="P1733" s="2" t="s">
        <v>151</v>
      </c>
      <c r="Q1733">
        <v>9</v>
      </c>
      <c r="R1733" s="4">
        <v>45536</v>
      </c>
      <c r="S1733" s="3">
        <v>2130700</v>
      </c>
      <c r="T1733" s="3">
        <v>13.42</v>
      </c>
    </row>
    <row r="1734" spans="1:20" x14ac:dyDescent="0.3">
      <c r="A1734" s="1">
        <v>45561</v>
      </c>
      <c r="B1734" s="2" t="s">
        <v>90</v>
      </c>
      <c r="C1734" s="2" t="s">
        <v>99</v>
      </c>
      <c r="D1734" s="2" t="s">
        <v>22</v>
      </c>
      <c r="E1734" s="2" t="s">
        <v>23</v>
      </c>
      <c r="F1734" s="2" t="s">
        <v>24</v>
      </c>
      <c r="G1734">
        <v>82</v>
      </c>
      <c r="H1734">
        <v>520</v>
      </c>
      <c r="I1734">
        <v>20</v>
      </c>
      <c r="J1734" s="3">
        <v>7616000</v>
      </c>
      <c r="K1734" s="3">
        <v>152320000</v>
      </c>
      <c r="L1734" s="2" t="s">
        <v>33</v>
      </c>
      <c r="M1734" s="2" t="s">
        <v>34</v>
      </c>
      <c r="N1734">
        <v>2024</v>
      </c>
      <c r="O1734" s="2" t="s">
        <v>148</v>
      </c>
      <c r="P1734" s="2" t="s">
        <v>151</v>
      </c>
      <c r="Q1734">
        <v>9</v>
      </c>
      <c r="R1734" s="4">
        <v>45536</v>
      </c>
      <c r="S1734" s="3">
        <v>7616000</v>
      </c>
      <c r="T1734" s="3">
        <v>15.23</v>
      </c>
    </row>
    <row r="1735" spans="1:20" x14ac:dyDescent="0.3">
      <c r="A1735" s="1">
        <v>45562</v>
      </c>
      <c r="B1735" s="2" t="s">
        <v>48</v>
      </c>
      <c r="C1735" s="2" t="s">
        <v>73</v>
      </c>
      <c r="D1735" s="2" t="s">
        <v>22</v>
      </c>
      <c r="E1735" s="2" t="s">
        <v>23</v>
      </c>
      <c r="F1735" s="2" t="s">
        <v>39</v>
      </c>
      <c r="G1735">
        <v>82</v>
      </c>
      <c r="H1735">
        <v>520</v>
      </c>
      <c r="I1735">
        <v>40</v>
      </c>
      <c r="J1735" s="3">
        <v>7549800</v>
      </c>
      <c r="K1735" s="3">
        <v>301992000</v>
      </c>
      <c r="L1735" s="2" t="s">
        <v>25</v>
      </c>
      <c r="M1735" s="2" t="s">
        <v>34</v>
      </c>
      <c r="N1735">
        <v>2024</v>
      </c>
      <c r="O1735" s="2" t="s">
        <v>148</v>
      </c>
      <c r="P1735" s="2" t="s">
        <v>151</v>
      </c>
      <c r="Q1735">
        <v>9</v>
      </c>
      <c r="R1735" s="4">
        <v>45536</v>
      </c>
      <c r="S1735" s="3">
        <v>7549800</v>
      </c>
      <c r="T1735" s="3">
        <v>30.2</v>
      </c>
    </row>
    <row r="1736" spans="1:20" x14ac:dyDescent="0.3">
      <c r="A1736" s="1">
        <v>45563</v>
      </c>
      <c r="B1736" s="2" t="s">
        <v>48</v>
      </c>
      <c r="C1736" s="2" t="s">
        <v>73</v>
      </c>
      <c r="D1736" s="2" t="s">
        <v>88</v>
      </c>
      <c r="E1736" s="2" t="s">
        <v>89</v>
      </c>
      <c r="F1736" s="2" t="s">
        <v>24</v>
      </c>
      <c r="G1736">
        <v>82</v>
      </c>
      <c r="H1736">
        <v>580</v>
      </c>
      <c r="I1736">
        <v>62</v>
      </c>
      <c r="J1736" s="3">
        <v>5023000</v>
      </c>
      <c r="K1736" s="3">
        <v>311426000</v>
      </c>
      <c r="L1736" s="2" t="s">
        <v>33</v>
      </c>
      <c r="M1736" s="2" t="s">
        <v>26</v>
      </c>
      <c r="N1736">
        <v>2024</v>
      </c>
      <c r="O1736" s="2" t="s">
        <v>148</v>
      </c>
      <c r="P1736" s="2" t="s">
        <v>151</v>
      </c>
      <c r="Q1736">
        <v>9</v>
      </c>
      <c r="R1736" s="4">
        <v>45536</v>
      </c>
      <c r="S1736" s="3">
        <v>5023000</v>
      </c>
      <c r="T1736" s="3">
        <v>31.14</v>
      </c>
    </row>
    <row r="1737" spans="1:20" x14ac:dyDescent="0.3">
      <c r="A1737" s="1">
        <v>45563</v>
      </c>
      <c r="B1737" s="2" t="s">
        <v>108</v>
      </c>
      <c r="C1737" s="2" t="s">
        <v>131</v>
      </c>
      <c r="D1737" s="2" t="s">
        <v>82</v>
      </c>
      <c r="E1737" s="2" t="s">
        <v>141</v>
      </c>
      <c r="F1737" s="2" t="s">
        <v>24</v>
      </c>
      <c r="G1737">
        <v>59</v>
      </c>
      <c r="H1737">
        <v>55</v>
      </c>
      <c r="I1737">
        <v>122</v>
      </c>
      <c r="J1737" s="3">
        <v>2536500</v>
      </c>
      <c r="K1737" s="3">
        <v>309453000</v>
      </c>
      <c r="L1737" s="2" t="s">
        <v>33</v>
      </c>
      <c r="M1737" s="2" t="s">
        <v>26</v>
      </c>
      <c r="N1737">
        <v>2024</v>
      </c>
      <c r="O1737" s="2" t="s">
        <v>148</v>
      </c>
      <c r="P1737" s="2" t="s">
        <v>151</v>
      </c>
      <c r="Q1737">
        <v>9</v>
      </c>
      <c r="R1737" s="4">
        <v>45536</v>
      </c>
      <c r="S1737" s="3">
        <v>2536500</v>
      </c>
      <c r="T1737" s="3">
        <v>30.95</v>
      </c>
    </row>
    <row r="1738" spans="1:20" x14ac:dyDescent="0.3">
      <c r="A1738" s="1">
        <v>45563</v>
      </c>
      <c r="B1738" s="2" t="s">
        <v>48</v>
      </c>
      <c r="C1738" s="2" t="s">
        <v>98</v>
      </c>
      <c r="D1738" s="2" t="s">
        <v>31</v>
      </c>
      <c r="E1738" s="2" t="s">
        <v>124</v>
      </c>
      <c r="F1738" s="2" t="s">
        <v>24</v>
      </c>
      <c r="G1738">
        <v>3</v>
      </c>
      <c r="H1738">
        <v>151</v>
      </c>
      <c r="I1738">
        <v>94</v>
      </c>
      <c r="J1738" s="3">
        <v>93000</v>
      </c>
      <c r="K1738" s="3">
        <v>8742000</v>
      </c>
      <c r="L1738" s="2" t="s">
        <v>92</v>
      </c>
      <c r="M1738" s="2" t="s">
        <v>77</v>
      </c>
      <c r="N1738">
        <v>2024</v>
      </c>
      <c r="O1738" s="2" t="s">
        <v>148</v>
      </c>
      <c r="P1738" s="2" t="s">
        <v>151</v>
      </c>
      <c r="Q1738">
        <v>9</v>
      </c>
      <c r="R1738" s="4">
        <v>45536</v>
      </c>
      <c r="S1738" s="3">
        <v>93000</v>
      </c>
      <c r="T1738" s="3">
        <v>0.87</v>
      </c>
    </row>
    <row r="1739" spans="1:20" x14ac:dyDescent="0.3">
      <c r="A1739" s="1">
        <v>45563</v>
      </c>
      <c r="B1739" s="2" t="s">
        <v>108</v>
      </c>
      <c r="C1739" s="2" t="s">
        <v>109</v>
      </c>
      <c r="D1739" s="2" t="s">
        <v>31</v>
      </c>
      <c r="E1739" s="2" t="s">
        <v>32</v>
      </c>
      <c r="F1739" s="2" t="s">
        <v>24</v>
      </c>
      <c r="G1739">
        <v>4</v>
      </c>
      <c r="H1739">
        <v>195</v>
      </c>
      <c r="I1739">
        <v>120</v>
      </c>
      <c r="J1739" s="3">
        <v>137400</v>
      </c>
      <c r="K1739" s="3">
        <v>16488000</v>
      </c>
      <c r="L1739" s="2" t="s">
        <v>92</v>
      </c>
      <c r="M1739" s="2" t="s">
        <v>26</v>
      </c>
      <c r="N1739">
        <v>2024</v>
      </c>
      <c r="O1739" s="2" t="s">
        <v>148</v>
      </c>
      <c r="P1739" s="2" t="s">
        <v>151</v>
      </c>
      <c r="Q1739">
        <v>9</v>
      </c>
      <c r="R1739" s="4">
        <v>45536</v>
      </c>
      <c r="S1739" s="3">
        <v>137400</v>
      </c>
      <c r="T1739" s="3">
        <v>1.65</v>
      </c>
    </row>
    <row r="1740" spans="1:20" x14ac:dyDescent="0.3">
      <c r="A1740" s="1">
        <v>45563</v>
      </c>
      <c r="B1740" s="2" t="s">
        <v>84</v>
      </c>
      <c r="C1740" s="2" t="s">
        <v>93</v>
      </c>
      <c r="D1740" s="2" t="s">
        <v>94</v>
      </c>
      <c r="E1740" s="2" t="s">
        <v>140</v>
      </c>
      <c r="F1740" s="2" t="s">
        <v>24</v>
      </c>
      <c r="G1740">
        <v>35</v>
      </c>
      <c r="H1740">
        <v>32</v>
      </c>
      <c r="I1740">
        <v>14</v>
      </c>
      <c r="J1740" s="3">
        <v>2166400</v>
      </c>
      <c r="K1740" s="3">
        <v>30329600</v>
      </c>
      <c r="L1740" s="2" t="s">
        <v>25</v>
      </c>
      <c r="M1740" s="2" t="s">
        <v>34</v>
      </c>
      <c r="N1740">
        <v>2024</v>
      </c>
      <c r="O1740" s="2" t="s">
        <v>148</v>
      </c>
      <c r="P1740" s="2" t="s">
        <v>151</v>
      </c>
      <c r="Q1740">
        <v>9</v>
      </c>
      <c r="R1740" s="4">
        <v>45536</v>
      </c>
      <c r="S1740" s="3">
        <v>2166400</v>
      </c>
      <c r="T1740" s="3">
        <v>3.03</v>
      </c>
    </row>
    <row r="1741" spans="1:20" x14ac:dyDescent="0.3">
      <c r="A1741" s="1">
        <v>45564</v>
      </c>
      <c r="B1741" s="2" t="s">
        <v>40</v>
      </c>
      <c r="C1741" s="2" t="s">
        <v>78</v>
      </c>
      <c r="D1741" s="2" t="s">
        <v>88</v>
      </c>
      <c r="E1741" s="2" t="s">
        <v>111</v>
      </c>
      <c r="F1741" s="2" t="s">
        <v>72</v>
      </c>
      <c r="G1741">
        <v>60</v>
      </c>
      <c r="H1741">
        <v>480</v>
      </c>
      <c r="I1741">
        <v>44</v>
      </c>
      <c r="J1741" s="3">
        <v>3446600</v>
      </c>
      <c r="K1741" s="3">
        <v>151650400</v>
      </c>
      <c r="L1741" s="2" t="s">
        <v>33</v>
      </c>
      <c r="M1741" s="2" t="s">
        <v>26</v>
      </c>
      <c r="N1741">
        <v>2024</v>
      </c>
      <c r="O1741" s="2" t="s">
        <v>148</v>
      </c>
      <c r="P1741" s="2" t="s">
        <v>151</v>
      </c>
      <c r="Q1741">
        <v>9</v>
      </c>
      <c r="R1741" s="4">
        <v>45536</v>
      </c>
      <c r="S1741" s="3">
        <v>3446600</v>
      </c>
      <c r="T1741" s="3">
        <v>15.17</v>
      </c>
    </row>
    <row r="1742" spans="1:20" x14ac:dyDescent="0.3">
      <c r="A1742" s="1">
        <v>45564</v>
      </c>
      <c r="B1742" s="2" t="s">
        <v>84</v>
      </c>
      <c r="C1742" s="2" t="s">
        <v>93</v>
      </c>
      <c r="D1742" s="2" t="s">
        <v>50</v>
      </c>
      <c r="E1742" s="2" t="s">
        <v>51</v>
      </c>
      <c r="F1742" s="2" t="s">
        <v>24</v>
      </c>
      <c r="G1742">
        <v>77</v>
      </c>
      <c r="H1742">
        <v>528</v>
      </c>
      <c r="I1742">
        <v>46</v>
      </c>
      <c r="J1742" s="3">
        <v>5374000</v>
      </c>
      <c r="K1742" s="3">
        <v>247204000</v>
      </c>
      <c r="L1742" s="2" t="s">
        <v>33</v>
      </c>
      <c r="M1742" s="2" t="s">
        <v>97</v>
      </c>
      <c r="N1742">
        <v>2024</v>
      </c>
      <c r="O1742" s="2" t="s">
        <v>148</v>
      </c>
      <c r="P1742" s="2" t="s">
        <v>151</v>
      </c>
      <c r="Q1742">
        <v>9</v>
      </c>
      <c r="R1742" s="4">
        <v>45536</v>
      </c>
      <c r="S1742" s="3">
        <v>5374000</v>
      </c>
      <c r="T1742" s="3">
        <v>24.72</v>
      </c>
    </row>
    <row r="1743" spans="1:20" x14ac:dyDescent="0.3">
      <c r="A1743" s="1">
        <v>45564</v>
      </c>
      <c r="B1743" s="2" t="s">
        <v>52</v>
      </c>
      <c r="C1743" s="2" t="s">
        <v>66</v>
      </c>
      <c r="D1743" s="2" t="s">
        <v>102</v>
      </c>
      <c r="E1743" s="2" t="s">
        <v>103</v>
      </c>
      <c r="F1743" s="2" t="s">
        <v>24</v>
      </c>
      <c r="G1743">
        <v>5</v>
      </c>
      <c r="H1743">
        <v>150</v>
      </c>
      <c r="I1743">
        <v>112</v>
      </c>
      <c r="J1743" s="3">
        <v>161000</v>
      </c>
      <c r="K1743" s="3">
        <v>18032000</v>
      </c>
      <c r="L1743" s="2" t="s">
        <v>33</v>
      </c>
      <c r="M1743" s="2" t="s">
        <v>77</v>
      </c>
      <c r="N1743">
        <v>2024</v>
      </c>
      <c r="O1743" s="2" t="s">
        <v>148</v>
      </c>
      <c r="P1743" s="2" t="s">
        <v>151</v>
      </c>
      <c r="Q1743">
        <v>9</v>
      </c>
      <c r="R1743" s="4">
        <v>45536</v>
      </c>
      <c r="S1743" s="3">
        <v>161000</v>
      </c>
      <c r="T1743" s="3">
        <v>1.8</v>
      </c>
    </row>
    <row r="1744" spans="1:20" x14ac:dyDescent="0.3">
      <c r="A1744" s="1">
        <v>45564</v>
      </c>
      <c r="B1744" s="2" t="s">
        <v>40</v>
      </c>
      <c r="C1744" s="2" t="s">
        <v>136</v>
      </c>
      <c r="D1744" s="2" t="s">
        <v>82</v>
      </c>
      <c r="E1744" s="2" t="s">
        <v>141</v>
      </c>
      <c r="F1744" s="2" t="s">
        <v>24</v>
      </c>
      <c r="G1744">
        <v>59</v>
      </c>
      <c r="H1744">
        <v>55</v>
      </c>
      <c r="I1744">
        <v>106</v>
      </c>
      <c r="J1744" s="3">
        <v>2338300</v>
      </c>
      <c r="K1744" s="3">
        <v>247859800</v>
      </c>
      <c r="L1744" s="2" t="s">
        <v>25</v>
      </c>
      <c r="M1744" s="2" t="s">
        <v>77</v>
      </c>
      <c r="N1744">
        <v>2024</v>
      </c>
      <c r="O1744" s="2" t="s">
        <v>148</v>
      </c>
      <c r="P1744" s="2" t="s">
        <v>151</v>
      </c>
      <c r="Q1744">
        <v>9</v>
      </c>
      <c r="R1744" s="4">
        <v>45536</v>
      </c>
      <c r="S1744" s="3">
        <v>2338300</v>
      </c>
      <c r="T1744" s="3">
        <v>24.79</v>
      </c>
    </row>
    <row r="1745" spans="1:20" x14ac:dyDescent="0.3">
      <c r="A1745" s="1">
        <v>45564</v>
      </c>
      <c r="B1745" s="2" t="s">
        <v>44</v>
      </c>
      <c r="C1745" s="2" t="s">
        <v>117</v>
      </c>
      <c r="D1745" s="2" t="s">
        <v>67</v>
      </c>
      <c r="E1745" s="2" t="s">
        <v>68</v>
      </c>
      <c r="F1745" s="2" t="s">
        <v>24</v>
      </c>
      <c r="G1745">
        <v>66</v>
      </c>
      <c r="H1745">
        <v>440</v>
      </c>
      <c r="I1745">
        <v>79</v>
      </c>
      <c r="J1745" s="3">
        <v>5801300</v>
      </c>
      <c r="K1745" s="3">
        <v>458302700</v>
      </c>
      <c r="L1745" s="2" t="s">
        <v>33</v>
      </c>
      <c r="M1745" s="2" t="s">
        <v>26</v>
      </c>
      <c r="N1745">
        <v>2024</v>
      </c>
      <c r="O1745" s="2" t="s">
        <v>148</v>
      </c>
      <c r="P1745" s="2" t="s">
        <v>151</v>
      </c>
      <c r="Q1745">
        <v>9</v>
      </c>
      <c r="R1745" s="4">
        <v>45536</v>
      </c>
      <c r="S1745" s="3">
        <v>5801300</v>
      </c>
      <c r="T1745" s="3">
        <v>45.83</v>
      </c>
    </row>
    <row r="1746" spans="1:20" x14ac:dyDescent="0.3">
      <c r="A1746" s="1">
        <v>45566</v>
      </c>
      <c r="B1746" s="2" t="s">
        <v>40</v>
      </c>
      <c r="C1746" s="2" t="s">
        <v>105</v>
      </c>
      <c r="D1746" s="2" t="s">
        <v>54</v>
      </c>
      <c r="E1746" s="2" t="s">
        <v>55</v>
      </c>
      <c r="F1746" s="2" t="s">
        <v>24</v>
      </c>
      <c r="G1746">
        <v>30</v>
      </c>
      <c r="H1746">
        <v>320</v>
      </c>
      <c r="I1746">
        <v>63</v>
      </c>
      <c r="J1746" s="3">
        <v>1272100</v>
      </c>
      <c r="K1746" s="3">
        <v>80142300</v>
      </c>
      <c r="L1746" s="2" t="s">
        <v>25</v>
      </c>
      <c r="M1746" s="2" t="s">
        <v>26</v>
      </c>
      <c r="N1746">
        <v>2024</v>
      </c>
      <c r="O1746" s="2" t="s">
        <v>152</v>
      </c>
      <c r="P1746" s="2" t="s">
        <v>153</v>
      </c>
      <c r="Q1746">
        <v>10</v>
      </c>
      <c r="R1746" s="4">
        <v>45566</v>
      </c>
      <c r="S1746" s="3">
        <v>1272100</v>
      </c>
      <c r="T1746" s="3">
        <v>8.01</v>
      </c>
    </row>
    <row r="1747" spans="1:20" x14ac:dyDescent="0.3">
      <c r="A1747" s="1">
        <v>45566</v>
      </c>
      <c r="B1747" s="2" t="s">
        <v>59</v>
      </c>
      <c r="C1747" s="2" t="s">
        <v>135</v>
      </c>
      <c r="D1747" s="2" t="s">
        <v>57</v>
      </c>
      <c r="E1747" s="2" t="s">
        <v>58</v>
      </c>
      <c r="F1747" s="2" t="s">
        <v>24</v>
      </c>
      <c r="G1747">
        <v>72</v>
      </c>
      <c r="H1747">
        <v>488</v>
      </c>
      <c r="I1747">
        <v>118</v>
      </c>
      <c r="J1747" s="3">
        <v>5217800</v>
      </c>
      <c r="K1747" s="3">
        <v>615700400</v>
      </c>
      <c r="L1747" s="2" t="s">
        <v>33</v>
      </c>
      <c r="M1747" s="2" t="s">
        <v>34</v>
      </c>
      <c r="N1747">
        <v>2024</v>
      </c>
      <c r="O1747" s="2" t="s">
        <v>152</v>
      </c>
      <c r="P1747" s="2" t="s">
        <v>153</v>
      </c>
      <c r="Q1747">
        <v>10</v>
      </c>
      <c r="R1747" s="4">
        <v>45566</v>
      </c>
      <c r="S1747" s="3">
        <v>5217800</v>
      </c>
      <c r="T1747" s="3">
        <v>61.57</v>
      </c>
    </row>
    <row r="1748" spans="1:20" x14ac:dyDescent="0.3">
      <c r="A1748" s="1">
        <v>45567</v>
      </c>
      <c r="B1748" s="2" t="s">
        <v>29</v>
      </c>
      <c r="C1748" s="2" t="s">
        <v>30</v>
      </c>
      <c r="D1748" s="2" t="s">
        <v>94</v>
      </c>
      <c r="E1748" s="2" t="s">
        <v>140</v>
      </c>
      <c r="F1748" s="2" t="s">
        <v>24</v>
      </c>
      <c r="G1748">
        <v>35</v>
      </c>
      <c r="H1748">
        <v>32</v>
      </c>
      <c r="I1748">
        <v>33</v>
      </c>
      <c r="J1748" s="3">
        <v>2124000</v>
      </c>
      <c r="K1748" s="3">
        <v>70092000</v>
      </c>
      <c r="L1748" s="2" t="s">
        <v>25</v>
      </c>
      <c r="M1748" s="2" t="s">
        <v>77</v>
      </c>
      <c r="N1748">
        <v>2024</v>
      </c>
      <c r="O1748" s="2" t="s">
        <v>152</v>
      </c>
      <c r="P1748" s="2" t="s">
        <v>153</v>
      </c>
      <c r="Q1748">
        <v>10</v>
      </c>
      <c r="R1748" s="4">
        <v>45566</v>
      </c>
      <c r="S1748" s="3">
        <v>2124000</v>
      </c>
      <c r="T1748" s="3">
        <v>7.01</v>
      </c>
    </row>
    <row r="1749" spans="1:20" x14ac:dyDescent="0.3">
      <c r="A1749" s="1">
        <v>45567</v>
      </c>
      <c r="B1749" s="2" t="s">
        <v>35</v>
      </c>
      <c r="C1749" s="2" t="s">
        <v>121</v>
      </c>
      <c r="D1749" s="2" t="s">
        <v>94</v>
      </c>
      <c r="E1749" s="2" t="s">
        <v>140</v>
      </c>
      <c r="F1749" s="2" t="s">
        <v>24</v>
      </c>
      <c r="G1749">
        <v>35</v>
      </c>
      <c r="H1749">
        <v>32</v>
      </c>
      <c r="I1749">
        <v>113</v>
      </c>
      <c r="J1749" s="3">
        <v>1708700</v>
      </c>
      <c r="K1749" s="3">
        <v>193083100</v>
      </c>
      <c r="L1749" s="2" t="s">
        <v>33</v>
      </c>
      <c r="M1749" s="2" t="s">
        <v>26</v>
      </c>
      <c r="N1749">
        <v>2024</v>
      </c>
      <c r="O1749" s="2" t="s">
        <v>152</v>
      </c>
      <c r="P1749" s="2" t="s">
        <v>153</v>
      </c>
      <c r="Q1749">
        <v>10</v>
      </c>
      <c r="R1749" s="4">
        <v>45566</v>
      </c>
      <c r="S1749" s="3">
        <v>1708700</v>
      </c>
      <c r="T1749" s="3">
        <v>19.309999999999999</v>
      </c>
    </row>
    <row r="1750" spans="1:20" x14ac:dyDescent="0.3">
      <c r="A1750" s="1">
        <v>45567</v>
      </c>
      <c r="B1750" s="2" t="s">
        <v>59</v>
      </c>
      <c r="C1750" s="2" t="s">
        <v>60</v>
      </c>
      <c r="D1750" s="2" t="s">
        <v>57</v>
      </c>
      <c r="E1750" s="2" t="s">
        <v>58</v>
      </c>
      <c r="F1750" s="2" t="s">
        <v>39</v>
      </c>
      <c r="G1750">
        <v>72</v>
      </c>
      <c r="H1750">
        <v>488</v>
      </c>
      <c r="I1750">
        <v>69</v>
      </c>
      <c r="J1750" s="3">
        <v>4291600</v>
      </c>
      <c r="K1750" s="3">
        <v>296120400</v>
      </c>
      <c r="L1750" s="2" t="s">
        <v>33</v>
      </c>
      <c r="M1750" s="2" t="s">
        <v>26</v>
      </c>
      <c r="N1750">
        <v>2024</v>
      </c>
      <c r="O1750" s="2" t="s">
        <v>152</v>
      </c>
      <c r="P1750" s="2" t="s">
        <v>153</v>
      </c>
      <c r="Q1750">
        <v>10</v>
      </c>
      <c r="R1750" s="4">
        <v>45566</v>
      </c>
      <c r="S1750" s="3">
        <v>4291600</v>
      </c>
      <c r="T1750" s="3">
        <v>29.61</v>
      </c>
    </row>
    <row r="1751" spans="1:20" x14ac:dyDescent="0.3">
      <c r="A1751" s="1">
        <v>45567</v>
      </c>
      <c r="B1751" s="2" t="s">
        <v>20</v>
      </c>
      <c r="C1751" s="2" t="s">
        <v>112</v>
      </c>
      <c r="D1751" s="2" t="s">
        <v>82</v>
      </c>
      <c r="E1751" s="2" t="s">
        <v>141</v>
      </c>
      <c r="F1751" s="2" t="s">
        <v>24</v>
      </c>
      <c r="G1751">
        <v>59</v>
      </c>
      <c r="H1751">
        <v>55</v>
      </c>
      <c r="I1751">
        <v>149</v>
      </c>
      <c r="J1751" s="3">
        <v>2555000</v>
      </c>
      <c r="K1751" s="3">
        <v>380695000</v>
      </c>
      <c r="L1751" s="2" t="s">
        <v>25</v>
      </c>
      <c r="M1751" s="2" t="s">
        <v>26</v>
      </c>
      <c r="N1751">
        <v>2024</v>
      </c>
      <c r="O1751" s="2" t="s">
        <v>152</v>
      </c>
      <c r="P1751" s="2" t="s">
        <v>153</v>
      </c>
      <c r="Q1751">
        <v>10</v>
      </c>
      <c r="R1751" s="4">
        <v>45566</v>
      </c>
      <c r="S1751" s="3">
        <v>2555000</v>
      </c>
      <c r="T1751" s="3">
        <v>38.07</v>
      </c>
    </row>
    <row r="1752" spans="1:20" x14ac:dyDescent="0.3">
      <c r="A1752" s="1">
        <v>45568</v>
      </c>
      <c r="B1752" s="2" t="s">
        <v>75</v>
      </c>
      <c r="C1752" s="2" t="s">
        <v>122</v>
      </c>
      <c r="D1752" s="2" t="s">
        <v>100</v>
      </c>
      <c r="E1752" s="2" t="s">
        <v>101</v>
      </c>
      <c r="F1752" s="2" t="s">
        <v>24</v>
      </c>
      <c r="G1752">
        <v>3</v>
      </c>
      <c r="H1752">
        <v>150</v>
      </c>
      <c r="I1752">
        <v>105</v>
      </c>
      <c r="J1752" s="3">
        <v>158200</v>
      </c>
      <c r="K1752" s="3">
        <v>16611000</v>
      </c>
      <c r="L1752" s="2" t="s">
        <v>33</v>
      </c>
      <c r="M1752" s="2" t="s">
        <v>26</v>
      </c>
      <c r="N1752">
        <v>2024</v>
      </c>
      <c r="O1752" s="2" t="s">
        <v>152</v>
      </c>
      <c r="P1752" s="2" t="s">
        <v>153</v>
      </c>
      <c r="Q1752">
        <v>10</v>
      </c>
      <c r="R1752" s="4">
        <v>45566</v>
      </c>
      <c r="S1752" s="3">
        <v>158200</v>
      </c>
      <c r="T1752" s="3">
        <v>1.66</v>
      </c>
    </row>
    <row r="1753" spans="1:20" x14ac:dyDescent="0.3">
      <c r="A1753" s="1">
        <v>45569</v>
      </c>
      <c r="B1753" s="2" t="s">
        <v>48</v>
      </c>
      <c r="C1753" s="2" t="s">
        <v>49</v>
      </c>
      <c r="D1753" s="2" t="s">
        <v>63</v>
      </c>
      <c r="E1753" s="2" t="s">
        <v>64</v>
      </c>
      <c r="F1753" s="2" t="s">
        <v>24</v>
      </c>
      <c r="G1753">
        <v>3</v>
      </c>
      <c r="H1753">
        <v>127</v>
      </c>
      <c r="I1753">
        <v>135</v>
      </c>
      <c r="J1753" s="3">
        <v>165100</v>
      </c>
      <c r="K1753" s="3">
        <v>22288500</v>
      </c>
      <c r="L1753" s="2" t="s">
        <v>25</v>
      </c>
      <c r="M1753" s="2" t="s">
        <v>26</v>
      </c>
      <c r="N1753">
        <v>2024</v>
      </c>
      <c r="O1753" s="2" t="s">
        <v>152</v>
      </c>
      <c r="P1753" s="2" t="s">
        <v>153</v>
      </c>
      <c r="Q1753">
        <v>10</v>
      </c>
      <c r="R1753" s="4">
        <v>45566</v>
      </c>
      <c r="S1753" s="3">
        <v>165100</v>
      </c>
      <c r="T1753" s="3">
        <v>2.23</v>
      </c>
    </row>
    <row r="1754" spans="1:20" x14ac:dyDescent="0.3">
      <c r="A1754" s="1">
        <v>45569</v>
      </c>
      <c r="B1754" s="2" t="s">
        <v>106</v>
      </c>
      <c r="C1754" s="2" t="s">
        <v>107</v>
      </c>
      <c r="D1754" s="2" t="s">
        <v>31</v>
      </c>
      <c r="E1754" s="2" t="s">
        <v>32</v>
      </c>
      <c r="F1754" s="2" t="s">
        <v>24</v>
      </c>
      <c r="G1754">
        <v>4</v>
      </c>
      <c r="H1754">
        <v>195</v>
      </c>
      <c r="I1754">
        <v>61</v>
      </c>
      <c r="J1754" s="3">
        <v>157900</v>
      </c>
      <c r="K1754" s="3">
        <v>9631900</v>
      </c>
      <c r="L1754" s="2" t="s">
        <v>33</v>
      </c>
      <c r="M1754" s="2" t="s">
        <v>26</v>
      </c>
      <c r="N1754">
        <v>2024</v>
      </c>
      <c r="O1754" s="2" t="s">
        <v>152</v>
      </c>
      <c r="P1754" s="2" t="s">
        <v>153</v>
      </c>
      <c r="Q1754">
        <v>10</v>
      </c>
      <c r="R1754" s="4">
        <v>45566</v>
      </c>
      <c r="S1754" s="3">
        <v>157900</v>
      </c>
      <c r="T1754" s="3">
        <v>0.96</v>
      </c>
    </row>
    <row r="1755" spans="1:20" x14ac:dyDescent="0.3">
      <c r="A1755" s="1">
        <v>45569</v>
      </c>
      <c r="B1755" s="2" t="s">
        <v>35</v>
      </c>
      <c r="C1755" s="2" t="s">
        <v>132</v>
      </c>
      <c r="D1755" s="2" t="s">
        <v>31</v>
      </c>
      <c r="E1755" s="2" t="s">
        <v>32</v>
      </c>
      <c r="F1755" s="2" t="s">
        <v>24</v>
      </c>
      <c r="G1755">
        <v>4</v>
      </c>
      <c r="H1755">
        <v>195</v>
      </c>
      <c r="I1755">
        <v>25</v>
      </c>
      <c r="J1755" s="3">
        <v>146300</v>
      </c>
      <c r="K1755" s="3">
        <v>3657500</v>
      </c>
      <c r="L1755" s="2" t="s">
        <v>25</v>
      </c>
      <c r="M1755" s="2" t="s">
        <v>26</v>
      </c>
      <c r="N1755">
        <v>2024</v>
      </c>
      <c r="O1755" s="2" t="s">
        <v>152</v>
      </c>
      <c r="P1755" s="2" t="s">
        <v>153</v>
      </c>
      <c r="Q1755">
        <v>10</v>
      </c>
      <c r="R1755" s="4">
        <v>45566</v>
      </c>
      <c r="S1755" s="3">
        <v>146300</v>
      </c>
      <c r="T1755" s="3">
        <v>0.37</v>
      </c>
    </row>
    <row r="1756" spans="1:20" x14ac:dyDescent="0.3">
      <c r="A1756" s="1">
        <v>45569</v>
      </c>
      <c r="B1756" s="2" t="s">
        <v>35</v>
      </c>
      <c r="C1756" s="2" t="s">
        <v>87</v>
      </c>
      <c r="D1756" s="2" t="s">
        <v>31</v>
      </c>
      <c r="E1756" s="2" t="s">
        <v>32</v>
      </c>
      <c r="F1756" s="2" t="s">
        <v>24</v>
      </c>
      <c r="G1756">
        <v>4</v>
      </c>
      <c r="H1756">
        <v>195</v>
      </c>
      <c r="I1756">
        <v>124</v>
      </c>
      <c r="J1756" s="3">
        <v>138200</v>
      </c>
      <c r="K1756" s="3">
        <v>17136800</v>
      </c>
      <c r="L1756" s="2" t="s">
        <v>33</v>
      </c>
      <c r="M1756" s="2" t="s">
        <v>34</v>
      </c>
      <c r="N1756">
        <v>2024</v>
      </c>
      <c r="O1756" s="2" t="s">
        <v>152</v>
      </c>
      <c r="P1756" s="2" t="s">
        <v>153</v>
      </c>
      <c r="Q1756">
        <v>10</v>
      </c>
      <c r="R1756" s="4">
        <v>45566</v>
      </c>
      <c r="S1756" s="3">
        <v>138200</v>
      </c>
      <c r="T1756" s="3">
        <v>1.71</v>
      </c>
    </row>
    <row r="1757" spans="1:20" x14ac:dyDescent="0.3">
      <c r="A1757" s="1">
        <v>45569</v>
      </c>
      <c r="B1757" s="2" t="s">
        <v>40</v>
      </c>
      <c r="C1757" s="2" t="s">
        <v>78</v>
      </c>
      <c r="D1757" s="2" t="s">
        <v>94</v>
      </c>
      <c r="E1757" s="2" t="s">
        <v>95</v>
      </c>
      <c r="F1757" s="2" t="s">
        <v>24</v>
      </c>
      <c r="G1757">
        <v>40</v>
      </c>
      <c r="H1757">
        <v>30</v>
      </c>
      <c r="I1757">
        <v>10</v>
      </c>
      <c r="J1757" s="3">
        <v>2115600</v>
      </c>
      <c r="K1757" s="3">
        <v>21156000</v>
      </c>
      <c r="L1757" s="2" t="s">
        <v>92</v>
      </c>
      <c r="M1757" s="2" t="s">
        <v>26</v>
      </c>
      <c r="N1757">
        <v>2024</v>
      </c>
      <c r="O1757" s="2" t="s">
        <v>152</v>
      </c>
      <c r="P1757" s="2" t="s">
        <v>153</v>
      </c>
      <c r="Q1757">
        <v>10</v>
      </c>
      <c r="R1757" s="4">
        <v>45566</v>
      </c>
      <c r="S1757" s="3">
        <v>2115600</v>
      </c>
      <c r="T1757" s="3">
        <v>2.12</v>
      </c>
    </row>
    <row r="1758" spans="1:20" x14ac:dyDescent="0.3">
      <c r="A1758" s="1">
        <v>45569</v>
      </c>
      <c r="B1758" s="2" t="s">
        <v>75</v>
      </c>
      <c r="C1758" s="2" t="s">
        <v>76</v>
      </c>
      <c r="D1758" s="2" t="s">
        <v>22</v>
      </c>
      <c r="E1758" s="2" t="s">
        <v>23</v>
      </c>
      <c r="F1758" s="2" t="s">
        <v>39</v>
      </c>
      <c r="G1758">
        <v>82</v>
      </c>
      <c r="H1758">
        <v>520</v>
      </c>
      <c r="I1758">
        <v>73</v>
      </c>
      <c r="J1758" s="3">
        <v>7138700</v>
      </c>
      <c r="K1758" s="3">
        <v>521125100</v>
      </c>
      <c r="L1758" s="2" t="s">
        <v>33</v>
      </c>
      <c r="M1758" s="2" t="s">
        <v>26</v>
      </c>
      <c r="N1758">
        <v>2024</v>
      </c>
      <c r="O1758" s="2" t="s">
        <v>152</v>
      </c>
      <c r="P1758" s="2" t="s">
        <v>153</v>
      </c>
      <c r="Q1758">
        <v>10</v>
      </c>
      <c r="R1758" s="4">
        <v>45566</v>
      </c>
      <c r="S1758" s="3">
        <v>7138700</v>
      </c>
      <c r="T1758" s="3">
        <v>52.11</v>
      </c>
    </row>
    <row r="1759" spans="1:20" x14ac:dyDescent="0.3">
      <c r="A1759" s="1">
        <v>45570</v>
      </c>
      <c r="B1759" s="2" t="s">
        <v>29</v>
      </c>
      <c r="C1759" s="2" t="s">
        <v>96</v>
      </c>
      <c r="D1759" s="2" t="s">
        <v>31</v>
      </c>
      <c r="E1759" s="2" t="s">
        <v>124</v>
      </c>
      <c r="F1759" s="2" t="s">
        <v>24</v>
      </c>
      <c r="G1759">
        <v>3</v>
      </c>
      <c r="H1759">
        <v>151</v>
      </c>
      <c r="I1759">
        <v>44</v>
      </c>
      <c r="J1759" s="3">
        <v>112100</v>
      </c>
      <c r="K1759" s="3">
        <v>4932400</v>
      </c>
      <c r="L1759" s="2" t="s">
        <v>33</v>
      </c>
      <c r="M1759" s="2" t="s">
        <v>26</v>
      </c>
      <c r="N1759">
        <v>2024</v>
      </c>
      <c r="O1759" s="2" t="s">
        <v>152</v>
      </c>
      <c r="P1759" s="2" t="s">
        <v>153</v>
      </c>
      <c r="Q1759">
        <v>10</v>
      </c>
      <c r="R1759" s="4">
        <v>45566</v>
      </c>
      <c r="S1759" s="3">
        <v>112100</v>
      </c>
      <c r="T1759" s="3">
        <v>0.49</v>
      </c>
    </row>
    <row r="1760" spans="1:20" x14ac:dyDescent="0.3">
      <c r="A1760" s="1">
        <v>45570</v>
      </c>
      <c r="B1760" s="2" t="s">
        <v>40</v>
      </c>
      <c r="C1760" s="2" t="s">
        <v>41</v>
      </c>
      <c r="D1760" s="2" t="s">
        <v>70</v>
      </c>
      <c r="E1760" s="2" t="s">
        <v>71</v>
      </c>
      <c r="F1760" s="2" t="s">
        <v>72</v>
      </c>
      <c r="G1760">
        <v>50</v>
      </c>
      <c r="H1760">
        <v>46</v>
      </c>
      <c r="I1760">
        <v>47</v>
      </c>
      <c r="J1760" s="3">
        <v>2444700</v>
      </c>
      <c r="K1760" s="3">
        <v>114900900</v>
      </c>
      <c r="L1760" s="2" t="s">
        <v>33</v>
      </c>
      <c r="M1760" s="2" t="s">
        <v>26</v>
      </c>
      <c r="N1760">
        <v>2024</v>
      </c>
      <c r="O1760" s="2" t="s">
        <v>152</v>
      </c>
      <c r="P1760" s="2" t="s">
        <v>153</v>
      </c>
      <c r="Q1760">
        <v>10</v>
      </c>
      <c r="R1760" s="4">
        <v>45566</v>
      </c>
      <c r="S1760" s="3">
        <v>2444700</v>
      </c>
      <c r="T1760" s="3">
        <v>11.49</v>
      </c>
    </row>
    <row r="1761" spans="1:20" x14ac:dyDescent="0.3">
      <c r="A1761" s="1">
        <v>45571</v>
      </c>
      <c r="B1761" s="2" t="s">
        <v>61</v>
      </c>
      <c r="C1761" s="2" t="s">
        <v>147</v>
      </c>
      <c r="D1761" s="2" t="s">
        <v>88</v>
      </c>
      <c r="E1761" s="2" t="s">
        <v>111</v>
      </c>
      <c r="F1761" s="2" t="s">
        <v>24</v>
      </c>
      <c r="G1761">
        <v>60</v>
      </c>
      <c r="H1761">
        <v>480</v>
      </c>
      <c r="I1761">
        <v>39</v>
      </c>
      <c r="J1761" s="3">
        <v>3569000</v>
      </c>
      <c r="K1761" s="3">
        <v>139191000</v>
      </c>
      <c r="L1761" s="2" t="s">
        <v>25</v>
      </c>
      <c r="M1761" s="2" t="s">
        <v>26</v>
      </c>
      <c r="N1761">
        <v>2024</v>
      </c>
      <c r="O1761" s="2" t="s">
        <v>152</v>
      </c>
      <c r="P1761" s="2" t="s">
        <v>153</v>
      </c>
      <c r="Q1761">
        <v>10</v>
      </c>
      <c r="R1761" s="4">
        <v>45566</v>
      </c>
      <c r="S1761" s="3">
        <v>3569000</v>
      </c>
      <c r="T1761" s="3">
        <v>13.92</v>
      </c>
    </row>
    <row r="1762" spans="1:20" x14ac:dyDescent="0.3">
      <c r="A1762" s="1">
        <v>45571</v>
      </c>
      <c r="B1762" s="2" t="s">
        <v>59</v>
      </c>
      <c r="C1762" s="2" t="s">
        <v>135</v>
      </c>
      <c r="D1762" s="2" t="s">
        <v>54</v>
      </c>
      <c r="E1762" s="2" t="s">
        <v>55</v>
      </c>
      <c r="F1762" s="2" t="s">
        <v>24</v>
      </c>
      <c r="G1762">
        <v>30</v>
      </c>
      <c r="H1762">
        <v>320</v>
      </c>
      <c r="I1762">
        <v>73</v>
      </c>
      <c r="J1762" s="3">
        <v>1588900</v>
      </c>
      <c r="K1762" s="3">
        <v>115989700</v>
      </c>
      <c r="L1762" s="2" t="s">
        <v>33</v>
      </c>
      <c r="M1762" s="2" t="s">
        <v>26</v>
      </c>
      <c r="N1762">
        <v>2024</v>
      </c>
      <c r="O1762" s="2" t="s">
        <v>152</v>
      </c>
      <c r="P1762" s="2" t="s">
        <v>153</v>
      </c>
      <c r="Q1762">
        <v>10</v>
      </c>
      <c r="R1762" s="4">
        <v>45566</v>
      </c>
      <c r="S1762" s="3">
        <v>1588900</v>
      </c>
      <c r="T1762" s="3">
        <v>11.6</v>
      </c>
    </row>
    <row r="1763" spans="1:20" x14ac:dyDescent="0.3">
      <c r="A1763" s="1">
        <v>45573</v>
      </c>
      <c r="B1763" s="2" t="s">
        <v>20</v>
      </c>
      <c r="C1763" s="2" t="s">
        <v>21</v>
      </c>
      <c r="D1763" s="2" t="s">
        <v>57</v>
      </c>
      <c r="E1763" s="2" t="s">
        <v>58</v>
      </c>
      <c r="F1763" s="2" t="s">
        <v>24</v>
      </c>
      <c r="G1763">
        <v>72</v>
      </c>
      <c r="H1763">
        <v>488</v>
      </c>
      <c r="I1763">
        <v>173</v>
      </c>
      <c r="J1763" s="3">
        <v>5053700</v>
      </c>
      <c r="K1763" s="3">
        <v>874290100</v>
      </c>
      <c r="L1763" s="2" t="s">
        <v>33</v>
      </c>
      <c r="M1763" s="2" t="s">
        <v>26</v>
      </c>
      <c r="N1763">
        <v>2024</v>
      </c>
      <c r="O1763" s="2" t="s">
        <v>152</v>
      </c>
      <c r="P1763" s="2" t="s">
        <v>153</v>
      </c>
      <c r="Q1763">
        <v>10</v>
      </c>
      <c r="R1763" s="4">
        <v>45566</v>
      </c>
      <c r="S1763" s="3">
        <v>5053700</v>
      </c>
      <c r="T1763" s="3">
        <v>87.43</v>
      </c>
    </row>
    <row r="1764" spans="1:20" x14ac:dyDescent="0.3">
      <c r="A1764" s="1">
        <v>45573</v>
      </c>
      <c r="B1764" s="2" t="s">
        <v>40</v>
      </c>
      <c r="C1764" s="2" t="s">
        <v>41</v>
      </c>
      <c r="D1764" s="2" t="s">
        <v>79</v>
      </c>
      <c r="E1764" s="2" t="s">
        <v>80</v>
      </c>
      <c r="F1764" s="2" t="s">
        <v>24</v>
      </c>
      <c r="G1764">
        <v>69</v>
      </c>
      <c r="H1764">
        <v>418</v>
      </c>
      <c r="I1764">
        <v>35</v>
      </c>
      <c r="J1764" s="3">
        <v>5000000</v>
      </c>
      <c r="K1764" s="3">
        <v>175000000</v>
      </c>
      <c r="L1764" s="2" t="s">
        <v>92</v>
      </c>
      <c r="M1764" s="2" t="s">
        <v>26</v>
      </c>
      <c r="N1764">
        <v>2024</v>
      </c>
      <c r="O1764" s="2" t="s">
        <v>152</v>
      </c>
      <c r="P1764" s="2" t="s">
        <v>153</v>
      </c>
      <c r="Q1764">
        <v>10</v>
      </c>
      <c r="R1764" s="4">
        <v>45566</v>
      </c>
      <c r="S1764" s="3">
        <v>5000000</v>
      </c>
      <c r="T1764" s="3">
        <v>17.5</v>
      </c>
    </row>
    <row r="1765" spans="1:20" x14ac:dyDescent="0.3">
      <c r="A1765" s="1">
        <v>45573</v>
      </c>
      <c r="B1765" s="2" t="s">
        <v>48</v>
      </c>
      <c r="C1765" s="2" t="s">
        <v>98</v>
      </c>
      <c r="D1765" s="2" t="s">
        <v>31</v>
      </c>
      <c r="E1765" s="2" t="s">
        <v>124</v>
      </c>
      <c r="F1765" s="2" t="s">
        <v>24</v>
      </c>
      <c r="G1765">
        <v>3</v>
      </c>
      <c r="H1765">
        <v>151</v>
      </c>
      <c r="I1765">
        <v>85</v>
      </c>
      <c r="J1765" s="3">
        <v>91600</v>
      </c>
      <c r="K1765" s="3">
        <v>7786000</v>
      </c>
      <c r="L1765" s="2" t="s">
        <v>92</v>
      </c>
      <c r="M1765" s="2" t="s">
        <v>26</v>
      </c>
      <c r="N1765">
        <v>2024</v>
      </c>
      <c r="O1765" s="2" t="s">
        <v>152</v>
      </c>
      <c r="P1765" s="2" t="s">
        <v>153</v>
      </c>
      <c r="Q1765">
        <v>10</v>
      </c>
      <c r="R1765" s="4">
        <v>45566</v>
      </c>
      <c r="S1765" s="3">
        <v>91600</v>
      </c>
      <c r="T1765" s="3">
        <v>0.78</v>
      </c>
    </row>
    <row r="1766" spans="1:20" x14ac:dyDescent="0.3">
      <c r="A1766" s="1">
        <v>45574</v>
      </c>
      <c r="B1766" s="2" t="s">
        <v>59</v>
      </c>
      <c r="C1766" s="2" t="s">
        <v>135</v>
      </c>
      <c r="D1766" s="2" t="s">
        <v>22</v>
      </c>
      <c r="E1766" s="2" t="s">
        <v>23</v>
      </c>
      <c r="F1766" s="2" t="s">
        <v>138</v>
      </c>
      <c r="G1766">
        <v>82</v>
      </c>
      <c r="H1766">
        <v>520</v>
      </c>
      <c r="I1766">
        <v>25</v>
      </c>
      <c r="J1766" s="3">
        <v>6565100</v>
      </c>
      <c r="K1766" s="3">
        <v>164127500</v>
      </c>
      <c r="L1766" s="2" t="s">
        <v>33</v>
      </c>
      <c r="M1766" s="2" t="s">
        <v>26</v>
      </c>
      <c r="N1766">
        <v>2024</v>
      </c>
      <c r="O1766" s="2" t="s">
        <v>152</v>
      </c>
      <c r="P1766" s="2" t="s">
        <v>153</v>
      </c>
      <c r="Q1766">
        <v>10</v>
      </c>
      <c r="R1766" s="4">
        <v>45566</v>
      </c>
      <c r="S1766" s="3">
        <v>6565100</v>
      </c>
      <c r="T1766" s="3">
        <v>16.41</v>
      </c>
    </row>
    <row r="1767" spans="1:20" x14ac:dyDescent="0.3">
      <c r="A1767" s="1">
        <v>45574</v>
      </c>
      <c r="B1767" s="2" t="s">
        <v>84</v>
      </c>
      <c r="C1767" s="2" t="s">
        <v>85</v>
      </c>
      <c r="D1767" s="2" t="s">
        <v>54</v>
      </c>
      <c r="E1767" s="2" t="s">
        <v>55</v>
      </c>
      <c r="F1767" s="2" t="s">
        <v>138</v>
      </c>
      <c r="G1767">
        <v>30</v>
      </c>
      <c r="H1767">
        <v>320</v>
      </c>
      <c r="I1767">
        <v>41</v>
      </c>
      <c r="J1767" s="3">
        <v>1644600</v>
      </c>
      <c r="K1767" s="3">
        <v>67428600</v>
      </c>
      <c r="L1767" s="2" t="s">
        <v>25</v>
      </c>
      <c r="M1767" s="2" t="s">
        <v>26</v>
      </c>
      <c r="N1767">
        <v>2024</v>
      </c>
      <c r="O1767" s="2" t="s">
        <v>152</v>
      </c>
      <c r="P1767" s="2" t="s">
        <v>153</v>
      </c>
      <c r="Q1767">
        <v>10</v>
      </c>
      <c r="R1767" s="4">
        <v>45566</v>
      </c>
      <c r="S1767" s="3">
        <v>1644600</v>
      </c>
      <c r="T1767" s="3">
        <v>6.74</v>
      </c>
    </row>
    <row r="1768" spans="1:20" x14ac:dyDescent="0.3">
      <c r="A1768" s="1">
        <v>45574</v>
      </c>
      <c r="B1768" s="2" t="s">
        <v>46</v>
      </c>
      <c r="C1768" s="2" t="s">
        <v>137</v>
      </c>
      <c r="D1768" s="2" t="s">
        <v>94</v>
      </c>
      <c r="E1768" s="2" t="s">
        <v>140</v>
      </c>
      <c r="F1768" s="2" t="s">
        <v>39</v>
      </c>
      <c r="G1768">
        <v>35</v>
      </c>
      <c r="H1768">
        <v>32</v>
      </c>
      <c r="I1768">
        <v>97</v>
      </c>
      <c r="J1768" s="3">
        <v>2004100</v>
      </c>
      <c r="K1768" s="3">
        <v>194397700</v>
      </c>
      <c r="L1768" s="2" t="s">
        <v>33</v>
      </c>
      <c r="M1768" s="2" t="s">
        <v>77</v>
      </c>
      <c r="N1768">
        <v>2024</v>
      </c>
      <c r="O1768" s="2" t="s">
        <v>152</v>
      </c>
      <c r="P1768" s="2" t="s">
        <v>153</v>
      </c>
      <c r="Q1768">
        <v>10</v>
      </c>
      <c r="R1768" s="4">
        <v>45566</v>
      </c>
      <c r="S1768" s="3">
        <v>2004100</v>
      </c>
      <c r="T1768" s="3">
        <v>19.440000000000001</v>
      </c>
    </row>
    <row r="1769" spans="1:20" x14ac:dyDescent="0.3">
      <c r="A1769" s="1">
        <v>45574</v>
      </c>
      <c r="B1769" s="2" t="s">
        <v>44</v>
      </c>
      <c r="C1769" s="2" t="s">
        <v>45</v>
      </c>
      <c r="D1769" s="2" t="s">
        <v>102</v>
      </c>
      <c r="E1769" s="2" t="s">
        <v>103</v>
      </c>
      <c r="F1769" s="2" t="s">
        <v>24</v>
      </c>
      <c r="G1769">
        <v>5</v>
      </c>
      <c r="H1769">
        <v>150</v>
      </c>
      <c r="I1769">
        <v>43</v>
      </c>
      <c r="J1769" s="3">
        <v>140400</v>
      </c>
      <c r="K1769" s="3">
        <v>6037200</v>
      </c>
      <c r="L1769" s="2" t="s">
        <v>33</v>
      </c>
      <c r="M1769" s="2" t="s">
        <v>77</v>
      </c>
      <c r="N1769">
        <v>2024</v>
      </c>
      <c r="O1769" s="2" t="s">
        <v>152</v>
      </c>
      <c r="P1769" s="2" t="s">
        <v>153</v>
      </c>
      <c r="Q1769">
        <v>10</v>
      </c>
      <c r="R1769" s="4">
        <v>45566</v>
      </c>
      <c r="S1769" s="3">
        <v>140400</v>
      </c>
      <c r="T1769" s="3">
        <v>0.6</v>
      </c>
    </row>
    <row r="1770" spans="1:20" x14ac:dyDescent="0.3">
      <c r="A1770" s="1">
        <v>45575</v>
      </c>
      <c r="B1770" s="2" t="s">
        <v>20</v>
      </c>
      <c r="C1770" s="2" t="s">
        <v>112</v>
      </c>
      <c r="D1770" s="2" t="s">
        <v>100</v>
      </c>
      <c r="E1770" s="2" t="s">
        <v>101</v>
      </c>
      <c r="F1770" s="2" t="s">
        <v>24</v>
      </c>
      <c r="G1770">
        <v>3</v>
      </c>
      <c r="H1770">
        <v>150</v>
      </c>
      <c r="I1770">
        <v>35</v>
      </c>
      <c r="J1770" s="3">
        <v>131000</v>
      </c>
      <c r="K1770" s="3">
        <v>4585000</v>
      </c>
      <c r="L1770" s="2" t="s">
        <v>33</v>
      </c>
      <c r="M1770" s="2" t="s">
        <v>34</v>
      </c>
      <c r="N1770">
        <v>2024</v>
      </c>
      <c r="O1770" s="2" t="s">
        <v>152</v>
      </c>
      <c r="P1770" s="2" t="s">
        <v>153</v>
      </c>
      <c r="Q1770">
        <v>10</v>
      </c>
      <c r="R1770" s="4">
        <v>45566</v>
      </c>
      <c r="S1770" s="3">
        <v>131000</v>
      </c>
      <c r="T1770" s="3">
        <v>0.46</v>
      </c>
    </row>
    <row r="1771" spans="1:20" x14ac:dyDescent="0.3">
      <c r="A1771" s="1">
        <v>45575</v>
      </c>
      <c r="B1771" s="2" t="s">
        <v>90</v>
      </c>
      <c r="C1771" s="2" t="s">
        <v>91</v>
      </c>
      <c r="D1771" s="2" t="s">
        <v>50</v>
      </c>
      <c r="E1771" s="2" t="s">
        <v>51</v>
      </c>
      <c r="F1771" s="2" t="s">
        <v>24</v>
      </c>
      <c r="G1771">
        <v>77</v>
      </c>
      <c r="H1771">
        <v>528</v>
      </c>
      <c r="I1771">
        <v>43</v>
      </c>
      <c r="J1771" s="3">
        <v>5111500</v>
      </c>
      <c r="K1771" s="3">
        <v>219794500</v>
      </c>
      <c r="L1771" s="2" t="s">
        <v>25</v>
      </c>
      <c r="M1771" s="2" t="s">
        <v>34</v>
      </c>
      <c r="N1771">
        <v>2024</v>
      </c>
      <c r="O1771" s="2" t="s">
        <v>152</v>
      </c>
      <c r="P1771" s="2" t="s">
        <v>153</v>
      </c>
      <c r="Q1771">
        <v>10</v>
      </c>
      <c r="R1771" s="4">
        <v>45566</v>
      </c>
      <c r="S1771" s="3">
        <v>5111500</v>
      </c>
      <c r="T1771" s="3">
        <v>21.98</v>
      </c>
    </row>
    <row r="1772" spans="1:20" x14ac:dyDescent="0.3">
      <c r="A1772" s="1">
        <v>45575</v>
      </c>
      <c r="B1772" s="2" t="s">
        <v>20</v>
      </c>
      <c r="C1772" s="2" t="s">
        <v>125</v>
      </c>
      <c r="D1772" s="2" t="s">
        <v>70</v>
      </c>
      <c r="E1772" s="2" t="s">
        <v>71</v>
      </c>
      <c r="F1772" s="2" t="s">
        <v>24</v>
      </c>
      <c r="G1772">
        <v>50</v>
      </c>
      <c r="H1772">
        <v>46</v>
      </c>
      <c r="I1772">
        <v>144</v>
      </c>
      <c r="J1772" s="3">
        <v>2180600</v>
      </c>
      <c r="K1772" s="3">
        <v>314006400</v>
      </c>
      <c r="L1772" s="2" t="s">
        <v>25</v>
      </c>
      <c r="M1772" s="2" t="s">
        <v>26</v>
      </c>
      <c r="N1772">
        <v>2024</v>
      </c>
      <c r="O1772" s="2" t="s">
        <v>152</v>
      </c>
      <c r="P1772" s="2" t="s">
        <v>153</v>
      </c>
      <c r="Q1772">
        <v>10</v>
      </c>
      <c r="R1772" s="4">
        <v>45566</v>
      </c>
      <c r="S1772" s="3">
        <v>2180600</v>
      </c>
      <c r="T1772" s="3">
        <v>31.4</v>
      </c>
    </row>
    <row r="1773" spans="1:20" x14ac:dyDescent="0.3">
      <c r="A1773" s="1">
        <v>45577</v>
      </c>
      <c r="B1773" s="2" t="s">
        <v>75</v>
      </c>
      <c r="C1773" s="2" t="s">
        <v>134</v>
      </c>
      <c r="D1773" s="2" t="s">
        <v>82</v>
      </c>
      <c r="E1773" s="2" t="s">
        <v>141</v>
      </c>
      <c r="F1773" s="2" t="s">
        <v>24</v>
      </c>
      <c r="G1773">
        <v>59</v>
      </c>
      <c r="H1773">
        <v>55</v>
      </c>
      <c r="I1773">
        <v>75</v>
      </c>
      <c r="J1773" s="3">
        <v>3098100</v>
      </c>
      <c r="K1773" s="3">
        <v>232357500</v>
      </c>
      <c r="L1773" s="2" t="s">
        <v>33</v>
      </c>
      <c r="M1773" s="2" t="s">
        <v>26</v>
      </c>
      <c r="N1773">
        <v>2024</v>
      </c>
      <c r="O1773" s="2" t="s">
        <v>152</v>
      </c>
      <c r="P1773" s="2" t="s">
        <v>153</v>
      </c>
      <c r="Q1773">
        <v>10</v>
      </c>
      <c r="R1773" s="4">
        <v>45566</v>
      </c>
      <c r="S1773" s="3">
        <v>3098100</v>
      </c>
      <c r="T1773" s="3">
        <v>23.24</v>
      </c>
    </row>
    <row r="1774" spans="1:20" x14ac:dyDescent="0.3">
      <c r="A1774" s="1">
        <v>45577</v>
      </c>
      <c r="B1774" s="2" t="s">
        <v>29</v>
      </c>
      <c r="C1774" s="2" t="s">
        <v>96</v>
      </c>
      <c r="D1774" s="2" t="s">
        <v>94</v>
      </c>
      <c r="E1774" s="2" t="s">
        <v>95</v>
      </c>
      <c r="F1774" s="2" t="s">
        <v>24</v>
      </c>
      <c r="G1774">
        <v>40</v>
      </c>
      <c r="H1774">
        <v>30</v>
      </c>
      <c r="I1774">
        <v>93</v>
      </c>
      <c r="J1774" s="3">
        <v>2315200</v>
      </c>
      <c r="K1774" s="3">
        <v>215313600</v>
      </c>
      <c r="L1774" s="2" t="s">
        <v>33</v>
      </c>
      <c r="M1774" s="2" t="s">
        <v>77</v>
      </c>
      <c r="N1774">
        <v>2024</v>
      </c>
      <c r="O1774" s="2" t="s">
        <v>152</v>
      </c>
      <c r="P1774" s="2" t="s">
        <v>153</v>
      </c>
      <c r="Q1774">
        <v>10</v>
      </c>
      <c r="R1774" s="4">
        <v>45566</v>
      </c>
      <c r="S1774" s="3">
        <v>2315200</v>
      </c>
      <c r="T1774" s="3">
        <v>21.53</v>
      </c>
    </row>
    <row r="1775" spans="1:20" x14ac:dyDescent="0.3">
      <c r="A1775" s="1">
        <v>45577</v>
      </c>
      <c r="B1775" s="2" t="s">
        <v>35</v>
      </c>
      <c r="C1775" s="2" t="s">
        <v>36</v>
      </c>
      <c r="D1775" s="2" t="s">
        <v>94</v>
      </c>
      <c r="E1775" s="2" t="s">
        <v>115</v>
      </c>
      <c r="F1775" s="2" t="s">
        <v>24</v>
      </c>
      <c r="G1775">
        <v>24</v>
      </c>
      <c r="H1775">
        <v>24</v>
      </c>
      <c r="I1775">
        <v>123</v>
      </c>
      <c r="J1775" s="3">
        <v>1290100</v>
      </c>
      <c r="K1775" s="3">
        <v>158682300</v>
      </c>
      <c r="L1775" s="2" t="s">
        <v>33</v>
      </c>
      <c r="M1775" s="2" t="s">
        <v>34</v>
      </c>
      <c r="N1775">
        <v>2024</v>
      </c>
      <c r="O1775" s="2" t="s">
        <v>152</v>
      </c>
      <c r="P1775" s="2" t="s">
        <v>153</v>
      </c>
      <c r="Q1775">
        <v>10</v>
      </c>
      <c r="R1775" s="4">
        <v>45566</v>
      </c>
      <c r="S1775" s="3">
        <v>1290100</v>
      </c>
      <c r="T1775" s="3">
        <v>15.87</v>
      </c>
    </row>
    <row r="1776" spans="1:20" x14ac:dyDescent="0.3">
      <c r="A1776" s="1">
        <v>45577</v>
      </c>
      <c r="B1776" s="2" t="s">
        <v>46</v>
      </c>
      <c r="C1776" s="2" t="s">
        <v>47</v>
      </c>
      <c r="D1776" s="2" t="s">
        <v>57</v>
      </c>
      <c r="E1776" s="2" t="s">
        <v>86</v>
      </c>
      <c r="F1776" s="2" t="s">
        <v>24</v>
      </c>
      <c r="G1776">
        <v>48</v>
      </c>
      <c r="H1776">
        <v>39</v>
      </c>
      <c r="I1776">
        <v>101</v>
      </c>
      <c r="J1776" s="3">
        <v>2678300</v>
      </c>
      <c r="K1776" s="3">
        <v>270508300</v>
      </c>
      <c r="L1776" s="2" t="s">
        <v>33</v>
      </c>
      <c r="M1776" s="2" t="s">
        <v>34</v>
      </c>
      <c r="N1776">
        <v>2024</v>
      </c>
      <c r="O1776" s="2" t="s">
        <v>152</v>
      </c>
      <c r="P1776" s="2" t="s">
        <v>153</v>
      </c>
      <c r="Q1776">
        <v>10</v>
      </c>
      <c r="R1776" s="4">
        <v>45566</v>
      </c>
      <c r="S1776" s="3">
        <v>2678300</v>
      </c>
      <c r="T1776" s="3">
        <v>27.05</v>
      </c>
    </row>
    <row r="1777" spans="1:20" x14ac:dyDescent="0.3">
      <c r="A1777" s="1">
        <v>45578</v>
      </c>
      <c r="B1777" s="2" t="s">
        <v>90</v>
      </c>
      <c r="C1777" s="2" t="s">
        <v>128</v>
      </c>
      <c r="D1777" s="2" t="s">
        <v>88</v>
      </c>
      <c r="E1777" s="2" t="s">
        <v>111</v>
      </c>
      <c r="F1777" s="2" t="s">
        <v>72</v>
      </c>
      <c r="G1777">
        <v>60</v>
      </c>
      <c r="H1777">
        <v>480</v>
      </c>
      <c r="I1777">
        <v>71</v>
      </c>
      <c r="J1777" s="3">
        <v>3273800</v>
      </c>
      <c r="K1777" s="3">
        <v>232439800</v>
      </c>
      <c r="L1777" s="2" t="s">
        <v>33</v>
      </c>
      <c r="M1777" s="2" t="s">
        <v>97</v>
      </c>
      <c r="N1777">
        <v>2024</v>
      </c>
      <c r="O1777" s="2" t="s">
        <v>152</v>
      </c>
      <c r="P1777" s="2" t="s">
        <v>153</v>
      </c>
      <c r="Q1777">
        <v>10</v>
      </c>
      <c r="R1777" s="4">
        <v>45566</v>
      </c>
      <c r="S1777" s="3">
        <v>3273800</v>
      </c>
      <c r="T1777" s="3">
        <v>23.24</v>
      </c>
    </row>
    <row r="1778" spans="1:20" x14ac:dyDescent="0.3">
      <c r="A1778" s="1">
        <v>45578</v>
      </c>
      <c r="B1778" s="2" t="s">
        <v>48</v>
      </c>
      <c r="C1778" s="2" t="s">
        <v>73</v>
      </c>
      <c r="D1778" s="2" t="s">
        <v>70</v>
      </c>
      <c r="E1778" s="2" t="s">
        <v>74</v>
      </c>
      <c r="F1778" s="2" t="s">
        <v>24</v>
      </c>
      <c r="G1778">
        <v>25</v>
      </c>
      <c r="H1778">
        <v>32</v>
      </c>
      <c r="I1778">
        <v>169</v>
      </c>
      <c r="J1778" s="3">
        <v>1145800</v>
      </c>
      <c r="K1778" s="3">
        <v>193640200</v>
      </c>
      <c r="L1778" s="2" t="s">
        <v>25</v>
      </c>
      <c r="M1778" s="2" t="s">
        <v>34</v>
      </c>
      <c r="N1778">
        <v>2024</v>
      </c>
      <c r="O1778" s="2" t="s">
        <v>152</v>
      </c>
      <c r="P1778" s="2" t="s">
        <v>153</v>
      </c>
      <c r="Q1778">
        <v>10</v>
      </c>
      <c r="R1778" s="4">
        <v>45566</v>
      </c>
      <c r="S1778" s="3">
        <v>1145800</v>
      </c>
      <c r="T1778" s="3">
        <v>19.36</v>
      </c>
    </row>
    <row r="1779" spans="1:20" x14ac:dyDescent="0.3">
      <c r="A1779" s="1">
        <v>45579</v>
      </c>
      <c r="B1779" s="2" t="s">
        <v>108</v>
      </c>
      <c r="C1779" s="2" t="s">
        <v>133</v>
      </c>
      <c r="D1779" s="2" t="s">
        <v>54</v>
      </c>
      <c r="E1779" s="2" t="s">
        <v>55</v>
      </c>
      <c r="F1779" s="2" t="s">
        <v>24</v>
      </c>
      <c r="G1779">
        <v>30</v>
      </c>
      <c r="H1779">
        <v>320</v>
      </c>
      <c r="I1779">
        <v>68</v>
      </c>
      <c r="J1779" s="3">
        <v>1210100</v>
      </c>
      <c r="K1779" s="3">
        <v>82286800</v>
      </c>
      <c r="L1779" s="2" t="s">
        <v>33</v>
      </c>
      <c r="M1779" s="2" t="s">
        <v>34</v>
      </c>
      <c r="N1779">
        <v>2024</v>
      </c>
      <c r="O1779" s="2" t="s">
        <v>152</v>
      </c>
      <c r="P1779" s="2" t="s">
        <v>153</v>
      </c>
      <c r="Q1779">
        <v>10</v>
      </c>
      <c r="R1779" s="4">
        <v>45566</v>
      </c>
      <c r="S1779" s="3">
        <v>1210100</v>
      </c>
      <c r="T1779" s="3">
        <v>8.23</v>
      </c>
    </row>
    <row r="1780" spans="1:20" x14ac:dyDescent="0.3">
      <c r="A1780" s="1">
        <v>45579</v>
      </c>
      <c r="B1780" s="2" t="s">
        <v>35</v>
      </c>
      <c r="C1780" s="2" t="s">
        <v>121</v>
      </c>
      <c r="D1780" s="2" t="s">
        <v>22</v>
      </c>
      <c r="E1780" s="2" t="s">
        <v>23</v>
      </c>
      <c r="F1780" s="2" t="s">
        <v>24</v>
      </c>
      <c r="G1780">
        <v>82</v>
      </c>
      <c r="H1780">
        <v>520</v>
      </c>
      <c r="I1780">
        <v>67</v>
      </c>
      <c r="J1780" s="3">
        <v>7389400</v>
      </c>
      <c r="K1780" s="3">
        <v>495089800</v>
      </c>
      <c r="L1780" s="2" t="s">
        <v>33</v>
      </c>
      <c r="M1780" s="2" t="s">
        <v>77</v>
      </c>
      <c r="N1780">
        <v>2024</v>
      </c>
      <c r="O1780" s="2" t="s">
        <v>152</v>
      </c>
      <c r="P1780" s="2" t="s">
        <v>153</v>
      </c>
      <c r="Q1780">
        <v>10</v>
      </c>
      <c r="R1780" s="4">
        <v>45566</v>
      </c>
      <c r="S1780" s="3">
        <v>7389400</v>
      </c>
      <c r="T1780" s="3">
        <v>49.51</v>
      </c>
    </row>
    <row r="1781" spans="1:20" x14ac:dyDescent="0.3">
      <c r="A1781" s="1">
        <v>45579</v>
      </c>
      <c r="B1781" s="2" t="s">
        <v>46</v>
      </c>
      <c r="C1781" s="2" t="s">
        <v>56</v>
      </c>
      <c r="D1781" s="2" t="s">
        <v>50</v>
      </c>
      <c r="E1781" s="2" t="s">
        <v>51</v>
      </c>
      <c r="F1781" s="2" t="s">
        <v>24</v>
      </c>
      <c r="G1781">
        <v>77</v>
      </c>
      <c r="H1781">
        <v>528</v>
      </c>
      <c r="I1781">
        <v>24</v>
      </c>
      <c r="J1781" s="3">
        <v>4715700</v>
      </c>
      <c r="K1781" s="3">
        <v>113176800</v>
      </c>
      <c r="L1781" s="2" t="s">
        <v>33</v>
      </c>
      <c r="M1781" s="2" t="s">
        <v>26</v>
      </c>
      <c r="N1781">
        <v>2024</v>
      </c>
      <c r="O1781" s="2" t="s">
        <v>152</v>
      </c>
      <c r="P1781" s="2" t="s">
        <v>153</v>
      </c>
      <c r="Q1781">
        <v>10</v>
      </c>
      <c r="R1781" s="4">
        <v>45566</v>
      </c>
      <c r="S1781" s="3">
        <v>4715700</v>
      </c>
      <c r="T1781" s="3">
        <v>11.32</v>
      </c>
    </row>
    <row r="1782" spans="1:20" x14ac:dyDescent="0.3">
      <c r="A1782" s="1">
        <v>45580</v>
      </c>
      <c r="B1782" s="2" t="s">
        <v>40</v>
      </c>
      <c r="C1782" s="2" t="s">
        <v>78</v>
      </c>
      <c r="D1782" s="2" t="s">
        <v>88</v>
      </c>
      <c r="E1782" s="2" t="s">
        <v>111</v>
      </c>
      <c r="F1782" s="2" t="s">
        <v>39</v>
      </c>
      <c r="G1782">
        <v>60</v>
      </c>
      <c r="H1782">
        <v>480</v>
      </c>
      <c r="I1782">
        <v>60</v>
      </c>
      <c r="J1782" s="3">
        <v>3285800</v>
      </c>
      <c r="K1782" s="3">
        <v>197148000</v>
      </c>
      <c r="L1782" s="2" t="s">
        <v>25</v>
      </c>
      <c r="M1782" s="2" t="s">
        <v>77</v>
      </c>
      <c r="N1782">
        <v>2024</v>
      </c>
      <c r="O1782" s="2" t="s">
        <v>152</v>
      </c>
      <c r="P1782" s="2" t="s">
        <v>153</v>
      </c>
      <c r="Q1782">
        <v>10</v>
      </c>
      <c r="R1782" s="4">
        <v>45566</v>
      </c>
      <c r="S1782" s="3">
        <v>3285800</v>
      </c>
      <c r="T1782" s="3">
        <v>19.71</v>
      </c>
    </row>
    <row r="1783" spans="1:20" x14ac:dyDescent="0.3">
      <c r="A1783" s="1">
        <v>45581</v>
      </c>
      <c r="B1783" s="2" t="s">
        <v>29</v>
      </c>
      <c r="C1783" s="2" t="s">
        <v>30</v>
      </c>
      <c r="D1783" s="2" t="s">
        <v>63</v>
      </c>
      <c r="E1783" s="2" t="s">
        <v>64</v>
      </c>
      <c r="F1783" s="2" t="s">
        <v>24</v>
      </c>
      <c r="G1783">
        <v>3</v>
      </c>
      <c r="H1783">
        <v>127</v>
      </c>
      <c r="I1783">
        <v>17</v>
      </c>
      <c r="J1783" s="3">
        <v>188400</v>
      </c>
      <c r="K1783" s="3">
        <v>3202800</v>
      </c>
      <c r="L1783" s="2" t="s">
        <v>33</v>
      </c>
      <c r="M1783" s="2" t="s">
        <v>26</v>
      </c>
      <c r="N1783">
        <v>2024</v>
      </c>
      <c r="O1783" s="2" t="s">
        <v>152</v>
      </c>
      <c r="P1783" s="2" t="s">
        <v>153</v>
      </c>
      <c r="Q1783">
        <v>10</v>
      </c>
      <c r="R1783" s="4">
        <v>45566</v>
      </c>
      <c r="S1783" s="3">
        <v>188400</v>
      </c>
      <c r="T1783" s="3">
        <v>0.32</v>
      </c>
    </row>
    <row r="1784" spans="1:20" x14ac:dyDescent="0.3">
      <c r="A1784" s="1">
        <v>45582</v>
      </c>
      <c r="B1784" s="2" t="s">
        <v>20</v>
      </c>
      <c r="C1784" s="2" t="s">
        <v>125</v>
      </c>
      <c r="D1784" s="2" t="s">
        <v>57</v>
      </c>
      <c r="E1784" s="2" t="s">
        <v>86</v>
      </c>
      <c r="F1784" s="2" t="s">
        <v>39</v>
      </c>
      <c r="G1784">
        <v>48</v>
      </c>
      <c r="H1784">
        <v>39</v>
      </c>
      <c r="I1784">
        <v>129</v>
      </c>
      <c r="J1784" s="3">
        <v>2612700</v>
      </c>
      <c r="K1784" s="3">
        <v>337038300</v>
      </c>
      <c r="L1784" s="2" t="s">
        <v>92</v>
      </c>
      <c r="M1784" s="2" t="s">
        <v>26</v>
      </c>
      <c r="N1784">
        <v>2024</v>
      </c>
      <c r="O1784" s="2" t="s">
        <v>152</v>
      </c>
      <c r="P1784" s="2" t="s">
        <v>153</v>
      </c>
      <c r="Q1784">
        <v>10</v>
      </c>
      <c r="R1784" s="4">
        <v>45566</v>
      </c>
      <c r="S1784" s="3">
        <v>2612700</v>
      </c>
      <c r="T1784" s="3">
        <v>33.700000000000003</v>
      </c>
    </row>
    <row r="1785" spans="1:20" x14ac:dyDescent="0.3">
      <c r="A1785" s="1">
        <v>45582</v>
      </c>
      <c r="B1785" s="2" t="s">
        <v>108</v>
      </c>
      <c r="C1785" s="2" t="s">
        <v>123</v>
      </c>
      <c r="D1785" s="2" t="s">
        <v>100</v>
      </c>
      <c r="E1785" s="2" t="s">
        <v>101</v>
      </c>
      <c r="F1785" s="2" t="s">
        <v>24</v>
      </c>
      <c r="G1785">
        <v>3</v>
      </c>
      <c r="H1785">
        <v>150</v>
      </c>
      <c r="I1785">
        <v>25</v>
      </c>
      <c r="J1785" s="3">
        <v>144000</v>
      </c>
      <c r="K1785" s="3">
        <v>3600000</v>
      </c>
      <c r="L1785" s="2" t="s">
        <v>25</v>
      </c>
      <c r="M1785" s="2" t="s">
        <v>26</v>
      </c>
      <c r="N1785">
        <v>2024</v>
      </c>
      <c r="O1785" s="2" t="s">
        <v>152</v>
      </c>
      <c r="P1785" s="2" t="s">
        <v>153</v>
      </c>
      <c r="Q1785">
        <v>10</v>
      </c>
      <c r="R1785" s="4">
        <v>45566</v>
      </c>
      <c r="S1785" s="3">
        <v>144000</v>
      </c>
      <c r="T1785" s="3">
        <v>0.36</v>
      </c>
    </row>
    <row r="1786" spans="1:20" x14ac:dyDescent="0.3">
      <c r="A1786" s="1">
        <v>45582</v>
      </c>
      <c r="B1786" s="2" t="s">
        <v>44</v>
      </c>
      <c r="C1786" s="2" t="s">
        <v>142</v>
      </c>
      <c r="D1786" s="2" t="s">
        <v>70</v>
      </c>
      <c r="E1786" s="2" t="s">
        <v>71</v>
      </c>
      <c r="F1786" s="2" t="s">
        <v>24</v>
      </c>
      <c r="G1786">
        <v>50</v>
      </c>
      <c r="H1786">
        <v>46</v>
      </c>
      <c r="I1786">
        <v>28</v>
      </c>
      <c r="J1786" s="3">
        <v>2779000</v>
      </c>
      <c r="K1786" s="3">
        <v>77812000</v>
      </c>
      <c r="L1786" s="2" t="s">
        <v>33</v>
      </c>
      <c r="M1786" s="2" t="s">
        <v>26</v>
      </c>
      <c r="N1786">
        <v>2024</v>
      </c>
      <c r="O1786" s="2" t="s">
        <v>152</v>
      </c>
      <c r="P1786" s="2" t="s">
        <v>153</v>
      </c>
      <c r="Q1786">
        <v>10</v>
      </c>
      <c r="R1786" s="4">
        <v>45566</v>
      </c>
      <c r="S1786" s="3">
        <v>2779000</v>
      </c>
      <c r="T1786" s="3">
        <v>7.78</v>
      </c>
    </row>
    <row r="1787" spans="1:20" x14ac:dyDescent="0.3">
      <c r="A1787" s="1">
        <v>45583</v>
      </c>
      <c r="B1787" s="2" t="s">
        <v>106</v>
      </c>
      <c r="C1787" s="2" t="s">
        <v>119</v>
      </c>
      <c r="D1787" s="2" t="s">
        <v>50</v>
      </c>
      <c r="E1787" s="2" t="s">
        <v>51</v>
      </c>
      <c r="F1787" s="2" t="s">
        <v>24</v>
      </c>
      <c r="G1787">
        <v>77</v>
      </c>
      <c r="H1787">
        <v>528</v>
      </c>
      <c r="I1787">
        <v>24</v>
      </c>
      <c r="J1787" s="3">
        <v>5209200</v>
      </c>
      <c r="K1787" s="3">
        <v>125020800</v>
      </c>
      <c r="L1787" s="2" t="s">
        <v>25</v>
      </c>
      <c r="M1787" s="2" t="s">
        <v>26</v>
      </c>
      <c r="N1787">
        <v>2024</v>
      </c>
      <c r="O1787" s="2" t="s">
        <v>152</v>
      </c>
      <c r="P1787" s="2" t="s">
        <v>153</v>
      </c>
      <c r="Q1787">
        <v>10</v>
      </c>
      <c r="R1787" s="4">
        <v>45566</v>
      </c>
      <c r="S1787" s="3">
        <v>5209200</v>
      </c>
      <c r="T1787" s="3">
        <v>12.5</v>
      </c>
    </row>
    <row r="1788" spans="1:20" x14ac:dyDescent="0.3">
      <c r="A1788" s="1">
        <v>45583</v>
      </c>
      <c r="B1788" s="2" t="s">
        <v>108</v>
      </c>
      <c r="C1788" s="2" t="s">
        <v>131</v>
      </c>
      <c r="D1788" s="2" t="s">
        <v>50</v>
      </c>
      <c r="E1788" s="2" t="s">
        <v>51</v>
      </c>
      <c r="F1788" s="2" t="s">
        <v>24</v>
      </c>
      <c r="G1788">
        <v>77</v>
      </c>
      <c r="H1788">
        <v>528</v>
      </c>
      <c r="I1788">
        <v>66</v>
      </c>
      <c r="J1788" s="3">
        <v>4664400</v>
      </c>
      <c r="K1788" s="3">
        <v>307850400</v>
      </c>
      <c r="L1788" s="2" t="s">
        <v>33</v>
      </c>
      <c r="M1788" s="2" t="s">
        <v>77</v>
      </c>
      <c r="N1788">
        <v>2024</v>
      </c>
      <c r="O1788" s="2" t="s">
        <v>152</v>
      </c>
      <c r="P1788" s="2" t="s">
        <v>153</v>
      </c>
      <c r="Q1788">
        <v>10</v>
      </c>
      <c r="R1788" s="4">
        <v>45566</v>
      </c>
      <c r="S1788" s="3">
        <v>4664400</v>
      </c>
      <c r="T1788" s="3">
        <v>30.79</v>
      </c>
    </row>
    <row r="1789" spans="1:20" x14ac:dyDescent="0.3">
      <c r="A1789" s="1">
        <v>45583</v>
      </c>
      <c r="B1789" s="2" t="s">
        <v>35</v>
      </c>
      <c r="C1789" s="2" t="s">
        <v>121</v>
      </c>
      <c r="D1789" s="2" t="s">
        <v>79</v>
      </c>
      <c r="E1789" s="2" t="s">
        <v>80</v>
      </c>
      <c r="F1789" s="2" t="s">
        <v>24</v>
      </c>
      <c r="G1789">
        <v>69</v>
      </c>
      <c r="H1789">
        <v>418</v>
      </c>
      <c r="I1789">
        <v>7</v>
      </c>
      <c r="J1789" s="3">
        <v>5526100</v>
      </c>
      <c r="K1789" s="3">
        <v>38682700</v>
      </c>
      <c r="L1789" s="2" t="s">
        <v>33</v>
      </c>
      <c r="M1789" s="2" t="s">
        <v>34</v>
      </c>
      <c r="N1789">
        <v>2024</v>
      </c>
      <c r="O1789" s="2" t="s">
        <v>152</v>
      </c>
      <c r="P1789" s="2" t="s">
        <v>153</v>
      </c>
      <c r="Q1789">
        <v>10</v>
      </c>
      <c r="R1789" s="4">
        <v>45566</v>
      </c>
      <c r="S1789" s="3">
        <v>5526100</v>
      </c>
      <c r="T1789" s="3">
        <v>3.87</v>
      </c>
    </row>
    <row r="1790" spans="1:20" x14ac:dyDescent="0.3">
      <c r="A1790" s="1">
        <v>45583</v>
      </c>
      <c r="B1790" s="2" t="s">
        <v>46</v>
      </c>
      <c r="C1790" s="2" t="s">
        <v>47</v>
      </c>
      <c r="D1790" s="2" t="s">
        <v>79</v>
      </c>
      <c r="E1790" s="2" t="s">
        <v>80</v>
      </c>
      <c r="F1790" s="2" t="s">
        <v>24</v>
      </c>
      <c r="G1790">
        <v>69</v>
      </c>
      <c r="H1790">
        <v>418</v>
      </c>
      <c r="I1790">
        <v>64</v>
      </c>
      <c r="J1790" s="3">
        <v>4810900</v>
      </c>
      <c r="K1790" s="3">
        <v>307897600</v>
      </c>
      <c r="L1790" s="2" t="s">
        <v>25</v>
      </c>
      <c r="M1790" s="2" t="s">
        <v>26</v>
      </c>
      <c r="N1790">
        <v>2024</v>
      </c>
      <c r="O1790" s="2" t="s">
        <v>152</v>
      </c>
      <c r="P1790" s="2" t="s">
        <v>153</v>
      </c>
      <c r="Q1790">
        <v>10</v>
      </c>
      <c r="R1790" s="4">
        <v>45566</v>
      </c>
      <c r="S1790" s="3">
        <v>4810900</v>
      </c>
      <c r="T1790" s="3">
        <v>30.79</v>
      </c>
    </row>
    <row r="1791" spans="1:20" x14ac:dyDescent="0.3">
      <c r="A1791" s="1">
        <v>45583</v>
      </c>
      <c r="B1791" s="2" t="s">
        <v>48</v>
      </c>
      <c r="C1791" s="2" t="s">
        <v>98</v>
      </c>
      <c r="D1791" s="2" t="s">
        <v>42</v>
      </c>
      <c r="E1791" s="2" t="s">
        <v>43</v>
      </c>
      <c r="F1791" s="2" t="s">
        <v>24</v>
      </c>
      <c r="G1791">
        <v>3</v>
      </c>
      <c r="H1791">
        <v>135</v>
      </c>
      <c r="I1791">
        <v>26</v>
      </c>
      <c r="J1791" s="3">
        <v>136200</v>
      </c>
      <c r="K1791" s="3">
        <v>3541200</v>
      </c>
      <c r="L1791" s="2" t="s">
        <v>25</v>
      </c>
      <c r="M1791" s="2" t="s">
        <v>34</v>
      </c>
      <c r="N1791">
        <v>2024</v>
      </c>
      <c r="O1791" s="2" t="s">
        <v>152</v>
      </c>
      <c r="P1791" s="2" t="s">
        <v>153</v>
      </c>
      <c r="Q1791">
        <v>10</v>
      </c>
      <c r="R1791" s="4">
        <v>45566</v>
      </c>
      <c r="S1791" s="3">
        <v>136200</v>
      </c>
      <c r="T1791" s="3">
        <v>0.35</v>
      </c>
    </row>
    <row r="1792" spans="1:20" x14ac:dyDescent="0.3">
      <c r="A1792" s="1">
        <v>45583</v>
      </c>
      <c r="B1792" s="2" t="s">
        <v>84</v>
      </c>
      <c r="C1792" s="2" t="s">
        <v>93</v>
      </c>
      <c r="D1792" s="2" t="s">
        <v>63</v>
      </c>
      <c r="E1792" s="2" t="s">
        <v>64</v>
      </c>
      <c r="F1792" s="2" t="s">
        <v>24</v>
      </c>
      <c r="G1792">
        <v>3</v>
      </c>
      <c r="H1792">
        <v>127</v>
      </c>
      <c r="I1792">
        <v>138</v>
      </c>
      <c r="J1792" s="3">
        <v>144600</v>
      </c>
      <c r="K1792" s="3">
        <v>19954800</v>
      </c>
      <c r="L1792" s="2" t="s">
        <v>33</v>
      </c>
      <c r="M1792" s="2" t="s">
        <v>34</v>
      </c>
      <c r="N1792">
        <v>2024</v>
      </c>
      <c r="O1792" s="2" t="s">
        <v>152</v>
      </c>
      <c r="P1792" s="2" t="s">
        <v>153</v>
      </c>
      <c r="Q1792">
        <v>10</v>
      </c>
      <c r="R1792" s="4">
        <v>45566</v>
      </c>
      <c r="S1792" s="3">
        <v>144600</v>
      </c>
      <c r="T1792" s="3">
        <v>2</v>
      </c>
    </row>
    <row r="1793" spans="1:20" x14ac:dyDescent="0.3">
      <c r="A1793" s="1">
        <v>45584</v>
      </c>
      <c r="B1793" s="2" t="s">
        <v>59</v>
      </c>
      <c r="C1793" s="2" t="s">
        <v>135</v>
      </c>
      <c r="D1793" s="2" t="s">
        <v>54</v>
      </c>
      <c r="E1793" s="2" t="s">
        <v>55</v>
      </c>
      <c r="F1793" s="2" t="s">
        <v>72</v>
      </c>
      <c r="G1793">
        <v>30</v>
      </c>
      <c r="H1793">
        <v>320</v>
      </c>
      <c r="I1793">
        <v>19</v>
      </c>
      <c r="J1793" s="3">
        <v>1488300</v>
      </c>
      <c r="K1793" s="3">
        <v>28277700</v>
      </c>
      <c r="L1793" s="2" t="s">
        <v>33</v>
      </c>
      <c r="M1793" s="2" t="s">
        <v>77</v>
      </c>
      <c r="N1793">
        <v>2024</v>
      </c>
      <c r="O1793" s="2" t="s">
        <v>152</v>
      </c>
      <c r="P1793" s="2" t="s">
        <v>153</v>
      </c>
      <c r="Q1793">
        <v>10</v>
      </c>
      <c r="R1793" s="4">
        <v>45566</v>
      </c>
      <c r="S1793" s="3">
        <v>1488300</v>
      </c>
      <c r="T1793" s="3">
        <v>2.83</v>
      </c>
    </row>
    <row r="1794" spans="1:20" x14ac:dyDescent="0.3">
      <c r="A1794" s="1">
        <v>45584</v>
      </c>
      <c r="B1794" s="2" t="s">
        <v>40</v>
      </c>
      <c r="C1794" s="2" t="s">
        <v>105</v>
      </c>
      <c r="D1794" s="2" t="s">
        <v>82</v>
      </c>
      <c r="E1794" s="2" t="s">
        <v>83</v>
      </c>
      <c r="F1794" s="2" t="s">
        <v>24</v>
      </c>
      <c r="G1794">
        <v>40</v>
      </c>
      <c r="H1794">
        <v>39</v>
      </c>
      <c r="I1794">
        <v>52</v>
      </c>
      <c r="J1794" s="3">
        <v>1843600</v>
      </c>
      <c r="K1794" s="3">
        <v>95867200</v>
      </c>
      <c r="L1794" s="2" t="s">
        <v>33</v>
      </c>
      <c r="M1794" s="2" t="s">
        <v>34</v>
      </c>
      <c r="N1794">
        <v>2024</v>
      </c>
      <c r="O1794" s="2" t="s">
        <v>152</v>
      </c>
      <c r="P1794" s="2" t="s">
        <v>153</v>
      </c>
      <c r="Q1794">
        <v>10</v>
      </c>
      <c r="R1794" s="4">
        <v>45566</v>
      </c>
      <c r="S1794" s="3">
        <v>1843600</v>
      </c>
      <c r="T1794" s="3">
        <v>9.59</v>
      </c>
    </row>
    <row r="1795" spans="1:20" x14ac:dyDescent="0.3">
      <c r="A1795" s="1">
        <v>45584</v>
      </c>
      <c r="B1795" s="2" t="s">
        <v>44</v>
      </c>
      <c r="C1795" s="2" t="s">
        <v>117</v>
      </c>
      <c r="D1795" s="2" t="s">
        <v>94</v>
      </c>
      <c r="E1795" s="2" t="s">
        <v>140</v>
      </c>
      <c r="F1795" s="2" t="s">
        <v>24</v>
      </c>
      <c r="G1795">
        <v>35</v>
      </c>
      <c r="H1795">
        <v>32</v>
      </c>
      <c r="I1795">
        <v>175</v>
      </c>
      <c r="J1795" s="3">
        <v>2015400</v>
      </c>
      <c r="K1795" s="3">
        <v>352695000</v>
      </c>
      <c r="L1795" s="2" t="s">
        <v>25</v>
      </c>
      <c r="M1795" s="2" t="s">
        <v>26</v>
      </c>
      <c r="N1795">
        <v>2024</v>
      </c>
      <c r="O1795" s="2" t="s">
        <v>152</v>
      </c>
      <c r="P1795" s="2" t="s">
        <v>153</v>
      </c>
      <c r="Q1795">
        <v>10</v>
      </c>
      <c r="R1795" s="4">
        <v>45566</v>
      </c>
      <c r="S1795" s="3">
        <v>2015400</v>
      </c>
      <c r="T1795" s="3">
        <v>35.270000000000003</v>
      </c>
    </row>
    <row r="1796" spans="1:20" x14ac:dyDescent="0.3">
      <c r="A1796" s="1">
        <v>45585</v>
      </c>
      <c r="B1796" s="2" t="s">
        <v>52</v>
      </c>
      <c r="C1796" s="2" t="s">
        <v>53</v>
      </c>
      <c r="D1796" s="2" t="s">
        <v>70</v>
      </c>
      <c r="E1796" s="2" t="s">
        <v>71</v>
      </c>
      <c r="F1796" s="2" t="s">
        <v>72</v>
      </c>
      <c r="G1796">
        <v>50</v>
      </c>
      <c r="H1796">
        <v>46</v>
      </c>
      <c r="I1796">
        <v>23</v>
      </c>
      <c r="J1796" s="3">
        <v>2503500</v>
      </c>
      <c r="K1796" s="3">
        <v>57580500</v>
      </c>
      <c r="L1796" s="2" t="s">
        <v>33</v>
      </c>
      <c r="M1796" s="2" t="s">
        <v>97</v>
      </c>
      <c r="N1796">
        <v>2024</v>
      </c>
      <c r="O1796" s="2" t="s">
        <v>152</v>
      </c>
      <c r="P1796" s="2" t="s">
        <v>153</v>
      </c>
      <c r="Q1796">
        <v>10</v>
      </c>
      <c r="R1796" s="4">
        <v>45566</v>
      </c>
      <c r="S1796" s="3">
        <v>2503500</v>
      </c>
      <c r="T1796" s="3">
        <v>5.76</v>
      </c>
    </row>
    <row r="1797" spans="1:20" x14ac:dyDescent="0.3">
      <c r="A1797" s="1">
        <v>45585</v>
      </c>
      <c r="B1797" s="2" t="s">
        <v>20</v>
      </c>
      <c r="C1797" s="2" t="s">
        <v>21</v>
      </c>
      <c r="D1797" s="2" t="s">
        <v>22</v>
      </c>
      <c r="E1797" s="2" t="s">
        <v>23</v>
      </c>
      <c r="F1797" s="2" t="s">
        <v>24</v>
      </c>
      <c r="G1797">
        <v>82</v>
      </c>
      <c r="H1797">
        <v>520</v>
      </c>
      <c r="I1797">
        <v>19</v>
      </c>
      <c r="J1797" s="3">
        <v>7090900</v>
      </c>
      <c r="K1797" s="3">
        <v>134727100</v>
      </c>
      <c r="L1797" s="2" t="s">
        <v>92</v>
      </c>
      <c r="M1797" s="2" t="s">
        <v>26</v>
      </c>
      <c r="N1797">
        <v>2024</v>
      </c>
      <c r="O1797" s="2" t="s">
        <v>152</v>
      </c>
      <c r="P1797" s="2" t="s">
        <v>153</v>
      </c>
      <c r="Q1797">
        <v>10</v>
      </c>
      <c r="R1797" s="4">
        <v>45566</v>
      </c>
      <c r="S1797" s="3">
        <v>7090900</v>
      </c>
      <c r="T1797" s="3">
        <v>13.47</v>
      </c>
    </row>
    <row r="1798" spans="1:20" x14ac:dyDescent="0.3">
      <c r="A1798" s="1">
        <v>45585</v>
      </c>
      <c r="B1798" s="2" t="s">
        <v>35</v>
      </c>
      <c r="C1798" s="2" t="s">
        <v>132</v>
      </c>
      <c r="D1798" s="2" t="s">
        <v>100</v>
      </c>
      <c r="E1798" s="2" t="s">
        <v>101</v>
      </c>
      <c r="F1798" s="2" t="s">
        <v>24</v>
      </c>
      <c r="G1798">
        <v>3</v>
      </c>
      <c r="H1798">
        <v>150</v>
      </c>
      <c r="I1798">
        <v>12</v>
      </c>
      <c r="J1798" s="3">
        <v>136800</v>
      </c>
      <c r="K1798" s="3">
        <v>1641600</v>
      </c>
      <c r="L1798" s="2" t="s">
        <v>33</v>
      </c>
      <c r="M1798" s="2" t="s">
        <v>26</v>
      </c>
      <c r="N1798">
        <v>2024</v>
      </c>
      <c r="O1798" s="2" t="s">
        <v>152</v>
      </c>
      <c r="P1798" s="2" t="s">
        <v>153</v>
      </c>
      <c r="Q1798">
        <v>10</v>
      </c>
      <c r="R1798" s="4">
        <v>45566</v>
      </c>
      <c r="S1798" s="3">
        <v>136800</v>
      </c>
      <c r="T1798" s="3">
        <v>0.16</v>
      </c>
    </row>
    <row r="1799" spans="1:20" x14ac:dyDescent="0.3">
      <c r="A1799" s="1">
        <v>45585</v>
      </c>
      <c r="B1799" s="2" t="s">
        <v>84</v>
      </c>
      <c r="C1799" s="2" t="s">
        <v>113</v>
      </c>
      <c r="D1799" s="2" t="s">
        <v>100</v>
      </c>
      <c r="E1799" s="2" t="s">
        <v>101</v>
      </c>
      <c r="F1799" s="2" t="s">
        <v>24</v>
      </c>
      <c r="G1799">
        <v>3</v>
      </c>
      <c r="H1799">
        <v>150</v>
      </c>
      <c r="I1799">
        <v>149</v>
      </c>
      <c r="J1799" s="3">
        <v>174500</v>
      </c>
      <c r="K1799" s="3">
        <v>26000500</v>
      </c>
      <c r="L1799" s="2" t="s">
        <v>33</v>
      </c>
      <c r="M1799" s="2" t="s">
        <v>26</v>
      </c>
      <c r="N1799">
        <v>2024</v>
      </c>
      <c r="O1799" s="2" t="s">
        <v>152</v>
      </c>
      <c r="P1799" s="2" t="s">
        <v>153</v>
      </c>
      <c r="Q1799">
        <v>10</v>
      </c>
      <c r="R1799" s="4">
        <v>45566</v>
      </c>
      <c r="S1799" s="3">
        <v>174500</v>
      </c>
      <c r="T1799" s="3">
        <v>2.6</v>
      </c>
    </row>
    <row r="1800" spans="1:20" x14ac:dyDescent="0.3">
      <c r="A1800" s="1">
        <v>45587</v>
      </c>
      <c r="B1800" s="2" t="s">
        <v>29</v>
      </c>
      <c r="C1800" s="2" t="s">
        <v>65</v>
      </c>
      <c r="D1800" s="2" t="s">
        <v>63</v>
      </c>
      <c r="E1800" s="2" t="s">
        <v>64</v>
      </c>
      <c r="F1800" s="2" t="s">
        <v>24</v>
      </c>
      <c r="G1800">
        <v>3</v>
      </c>
      <c r="H1800">
        <v>127</v>
      </c>
      <c r="I1800">
        <v>96</v>
      </c>
      <c r="J1800" s="3">
        <v>186600</v>
      </c>
      <c r="K1800" s="3">
        <v>17913600</v>
      </c>
      <c r="L1800" s="2" t="s">
        <v>33</v>
      </c>
      <c r="M1800" s="2" t="s">
        <v>26</v>
      </c>
      <c r="N1800">
        <v>2024</v>
      </c>
      <c r="O1800" s="2" t="s">
        <v>152</v>
      </c>
      <c r="P1800" s="2" t="s">
        <v>153</v>
      </c>
      <c r="Q1800">
        <v>10</v>
      </c>
      <c r="R1800" s="4">
        <v>45566</v>
      </c>
      <c r="S1800" s="3">
        <v>186600</v>
      </c>
      <c r="T1800" s="3">
        <v>1.79</v>
      </c>
    </row>
    <row r="1801" spans="1:20" x14ac:dyDescent="0.3">
      <c r="A1801" s="1">
        <v>45587</v>
      </c>
      <c r="B1801" s="2" t="s">
        <v>35</v>
      </c>
      <c r="C1801" s="2" t="s">
        <v>132</v>
      </c>
      <c r="D1801" s="2" t="s">
        <v>88</v>
      </c>
      <c r="E1801" s="2" t="s">
        <v>111</v>
      </c>
      <c r="F1801" s="2" t="s">
        <v>24</v>
      </c>
      <c r="G1801">
        <v>60</v>
      </c>
      <c r="H1801">
        <v>480</v>
      </c>
      <c r="I1801">
        <v>59</v>
      </c>
      <c r="J1801" s="3">
        <v>3005600</v>
      </c>
      <c r="K1801" s="3">
        <v>177330400</v>
      </c>
      <c r="L1801" s="2" t="s">
        <v>33</v>
      </c>
      <c r="M1801" s="2" t="s">
        <v>26</v>
      </c>
      <c r="N1801">
        <v>2024</v>
      </c>
      <c r="O1801" s="2" t="s">
        <v>152</v>
      </c>
      <c r="P1801" s="2" t="s">
        <v>153</v>
      </c>
      <c r="Q1801">
        <v>10</v>
      </c>
      <c r="R1801" s="4">
        <v>45566</v>
      </c>
      <c r="S1801" s="3">
        <v>3005600</v>
      </c>
      <c r="T1801" s="3">
        <v>17.73</v>
      </c>
    </row>
    <row r="1802" spans="1:20" x14ac:dyDescent="0.3">
      <c r="A1802" s="1">
        <v>45587</v>
      </c>
      <c r="B1802" s="2" t="s">
        <v>52</v>
      </c>
      <c r="C1802" s="2" t="s">
        <v>66</v>
      </c>
      <c r="D1802" s="2" t="s">
        <v>70</v>
      </c>
      <c r="E1802" s="2" t="s">
        <v>74</v>
      </c>
      <c r="F1802" s="2" t="s">
        <v>39</v>
      </c>
      <c r="G1802">
        <v>25</v>
      </c>
      <c r="H1802">
        <v>32</v>
      </c>
      <c r="I1802">
        <v>63</v>
      </c>
      <c r="J1802" s="3">
        <v>1136800</v>
      </c>
      <c r="K1802" s="3">
        <v>71618400</v>
      </c>
      <c r="L1802" s="2" t="s">
        <v>33</v>
      </c>
      <c r="M1802" s="2" t="s">
        <v>77</v>
      </c>
      <c r="N1802">
        <v>2024</v>
      </c>
      <c r="O1802" s="2" t="s">
        <v>152</v>
      </c>
      <c r="P1802" s="2" t="s">
        <v>153</v>
      </c>
      <c r="Q1802">
        <v>10</v>
      </c>
      <c r="R1802" s="4">
        <v>45566</v>
      </c>
      <c r="S1802" s="3">
        <v>1136800</v>
      </c>
      <c r="T1802" s="3">
        <v>7.16</v>
      </c>
    </row>
    <row r="1803" spans="1:20" x14ac:dyDescent="0.3">
      <c r="A1803" s="1">
        <v>45588</v>
      </c>
      <c r="B1803" s="2" t="s">
        <v>84</v>
      </c>
      <c r="C1803" s="2" t="s">
        <v>113</v>
      </c>
      <c r="D1803" s="2" t="s">
        <v>63</v>
      </c>
      <c r="E1803" s="2" t="s">
        <v>64</v>
      </c>
      <c r="F1803" s="2" t="s">
        <v>24</v>
      </c>
      <c r="G1803">
        <v>3</v>
      </c>
      <c r="H1803">
        <v>127</v>
      </c>
      <c r="I1803">
        <v>169</v>
      </c>
      <c r="J1803" s="3">
        <v>141000</v>
      </c>
      <c r="K1803" s="3">
        <v>23829000</v>
      </c>
      <c r="L1803" s="2" t="s">
        <v>25</v>
      </c>
      <c r="M1803" s="2" t="s">
        <v>26</v>
      </c>
      <c r="N1803">
        <v>2024</v>
      </c>
      <c r="O1803" s="2" t="s">
        <v>152</v>
      </c>
      <c r="P1803" s="2" t="s">
        <v>153</v>
      </c>
      <c r="Q1803">
        <v>10</v>
      </c>
      <c r="R1803" s="4">
        <v>45566</v>
      </c>
      <c r="S1803" s="3">
        <v>141000</v>
      </c>
      <c r="T1803" s="3">
        <v>2.38</v>
      </c>
    </row>
    <row r="1804" spans="1:20" x14ac:dyDescent="0.3">
      <c r="A1804" s="1">
        <v>45588</v>
      </c>
      <c r="B1804" s="2" t="s">
        <v>46</v>
      </c>
      <c r="C1804" s="2" t="s">
        <v>137</v>
      </c>
      <c r="D1804" s="2" t="s">
        <v>50</v>
      </c>
      <c r="E1804" s="2" t="s">
        <v>51</v>
      </c>
      <c r="F1804" s="2" t="s">
        <v>39</v>
      </c>
      <c r="G1804">
        <v>77</v>
      </c>
      <c r="H1804">
        <v>528</v>
      </c>
      <c r="I1804">
        <v>6</v>
      </c>
      <c r="J1804" s="3">
        <v>4693500</v>
      </c>
      <c r="K1804" s="3">
        <v>28161000</v>
      </c>
      <c r="L1804" s="2" t="s">
        <v>25</v>
      </c>
      <c r="M1804" s="2" t="s">
        <v>26</v>
      </c>
      <c r="N1804">
        <v>2024</v>
      </c>
      <c r="O1804" s="2" t="s">
        <v>152</v>
      </c>
      <c r="P1804" s="2" t="s">
        <v>153</v>
      </c>
      <c r="Q1804">
        <v>10</v>
      </c>
      <c r="R1804" s="4">
        <v>45566</v>
      </c>
      <c r="S1804" s="3">
        <v>4693500</v>
      </c>
      <c r="T1804" s="3">
        <v>2.82</v>
      </c>
    </row>
    <row r="1805" spans="1:20" x14ac:dyDescent="0.3">
      <c r="A1805" s="1">
        <v>45588</v>
      </c>
      <c r="B1805" s="2" t="s">
        <v>46</v>
      </c>
      <c r="C1805" s="2" t="s">
        <v>137</v>
      </c>
      <c r="D1805" s="2" t="s">
        <v>70</v>
      </c>
      <c r="E1805" s="2" t="s">
        <v>71</v>
      </c>
      <c r="F1805" s="2" t="s">
        <v>24</v>
      </c>
      <c r="G1805">
        <v>50</v>
      </c>
      <c r="H1805">
        <v>46</v>
      </c>
      <c r="I1805">
        <v>90</v>
      </c>
      <c r="J1805" s="3">
        <v>2412100</v>
      </c>
      <c r="K1805" s="3">
        <v>217089000</v>
      </c>
      <c r="L1805" s="2" t="s">
        <v>92</v>
      </c>
      <c r="M1805" s="2" t="s">
        <v>26</v>
      </c>
      <c r="N1805">
        <v>2024</v>
      </c>
      <c r="O1805" s="2" t="s">
        <v>152</v>
      </c>
      <c r="P1805" s="2" t="s">
        <v>153</v>
      </c>
      <c r="Q1805">
        <v>10</v>
      </c>
      <c r="R1805" s="4">
        <v>45566</v>
      </c>
      <c r="S1805" s="3">
        <v>2412100</v>
      </c>
      <c r="T1805" s="3">
        <v>21.71</v>
      </c>
    </row>
    <row r="1806" spans="1:20" x14ac:dyDescent="0.3">
      <c r="A1806" s="1">
        <v>45589</v>
      </c>
      <c r="B1806" s="2" t="s">
        <v>46</v>
      </c>
      <c r="C1806" s="2" t="s">
        <v>56</v>
      </c>
      <c r="D1806" s="2" t="s">
        <v>31</v>
      </c>
      <c r="E1806" s="2" t="s">
        <v>32</v>
      </c>
      <c r="F1806" s="2" t="s">
        <v>24</v>
      </c>
      <c r="G1806">
        <v>4</v>
      </c>
      <c r="H1806">
        <v>195</v>
      </c>
      <c r="I1806">
        <v>133</v>
      </c>
      <c r="J1806" s="3">
        <v>122100</v>
      </c>
      <c r="K1806" s="3">
        <v>16239300</v>
      </c>
      <c r="L1806" s="2" t="s">
        <v>25</v>
      </c>
      <c r="M1806" s="2" t="s">
        <v>77</v>
      </c>
      <c r="N1806">
        <v>2024</v>
      </c>
      <c r="O1806" s="2" t="s">
        <v>152</v>
      </c>
      <c r="P1806" s="2" t="s">
        <v>153</v>
      </c>
      <c r="Q1806">
        <v>10</v>
      </c>
      <c r="R1806" s="4">
        <v>45566</v>
      </c>
      <c r="S1806" s="3">
        <v>122100</v>
      </c>
      <c r="T1806" s="3">
        <v>1.62</v>
      </c>
    </row>
    <row r="1807" spans="1:20" x14ac:dyDescent="0.3">
      <c r="A1807" s="1">
        <v>45589</v>
      </c>
      <c r="B1807" s="2" t="s">
        <v>35</v>
      </c>
      <c r="C1807" s="2" t="s">
        <v>36</v>
      </c>
      <c r="D1807" s="2" t="s">
        <v>22</v>
      </c>
      <c r="E1807" s="2" t="s">
        <v>23</v>
      </c>
      <c r="F1807" s="2" t="s">
        <v>24</v>
      </c>
      <c r="G1807">
        <v>82</v>
      </c>
      <c r="H1807">
        <v>520</v>
      </c>
      <c r="I1807">
        <v>42</v>
      </c>
      <c r="J1807" s="3">
        <v>6305100</v>
      </c>
      <c r="K1807" s="3">
        <v>264814200</v>
      </c>
      <c r="L1807" s="2" t="s">
        <v>33</v>
      </c>
      <c r="M1807" s="2" t="s">
        <v>97</v>
      </c>
      <c r="N1807">
        <v>2024</v>
      </c>
      <c r="O1807" s="2" t="s">
        <v>152</v>
      </c>
      <c r="P1807" s="2" t="s">
        <v>153</v>
      </c>
      <c r="Q1807">
        <v>10</v>
      </c>
      <c r="R1807" s="4">
        <v>45566</v>
      </c>
      <c r="S1807" s="3">
        <v>6305100</v>
      </c>
      <c r="T1807" s="3">
        <v>26.48</v>
      </c>
    </row>
    <row r="1808" spans="1:20" x14ac:dyDescent="0.3">
      <c r="A1808" s="1">
        <v>45589</v>
      </c>
      <c r="B1808" s="2" t="s">
        <v>40</v>
      </c>
      <c r="C1808" s="2" t="s">
        <v>41</v>
      </c>
      <c r="D1808" s="2" t="s">
        <v>67</v>
      </c>
      <c r="E1808" s="2" t="s">
        <v>68</v>
      </c>
      <c r="F1808" s="2" t="s">
        <v>24</v>
      </c>
      <c r="G1808">
        <v>66</v>
      </c>
      <c r="H1808">
        <v>440</v>
      </c>
      <c r="I1808">
        <v>16</v>
      </c>
      <c r="J1808" s="3">
        <v>5317200</v>
      </c>
      <c r="K1808" s="3">
        <v>85075200</v>
      </c>
      <c r="L1808" s="2" t="s">
        <v>33</v>
      </c>
      <c r="M1808" s="2" t="s">
        <v>26</v>
      </c>
      <c r="N1808">
        <v>2024</v>
      </c>
      <c r="O1808" s="2" t="s">
        <v>152</v>
      </c>
      <c r="P1808" s="2" t="s">
        <v>153</v>
      </c>
      <c r="Q1808">
        <v>10</v>
      </c>
      <c r="R1808" s="4">
        <v>45566</v>
      </c>
      <c r="S1808" s="3">
        <v>5317200</v>
      </c>
      <c r="T1808" s="3">
        <v>8.51</v>
      </c>
    </row>
    <row r="1809" spans="1:20" x14ac:dyDescent="0.3">
      <c r="A1809" s="1">
        <v>45589</v>
      </c>
      <c r="B1809" s="2" t="s">
        <v>48</v>
      </c>
      <c r="C1809" s="2" t="s">
        <v>98</v>
      </c>
      <c r="D1809" s="2" t="s">
        <v>37</v>
      </c>
      <c r="E1809" s="2" t="s">
        <v>38</v>
      </c>
      <c r="F1809" s="2" t="s">
        <v>24</v>
      </c>
      <c r="G1809">
        <v>66</v>
      </c>
      <c r="H1809">
        <v>423</v>
      </c>
      <c r="I1809">
        <v>15</v>
      </c>
      <c r="J1809" s="3">
        <v>7238000</v>
      </c>
      <c r="K1809" s="3">
        <v>108570000</v>
      </c>
      <c r="L1809" s="2" t="s">
        <v>33</v>
      </c>
      <c r="M1809" s="2" t="s">
        <v>26</v>
      </c>
      <c r="N1809">
        <v>2024</v>
      </c>
      <c r="O1809" s="2" t="s">
        <v>152</v>
      </c>
      <c r="P1809" s="2" t="s">
        <v>153</v>
      </c>
      <c r="Q1809">
        <v>10</v>
      </c>
      <c r="R1809" s="4">
        <v>45566</v>
      </c>
      <c r="S1809" s="3">
        <v>7238000</v>
      </c>
      <c r="T1809" s="3">
        <v>10.86</v>
      </c>
    </row>
    <row r="1810" spans="1:20" x14ac:dyDescent="0.3">
      <c r="A1810" s="1">
        <v>45590</v>
      </c>
      <c r="B1810" s="2" t="s">
        <v>40</v>
      </c>
      <c r="C1810" s="2" t="s">
        <v>41</v>
      </c>
      <c r="D1810" s="2" t="s">
        <v>57</v>
      </c>
      <c r="E1810" s="2" t="s">
        <v>86</v>
      </c>
      <c r="F1810" s="2" t="s">
        <v>72</v>
      </c>
      <c r="G1810">
        <v>48</v>
      </c>
      <c r="H1810">
        <v>39</v>
      </c>
      <c r="I1810">
        <v>168</v>
      </c>
      <c r="J1810" s="3">
        <v>2210100</v>
      </c>
      <c r="K1810" s="3">
        <v>371296800</v>
      </c>
      <c r="L1810" s="2" t="s">
        <v>33</v>
      </c>
      <c r="M1810" s="2" t="s">
        <v>26</v>
      </c>
      <c r="N1810">
        <v>2024</v>
      </c>
      <c r="O1810" s="2" t="s">
        <v>152</v>
      </c>
      <c r="P1810" s="2" t="s">
        <v>153</v>
      </c>
      <c r="Q1810">
        <v>10</v>
      </c>
      <c r="R1810" s="4">
        <v>45566</v>
      </c>
      <c r="S1810" s="3">
        <v>2210100</v>
      </c>
      <c r="T1810" s="3">
        <v>37.130000000000003</v>
      </c>
    </row>
    <row r="1811" spans="1:20" x14ac:dyDescent="0.3">
      <c r="A1811" s="1">
        <v>45590</v>
      </c>
      <c r="B1811" s="2" t="s">
        <v>40</v>
      </c>
      <c r="C1811" s="2" t="s">
        <v>105</v>
      </c>
      <c r="D1811" s="2" t="s">
        <v>50</v>
      </c>
      <c r="E1811" s="2" t="s">
        <v>51</v>
      </c>
      <c r="F1811" s="2" t="s">
        <v>72</v>
      </c>
      <c r="G1811">
        <v>77</v>
      </c>
      <c r="H1811">
        <v>528</v>
      </c>
      <c r="I1811">
        <v>28</v>
      </c>
      <c r="J1811" s="3">
        <v>5673000</v>
      </c>
      <c r="K1811" s="3">
        <v>158844000</v>
      </c>
      <c r="L1811" s="2" t="s">
        <v>92</v>
      </c>
      <c r="M1811" s="2" t="s">
        <v>77</v>
      </c>
      <c r="N1811">
        <v>2024</v>
      </c>
      <c r="O1811" s="2" t="s">
        <v>152</v>
      </c>
      <c r="P1811" s="2" t="s">
        <v>153</v>
      </c>
      <c r="Q1811">
        <v>10</v>
      </c>
      <c r="R1811" s="4">
        <v>45566</v>
      </c>
      <c r="S1811" s="3">
        <v>5673000</v>
      </c>
      <c r="T1811" s="3">
        <v>15.88</v>
      </c>
    </row>
    <row r="1812" spans="1:20" x14ac:dyDescent="0.3">
      <c r="A1812" s="1">
        <v>45590</v>
      </c>
      <c r="B1812" s="2" t="s">
        <v>106</v>
      </c>
      <c r="C1812" s="2" t="s">
        <v>120</v>
      </c>
      <c r="D1812" s="2" t="s">
        <v>70</v>
      </c>
      <c r="E1812" s="2" t="s">
        <v>74</v>
      </c>
      <c r="F1812" s="2" t="s">
        <v>24</v>
      </c>
      <c r="G1812">
        <v>25</v>
      </c>
      <c r="H1812">
        <v>32</v>
      </c>
      <c r="I1812">
        <v>74</v>
      </c>
      <c r="J1812" s="3">
        <v>1078300</v>
      </c>
      <c r="K1812" s="3">
        <v>79794200</v>
      </c>
      <c r="L1812" s="2" t="s">
        <v>33</v>
      </c>
      <c r="M1812" s="2" t="s">
        <v>34</v>
      </c>
      <c r="N1812">
        <v>2024</v>
      </c>
      <c r="O1812" s="2" t="s">
        <v>152</v>
      </c>
      <c r="P1812" s="2" t="s">
        <v>153</v>
      </c>
      <c r="Q1812">
        <v>10</v>
      </c>
      <c r="R1812" s="4">
        <v>45566</v>
      </c>
      <c r="S1812" s="3">
        <v>1078300</v>
      </c>
      <c r="T1812" s="3">
        <v>7.98</v>
      </c>
    </row>
    <row r="1813" spans="1:20" x14ac:dyDescent="0.3">
      <c r="A1813" s="1">
        <v>45590</v>
      </c>
      <c r="B1813" s="2" t="s">
        <v>75</v>
      </c>
      <c r="C1813" s="2" t="s">
        <v>76</v>
      </c>
      <c r="D1813" s="2" t="s">
        <v>22</v>
      </c>
      <c r="E1813" s="2" t="s">
        <v>23</v>
      </c>
      <c r="F1813" s="2" t="s">
        <v>24</v>
      </c>
      <c r="G1813">
        <v>82</v>
      </c>
      <c r="H1813">
        <v>520</v>
      </c>
      <c r="I1813">
        <v>57</v>
      </c>
      <c r="J1813" s="3">
        <v>7516800</v>
      </c>
      <c r="K1813" s="3">
        <v>428457600</v>
      </c>
      <c r="L1813" s="2" t="s">
        <v>25</v>
      </c>
      <c r="M1813" s="2" t="s">
        <v>77</v>
      </c>
      <c r="N1813">
        <v>2024</v>
      </c>
      <c r="O1813" s="2" t="s">
        <v>152</v>
      </c>
      <c r="P1813" s="2" t="s">
        <v>153</v>
      </c>
      <c r="Q1813">
        <v>10</v>
      </c>
      <c r="R1813" s="4">
        <v>45566</v>
      </c>
      <c r="S1813" s="3">
        <v>7516800</v>
      </c>
      <c r="T1813" s="3">
        <v>42.85</v>
      </c>
    </row>
    <row r="1814" spans="1:20" x14ac:dyDescent="0.3">
      <c r="A1814" s="1">
        <v>45590</v>
      </c>
      <c r="B1814" s="2" t="s">
        <v>44</v>
      </c>
      <c r="C1814" s="2" t="s">
        <v>142</v>
      </c>
      <c r="D1814" s="2" t="s">
        <v>79</v>
      </c>
      <c r="E1814" s="2" t="s">
        <v>80</v>
      </c>
      <c r="F1814" s="2" t="s">
        <v>39</v>
      </c>
      <c r="G1814">
        <v>69</v>
      </c>
      <c r="H1814">
        <v>418</v>
      </c>
      <c r="I1814">
        <v>31</v>
      </c>
      <c r="J1814" s="3">
        <v>4880900</v>
      </c>
      <c r="K1814" s="3">
        <v>151307900</v>
      </c>
      <c r="L1814" s="2" t="s">
        <v>33</v>
      </c>
      <c r="M1814" s="2" t="s">
        <v>34</v>
      </c>
      <c r="N1814">
        <v>2024</v>
      </c>
      <c r="O1814" s="2" t="s">
        <v>152</v>
      </c>
      <c r="P1814" s="2" t="s">
        <v>153</v>
      </c>
      <c r="Q1814">
        <v>10</v>
      </c>
      <c r="R1814" s="4">
        <v>45566</v>
      </c>
      <c r="S1814" s="3">
        <v>4880900</v>
      </c>
      <c r="T1814" s="3">
        <v>15.13</v>
      </c>
    </row>
    <row r="1815" spans="1:20" x14ac:dyDescent="0.3">
      <c r="A1815" s="1">
        <v>45591</v>
      </c>
      <c r="B1815" s="2" t="s">
        <v>108</v>
      </c>
      <c r="C1815" s="2" t="s">
        <v>123</v>
      </c>
      <c r="D1815" s="2" t="s">
        <v>67</v>
      </c>
      <c r="E1815" s="2" t="s">
        <v>118</v>
      </c>
      <c r="F1815" s="2" t="s">
        <v>24</v>
      </c>
      <c r="G1815">
        <v>84</v>
      </c>
      <c r="H1815">
        <v>590</v>
      </c>
      <c r="I1815">
        <v>72</v>
      </c>
      <c r="J1815" s="3">
        <v>7213600</v>
      </c>
      <c r="K1815" s="3">
        <v>519379200</v>
      </c>
      <c r="L1815" s="2" t="s">
        <v>33</v>
      </c>
      <c r="M1815" s="2" t="s">
        <v>26</v>
      </c>
      <c r="N1815">
        <v>2024</v>
      </c>
      <c r="O1815" s="2" t="s">
        <v>152</v>
      </c>
      <c r="P1815" s="2" t="s">
        <v>153</v>
      </c>
      <c r="Q1815">
        <v>10</v>
      </c>
      <c r="R1815" s="4">
        <v>45566</v>
      </c>
      <c r="S1815" s="3">
        <v>7213600</v>
      </c>
      <c r="T1815" s="3">
        <v>51.94</v>
      </c>
    </row>
    <row r="1816" spans="1:20" x14ac:dyDescent="0.3">
      <c r="A1816" s="1">
        <v>45591</v>
      </c>
      <c r="B1816" s="2" t="s">
        <v>106</v>
      </c>
      <c r="C1816" s="2" t="s">
        <v>120</v>
      </c>
      <c r="D1816" s="2" t="s">
        <v>42</v>
      </c>
      <c r="E1816" s="2" t="s">
        <v>43</v>
      </c>
      <c r="F1816" s="2" t="s">
        <v>24</v>
      </c>
      <c r="G1816">
        <v>3</v>
      </c>
      <c r="H1816">
        <v>135</v>
      </c>
      <c r="I1816">
        <v>162</v>
      </c>
      <c r="J1816" s="3">
        <v>127900</v>
      </c>
      <c r="K1816" s="3">
        <v>20719800</v>
      </c>
      <c r="L1816" s="2" t="s">
        <v>33</v>
      </c>
      <c r="M1816" s="2" t="s">
        <v>34</v>
      </c>
      <c r="N1816">
        <v>2024</v>
      </c>
      <c r="O1816" s="2" t="s">
        <v>152</v>
      </c>
      <c r="P1816" s="2" t="s">
        <v>153</v>
      </c>
      <c r="Q1816">
        <v>10</v>
      </c>
      <c r="R1816" s="4">
        <v>45566</v>
      </c>
      <c r="S1816" s="3">
        <v>127900</v>
      </c>
      <c r="T1816" s="3">
        <v>2.0699999999999998</v>
      </c>
    </row>
    <row r="1817" spans="1:20" x14ac:dyDescent="0.3">
      <c r="A1817" s="1">
        <v>45591</v>
      </c>
      <c r="B1817" s="2" t="s">
        <v>90</v>
      </c>
      <c r="C1817" s="2" t="s">
        <v>91</v>
      </c>
      <c r="D1817" s="2" t="s">
        <v>94</v>
      </c>
      <c r="E1817" s="2" t="s">
        <v>140</v>
      </c>
      <c r="F1817" s="2" t="s">
        <v>72</v>
      </c>
      <c r="G1817">
        <v>35</v>
      </c>
      <c r="H1817">
        <v>32</v>
      </c>
      <c r="I1817">
        <v>152</v>
      </c>
      <c r="J1817" s="3">
        <v>1631300</v>
      </c>
      <c r="K1817" s="3">
        <v>247957600</v>
      </c>
      <c r="L1817" s="2" t="s">
        <v>92</v>
      </c>
      <c r="M1817" s="2" t="s">
        <v>26</v>
      </c>
      <c r="N1817">
        <v>2024</v>
      </c>
      <c r="O1817" s="2" t="s">
        <v>152</v>
      </c>
      <c r="P1817" s="2" t="s">
        <v>153</v>
      </c>
      <c r="Q1817">
        <v>10</v>
      </c>
      <c r="R1817" s="4">
        <v>45566</v>
      </c>
      <c r="S1817" s="3">
        <v>1631300</v>
      </c>
      <c r="T1817" s="3">
        <v>24.8</v>
      </c>
    </row>
    <row r="1818" spans="1:20" x14ac:dyDescent="0.3">
      <c r="A1818" s="1">
        <v>45592</v>
      </c>
      <c r="B1818" s="2" t="s">
        <v>84</v>
      </c>
      <c r="C1818" s="2" t="s">
        <v>113</v>
      </c>
      <c r="D1818" s="2" t="s">
        <v>42</v>
      </c>
      <c r="E1818" s="2" t="s">
        <v>43</v>
      </c>
      <c r="F1818" s="2" t="s">
        <v>24</v>
      </c>
      <c r="G1818">
        <v>3</v>
      </c>
      <c r="H1818">
        <v>135</v>
      </c>
      <c r="I1818">
        <v>46</v>
      </c>
      <c r="J1818" s="3">
        <v>127600</v>
      </c>
      <c r="K1818" s="3">
        <v>5869600</v>
      </c>
      <c r="L1818" s="2" t="s">
        <v>33</v>
      </c>
      <c r="M1818" s="2" t="s">
        <v>34</v>
      </c>
      <c r="N1818">
        <v>2024</v>
      </c>
      <c r="O1818" s="2" t="s">
        <v>152</v>
      </c>
      <c r="P1818" s="2" t="s">
        <v>153</v>
      </c>
      <c r="Q1818">
        <v>10</v>
      </c>
      <c r="R1818" s="4">
        <v>45566</v>
      </c>
      <c r="S1818" s="3">
        <v>127600</v>
      </c>
      <c r="T1818" s="3">
        <v>0.59</v>
      </c>
    </row>
    <row r="1819" spans="1:20" x14ac:dyDescent="0.3">
      <c r="A1819" s="1">
        <v>45592</v>
      </c>
      <c r="B1819" s="2" t="s">
        <v>46</v>
      </c>
      <c r="C1819" s="2" t="s">
        <v>110</v>
      </c>
      <c r="D1819" s="2" t="s">
        <v>63</v>
      </c>
      <c r="E1819" s="2" t="s">
        <v>64</v>
      </c>
      <c r="F1819" s="2" t="s">
        <v>24</v>
      </c>
      <c r="G1819">
        <v>3</v>
      </c>
      <c r="H1819">
        <v>127</v>
      </c>
      <c r="I1819">
        <v>167</v>
      </c>
      <c r="J1819" s="3">
        <v>171900</v>
      </c>
      <c r="K1819" s="3">
        <v>28707300</v>
      </c>
      <c r="L1819" s="2" t="s">
        <v>33</v>
      </c>
      <c r="M1819" s="2" t="s">
        <v>26</v>
      </c>
      <c r="N1819">
        <v>2024</v>
      </c>
      <c r="O1819" s="2" t="s">
        <v>152</v>
      </c>
      <c r="P1819" s="2" t="s">
        <v>153</v>
      </c>
      <c r="Q1819">
        <v>10</v>
      </c>
      <c r="R1819" s="4">
        <v>45566</v>
      </c>
      <c r="S1819" s="3">
        <v>171900</v>
      </c>
      <c r="T1819" s="3">
        <v>2.87</v>
      </c>
    </row>
    <row r="1820" spans="1:20" x14ac:dyDescent="0.3">
      <c r="A1820" s="1">
        <v>45592</v>
      </c>
      <c r="B1820" s="2" t="s">
        <v>59</v>
      </c>
      <c r="C1820" s="2" t="s">
        <v>81</v>
      </c>
      <c r="D1820" s="2" t="s">
        <v>70</v>
      </c>
      <c r="E1820" s="2" t="s">
        <v>71</v>
      </c>
      <c r="F1820" s="2" t="s">
        <v>39</v>
      </c>
      <c r="G1820">
        <v>50</v>
      </c>
      <c r="H1820">
        <v>46</v>
      </c>
      <c r="I1820">
        <v>19</v>
      </c>
      <c r="J1820" s="3">
        <v>2684100</v>
      </c>
      <c r="K1820" s="3">
        <v>50997900</v>
      </c>
      <c r="L1820" s="2" t="s">
        <v>33</v>
      </c>
      <c r="M1820" s="2" t="s">
        <v>34</v>
      </c>
      <c r="N1820">
        <v>2024</v>
      </c>
      <c r="O1820" s="2" t="s">
        <v>152</v>
      </c>
      <c r="P1820" s="2" t="s">
        <v>153</v>
      </c>
      <c r="Q1820">
        <v>10</v>
      </c>
      <c r="R1820" s="4">
        <v>45566</v>
      </c>
      <c r="S1820" s="3">
        <v>2684100</v>
      </c>
      <c r="T1820" s="3">
        <v>5.0999999999999996</v>
      </c>
    </row>
    <row r="1821" spans="1:20" x14ac:dyDescent="0.3">
      <c r="A1821" s="1">
        <v>45592</v>
      </c>
      <c r="B1821" s="2" t="s">
        <v>40</v>
      </c>
      <c r="C1821" s="2" t="s">
        <v>41</v>
      </c>
      <c r="D1821" s="2" t="s">
        <v>67</v>
      </c>
      <c r="E1821" s="2" t="s">
        <v>118</v>
      </c>
      <c r="F1821" s="2" t="s">
        <v>24</v>
      </c>
      <c r="G1821">
        <v>84</v>
      </c>
      <c r="H1821">
        <v>590</v>
      </c>
      <c r="I1821">
        <v>40</v>
      </c>
      <c r="J1821" s="3">
        <v>8526100</v>
      </c>
      <c r="K1821" s="3">
        <v>341044000</v>
      </c>
      <c r="L1821" s="2" t="s">
        <v>25</v>
      </c>
      <c r="M1821" s="2" t="s">
        <v>26</v>
      </c>
      <c r="N1821">
        <v>2024</v>
      </c>
      <c r="O1821" s="2" t="s">
        <v>152</v>
      </c>
      <c r="P1821" s="2" t="s">
        <v>153</v>
      </c>
      <c r="Q1821">
        <v>10</v>
      </c>
      <c r="R1821" s="4">
        <v>45566</v>
      </c>
      <c r="S1821" s="3">
        <v>8526100</v>
      </c>
      <c r="T1821" s="3">
        <v>34.1</v>
      </c>
    </row>
    <row r="1822" spans="1:20" x14ac:dyDescent="0.3">
      <c r="A1822" s="1">
        <v>45593</v>
      </c>
      <c r="B1822" s="2" t="s">
        <v>108</v>
      </c>
      <c r="C1822" s="2" t="s">
        <v>123</v>
      </c>
      <c r="D1822" s="2" t="s">
        <v>42</v>
      </c>
      <c r="E1822" s="2" t="s">
        <v>43</v>
      </c>
      <c r="F1822" s="2" t="s">
        <v>24</v>
      </c>
      <c r="G1822">
        <v>3</v>
      </c>
      <c r="H1822">
        <v>135</v>
      </c>
      <c r="I1822">
        <v>153</v>
      </c>
      <c r="J1822" s="3">
        <v>102700</v>
      </c>
      <c r="K1822" s="3">
        <v>15713100</v>
      </c>
      <c r="L1822" s="2" t="s">
        <v>92</v>
      </c>
      <c r="M1822" s="2" t="s">
        <v>34</v>
      </c>
      <c r="N1822">
        <v>2024</v>
      </c>
      <c r="O1822" s="2" t="s">
        <v>152</v>
      </c>
      <c r="P1822" s="2" t="s">
        <v>153</v>
      </c>
      <c r="Q1822">
        <v>10</v>
      </c>
      <c r="R1822" s="4">
        <v>45566</v>
      </c>
      <c r="S1822" s="3">
        <v>102700</v>
      </c>
      <c r="T1822" s="3">
        <v>1.57</v>
      </c>
    </row>
    <row r="1823" spans="1:20" x14ac:dyDescent="0.3">
      <c r="A1823" s="1">
        <v>45593</v>
      </c>
      <c r="B1823" s="2" t="s">
        <v>20</v>
      </c>
      <c r="C1823" s="2" t="s">
        <v>112</v>
      </c>
      <c r="D1823" s="2" t="s">
        <v>79</v>
      </c>
      <c r="E1823" s="2" t="s">
        <v>80</v>
      </c>
      <c r="F1823" s="2" t="s">
        <v>24</v>
      </c>
      <c r="G1823">
        <v>69</v>
      </c>
      <c r="H1823">
        <v>418</v>
      </c>
      <c r="I1823">
        <v>7</v>
      </c>
      <c r="J1823" s="3">
        <v>6021100</v>
      </c>
      <c r="K1823" s="3">
        <v>42147700</v>
      </c>
      <c r="L1823" s="2" t="s">
        <v>33</v>
      </c>
      <c r="M1823" s="2" t="s">
        <v>77</v>
      </c>
      <c r="N1823">
        <v>2024</v>
      </c>
      <c r="O1823" s="2" t="s">
        <v>152</v>
      </c>
      <c r="P1823" s="2" t="s">
        <v>153</v>
      </c>
      <c r="Q1823">
        <v>10</v>
      </c>
      <c r="R1823" s="4">
        <v>45566</v>
      </c>
      <c r="S1823" s="3">
        <v>6021100</v>
      </c>
      <c r="T1823" s="3">
        <v>4.21</v>
      </c>
    </row>
    <row r="1824" spans="1:20" x14ac:dyDescent="0.3">
      <c r="A1824" s="1">
        <v>45594</v>
      </c>
      <c r="B1824" s="2" t="s">
        <v>40</v>
      </c>
      <c r="C1824" s="2" t="s">
        <v>41</v>
      </c>
      <c r="D1824" s="2" t="s">
        <v>102</v>
      </c>
      <c r="E1824" s="2" t="s">
        <v>103</v>
      </c>
      <c r="F1824" s="2" t="s">
        <v>24</v>
      </c>
      <c r="G1824">
        <v>5</v>
      </c>
      <c r="H1824">
        <v>150</v>
      </c>
      <c r="I1824">
        <v>157</v>
      </c>
      <c r="J1824" s="3">
        <v>148700</v>
      </c>
      <c r="K1824" s="3">
        <v>23345900</v>
      </c>
      <c r="L1824" s="2" t="s">
        <v>33</v>
      </c>
      <c r="M1824" s="2" t="s">
        <v>26</v>
      </c>
      <c r="N1824">
        <v>2024</v>
      </c>
      <c r="O1824" s="2" t="s">
        <v>152</v>
      </c>
      <c r="P1824" s="2" t="s">
        <v>153</v>
      </c>
      <c r="Q1824">
        <v>10</v>
      </c>
      <c r="R1824" s="4">
        <v>45566</v>
      </c>
      <c r="S1824" s="3">
        <v>148700</v>
      </c>
      <c r="T1824" s="3">
        <v>2.33</v>
      </c>
    </row>
    <row r="1825" spans="1:20" x14ac:dyDescent="0.3">
      <c r="A1825" s="1">
        <v>45594</v>
      </c>
      <c r="B1825" s="2" t="s">
        <v>46</v>
      </c>
      <c r="C1825" s="2" t="s">
        <v>47</v>
      </c>
      <c r="D1825" s="2" t="s">
        <v>67</v>
      </c>
      <c r="E1825" s="2" t="s">
        <v>68</v>
      </c>
      <c r="F1825" s="2" t="s">
        <v>24</v>
      </c>
      <c r="G1825">
        <v>66</v>
      </c>
      <c r="H1825">
        <v>440</v>
      </c>
      <c r="I1825">
        <v>18</v>
      </c>
      <c r="J1825" s="3">
        <v>6913900</v>
      </c>
      <c r="K1825" s="3">
        <v>124450200</v>
      </c>
      <c r="L1825" s="2" t="s">
        <v>33</v>
      </c>
      <c r="M1825" s="2" t="s">
        <v>97</v>
      </c>
      <c r="N1825">
        <v>2024</v>
      </c>
      <c r="O1825" s="2" t="s">
        <v>152</v>
      </c>
      <c r="P1825" s="2" t="s">
        <v>153</v>
      </c>
      <c r="Q1825">
        <v>10</v>
      </c>
      <c r="R1825" s="4">
        <v>45566</v>
      </c>
      <c r="S1825" s="3">
        <v>6913900</v>
      </c>
      <c r="T1825" s="3">
        <v>12.45</v>
      </c>
    </row>
    <row r="1826" spans="1:20" x14ac:dyDescent="0.3">
      <c r="A1826" s="1">
        <v>45594</v>
      </c>
      <c r="B1826" s="2" t="s">
        <v>40</v>
      </c>
      <c r="C1826" s="2" t="s">
        <v>41</v>
      </c>
      <c r="D1826" s="2" t="s">
        <v>94</v>
      </c>
      <c r="E1826" s="2" t="s">
        <v>115</v>
      </c>
      <c r="F1826" s="2" t="s">
        <v>39</v>
      </c>
      <c r="G1826">
        <v>24</v>
      </c>
      <c r="H1826">
        <v>24</v>
      </c>
      <c r="I1826">
        <v>164</v>
      </c>
      <c r="J1826" s="3">
        <v>1335200</v>
      </c>
      <c r="K1826" s="3">
        <v>218972800</v>
      </c>
      <c r="L1826" s="2" t="s">
        <v>25</v>
      </c>
      <c r="M1826" s="2" t="s">
        <v>77</v>
      </c>
      <c r="N1826">
        <v>2024</v>
      </c>
      <c r="O1826" s="2" t="s">
        <v>152</v>
      </c>
      <c r="P1826" s="2" t="s">
        <v>153</v>
      </c>
      <c r="Q1826">
        <v>10</v>
      </c>
      <c r="R1826" s="4">
        <v>45566</v>
      </c>
      <c r="S1826" s="3">
        <v>1335200</v>
      </c>
      <c r="T1826" s="3">
        <v>21.9</v>
      </c>
    </row>
    <row r="1827" spans="1:20" x14ac:dyDescent="0.3">
      <c r="A1827" s="1">
        <v>45594</v>
      </c>
      <c r="B1827" s="2" t="s">
        <v>20</v>
      </c>
      <c r="C1827" s="2" t="s">
        <v>21</v>
      </c>
      <c r="D1827" s="2" t="s">
        <v>37</v>
      </c>
      <c r="E1827" s="2" t="s">
        <v>38</v>
      </c>
      <c r="F1827" s="2" t="s">
        <v>24</v>
      </c>
      <c r="G1827">
        <v>66</v>
      </c>
      <c r="H1827">
        <v>423</v>
      </c>
      <c r="I1827">
        <v>20</v>
      </c>
      <c r="J1827" s="3">
        <v>7378300</v>
      </c>
      <c r="K1827" s="3">
        <v>147566000</v>
      </c>
      <c r="L1827" s="2" t="s">
        <v>25</v>
      </c>
      <c r="M1827" s="2" t="s">
        <v>26</v>
      </c>
      <c r="N1827">
        <v>2024</v>
      </c>
      <c r="O1827" s="2" t="s">
        <v>152</v>
      </c>
      <c r="P1827" s="2" t="s">
        <v>153</v>
      </c>
      <c r="Q1827">
        <v>10</v>
      </c>
      <c r="R1827" s="4">
        <v>45566</v>
      </c>
      <c r="S1827" s="3">
        <v>7378300</v>
      </c>
      <c r="T1827" s="3">
        <v>14.76</v>
      </c>
    </row>
    <row r="1828" spans="1:20" x14ac:dyDescent="0.3">
      <c r="A1828" s="1">
        <v>45594</v>
      </c>
      <c r="B1828" s="2" t="s">
        <v>90</v>
      </c>
      <c r="C1828" s="2" t="s">
        <v>91</v>
      </c>
      <c r="D1828" s="2" t="s">
        <v>37</v>
      </c>
      <c r="E1828" s="2" t="s">
        <v>38</v>
      </c>
      <c r="F1828" s="2" t="s">
        <v>72</v>
      </c>
      <c r="G1828">
        <v>66</v>
      </c>
      <c r="H1828">
        <v>423</v>
      </c>
      <c r="I1828">
        <v>43</v>
      </c>
      <c r="J1828" s="3">
        <v>9006700</v>
      </c>
      <c r="K1828" s="3">
        <v>387288100</v>
      </c>
      <c r="L1828" s="2" t="s">
        <v>33</v>
      </c>
      <c r="M1828" s="2" t="s">
        <v>26</v>
      </c>
      <c r="N1828">
        <v>2024</v>
      </c>
      <c r="O1828" s="2" t="s">
        <v>152</v>
      </c>
      <c r="P1828" s="2" t="s">
        <v>153</v>
      </c>
      <c r="Q1828">
        <v>10</v>
      </c>
      <c r="R1828" s="4">
        <v>45566</v>
      </c>
      <c r="S1828" s="3">
        <v>9006700</v>
      </c>
      <c r="T1828" s="3">
        <v>38.729999999999997</v>
      </c>
    </row>
    <row r="1829" spans="1:20" x14ac:dyDescent="0.3">
      <c r="A1829" s="1">
        <v>45595</v>
      </c>
      <c r="B1829" s="2" t="s">
        <v>52</v>
      </c>
      <c r="C1829" s="2" t="s">
        <v>116</v>
      </c>
      <c r="D1829" s="2" t="s">
        <v>50</v>
      </c>
      <c r="E1829" s="2" t="s">
        <v>51</v>
      </c>
      <c r="F1829" s="2" t="s">
        <v>24</v>
      </c>
      <c r="G1829">
        <v>77</v>
      </c>
      <c r="H1829">
        <v>528</v>
      </c>
      <c r="I1829">
        <v>71</v>
      </c>
      <c r="J1829" s="3">
        <v>4837900</v>
      </c>
      <c r="K1829" s="3">
        <v>343490900</v>
      </c>
      <c r="L1829" s="2" t="s">
        <v>25</v>
      </c>
      <c r="M1829" s="2" t="s">
        <v>34</v>
      </c>
      <c r="N1829">
        <v>2024</v>
      </c>
      <c r="O1829" s="2" t="s">
        <v>152</v>
      </c>
      <c r="P1829" s="2" t="s">
        <v>153</v>
      </c>
      <c r="Q1829">
        <v>10</v>
      </c>
      <c r="R1829" s="4">
        <v>45566</v>
      </c>
      <c r="S1829" s="3">
        <v>4837900</v>
      </c>
      <c r="T1829" s="3">
        <v>34.35</v>
      </c>
    </row>
    <row r="1830" spans="1:20" x14ac:dyDescent="0.3">
      <c r="A1830" s="1">
        <v>45595</v>
      </c>
      <c r="B1830" s="2" t="s">
        <v>48</v>
      </c>
      <c r="C1830" s="2" t="s">
        <v>49</v>
      </c>
      <c r="D1830" s="2" t="s">
        <v>88</v>
      </c>
      <c r="E1830" s="2" t="s">
        <v>111</v>
      </c>
      <c r="F1830" s="2" t="s">
        <v>24</v>
      </c>
      <c r="G1830">
        <v>60</v>
      </c>
      <c r="H1830">
        <v>480</v>
      </c>
      <c r="I1830">
        <v>36</v>
      </c>
      <c r="J1830" s="3">
        <v>2977100</v>
      </c>
      <c r="K1830" s="3">
        <v>107175600</v>
      </c>
      <c r="L1830" s="2" t="s">
        <v>33</v>
      </c>
      <c r="M1830" s="2" t="s">
        <v>97</v>
      </c>
      <c r="N1830">
        <v>2024</v>
      </c>
      <c r="O1830" s="2" t="s">
        <v>152</v>
      </c>
      <c r="P1830" s="2" t="s">
        <v>153</v>
      </c>
      <c r="Q1830">
        <v>10</v>
      </c>
      <c r="R1830" s="4">
        <v>45566</v>
      </c>
      <c r="S1830" s="3">
        <v>2977100</v>
      </c>
      <c r="T1830" s="3">
        <v>10.72</v>
      </c>
    </row>
    <row r="1831" spans="1:20" x14ac:dyDescent="0.3">
      <c r="A1831" s="1">
        <v>45596</v>
      </c>
      <c r="B1831" s="2" t="s">
        <v>40</v>
      </c>
      <c r="C1831" s="2" t="s">
        <v>136</v>
      </c>
      <c r="D1831" s="2" t="s">
        <v>67</v>
      </c>
      <c r="E1831" s="2" t="s">
        <v>118</v>
      </c>
      <c r="F1831" s="2" t="s">
        <v>39</v>
      </c>
      <c r="G1831">
        <v>84</v>
      </c>
      <c r="H1831">
        <v>590</v>
      </c>
      <c r="I1831">
        <v>24</v>
      </c>
      <c r="J1831" s="3">
        <v>7254400</v>
      </c>
      <c r="K1831" s="3">
        <v>174105600</v>
      </c>
      <c r="L1831" s="2" t="s">
        <v>33</v>
      </c>
      <c r="M1831" s="2" t="s">
        <v>34</v>
      </c>
      <c r="N1831">
        <v>2024</v>
      </c>
      <c r="O1831" s="2" t="s">
        <v>152</v>
      </c>
      <c r="P1831" s="2" t="s">
        <v>153</v>
      </c>
      <c r="Q1831">
        <v>10</v>
      </c>
      <c r="R1831" s="4">
        <v>45566</v>
      </c>
      <c r="S1831" s="3">
        <v>7254400</v>
      </c>
      <c r="T1831" s="3">
        <v>17.41</v>
      </c>
    </row>
    <row r="1832" spans="1:20" x14ac:dyDescent="0.3">
      <c r="A1832" s="1">
        <v>45596</v>
      </c>
      <c r="B1832" s="2" t="s">
        <v>59</v>
      </c>
      <c r="C1832" s="2" t="s">
        <v>60</v>
      </c>
      <c r="D1832" s="2" t="s">
        <v>88</v>
      </c>
      <c r="E1832" s="2" t="s">
        <v>89</v>
      </c>
      <c r="F1832" s="2" t="s">
        <v>24</v>
      </c>
      <c r="G1832">
        <v>82</v>
      </c>
      <c r="H1832">
        <v>580</v>
      </c>
      <c r="I1832">
        <v>49</v>
      </c>
      <c r="J1832" s="3">
        <v>5656100</v>
      </c>
      <c r="K1832" s="3">
        <v>277148900</v>
      </c>
      <c r="L1832" s="2" t="s">
        <v>33</v>
      </c>
      <c r="M1832" s="2" t="s">
        <v>26</v>
      </c>
      <c r="N1832">
        <v>2024</v>
      </c>
      <c r="O1832" s="2" t="s">
        <v>152</v>
      </c>
      <c r="P1832" s="2" t="s">
        <v>153</v>
      </c>
      <c r="Q1832">
        <v>10</v>
      </c>
      <c r="R1832" s="4">
        <v>45566</v>
      </c>
      <c r="S1832" s="3">
        <v>5656100</v>
      </c>
      <c r="T1832" s="3">
        <v>27.71</v>
      </c>
    </row>
    <row r="1833" spans="1:20" x14ac:dyDescent="0.3">
      <c r="A1833" s="1">
        <v>45596</v>
      </c>
      <c r="B1833" s="2" t="s">
        <v>108</v>
      </c>
      <c r="C1833" s="2" t="s">
        <v>109</v>
      </c>
      <c r="D1833" s="2" t="s">
        <v>82</v>
      </c>
      <c r="E1833" s="2" t="s">
        <v>141</v>
      </c>
      <c r="F1833" s="2" t="s">
        <v>24</v>
      </c>
      <c r="G1833">
        <v>59</v>
      </c>
      <c r="H1833">
        <v>55</v>
      </c>
      <c r="I1833">
        <v>23</v>
      </c>
      <c r="J1833" s="3">
        <v>2390800</v>
      </c>
      <c r="K1833" s="3">
        <v>54988400</v>
      </c>
      <c r="L1833" s="2" t="s">
        <v>33</v>
      </c>
      <c r="M1833" s="2" t="s">
        <v>26</v>
      </c>
      <c r="N1833">
        <v>2024</v>
      </c>
      <c r="O1833" s="2" t="s">
        <v>152</v>
      </c>
      <c r="P1833" s="2" t="s">
        <v>153</v>
      </c>
      <c r="Q1833">
        <v>10</v>
      </c>
      <c r="R1833" s="4">
        <v>45566</v>
      </c>
      <c r="S1833" s="3">
        <v>2390800</v>
      </c>
      <c r="T1833" s="3">
        <v>5.5</v>
      </c>
    </row>
    <row r="1834" spans="1:20" x14ac:dyDescent="0.3">
      <c r="A1834" s="1">
        <v>45596</v>
      </c>
      <c r="B1834" s="2" t="s">
        <v>29</v>
      </c>
      <c r="C1834" s="2" t="s">
        <v>96</v>
      </c>
      <c r="D1834" s="2" t="s">
        <v>94</v>
      </c>
      <c r="E1834" s="2" t="s">
        <v>115</v>
      </c>
      <c r="F1834" s="2" t="s">
        <v>39</v>
      </c>
      <c r="G1834">
        <v>24</v>
      </c>
      <c r="H1834">
        <v>24</v>
      </c>
      <c r="I1834">
        <v>145</v>
      </c>
      <c r="J1834" s="3">
        <v>1305800</v>
      </c>
      <c r="K1834" s="3">
        <v>189341000</v>
      </c>
      <c r="L1834" s="2" t="s">
        <v>33</v>
      </c>
      <c r="M1834" s="2" t="s">
        <v>34</v>
      </c>
      <c r="N1834">
        <v>2024</v>
      </c>
      <c r="O1834" s="2" t="s">
        <v>152</v>
      </c>
      <c r="P1834" s="2" t="s">
        <v>153</v>
      </c>
      <c r="Q1834">
        <v>10</v>
      </c>
      <c r="R1834" s="4">
        <v>45566</v>
      </c>
      <c r="S1834" s="3">
        <v>1305800</v>
      </c>
      <c r="T1834" s="3">
        <v>18.93</v>
      </c>
    </row>
    <row r="1835" spans="1:20" x14ac:dyDescent="0.3">
      <c r="A1835" s="1">
        <v>45597</v>
      </c>
      <c r="B1835" s="2" t="s">
        <v>61</v>
      </c>
      <c r="C1835" s="2" t="s">
        <v>147</v>
      </c>
      <c r="D1835" s="2" t="s">
        <v>100</v>
      </c>
      <c r="E1835" s="2" t="s">
        <v>101</v>
      </c>
      <c r="F1835" s="2" t="s">
        <v>24</v>
      </c>
      <c r="G1835">
        <v>3</v>
      </c>
      <c r="H1835">
        <v>150</v>
      </c>
      <c r="I1835">
        <v>54</v>
      </c>
      <c r="J1835" s="3">
        <v>175700</v>
      </c>
      <c r="K1835" s="3">
        <v>9487800</v>
      </c>
      <c r="L1835" s="2" t="s">
        <v>33</v>
      </c>
      <c r="M1835" s="2" t="s">
        <v>26</v>
      </c>
      <c r="N1835">
        <v>2024</v>
      </c>
      <c r="O1835" s="2" t="s">
        <v>152</v>
      </c>
      <c r="P1835" s="2" t="s">
        <v>154</v>
      </c>
      <c r="Q1835">
        <v>11</v>
      </c>
      <c r="R1835" s="4">
        <v>45597</v>
      </c>
      <c r="S1835" s="3">
        <v>175700</v>
      </c>
      <c r="T1835" s="3">
        <v>0.95</v>
      </c>
    </row>
    <row r="1836" spans="1:20" x14ac:dyDescent="0.3">
      <c r="A1836" s="1">
        <v>45597</v>
      </c>
      <c r="B1836" s="2" t="s">
        <v>52</v>
      </c>
      <c r="C1836" s="2" t="s">
        <v>53</v>
      </c>
      <c r="D1836" s="2" t="s">
        <v>70</v>
      </c>
      <c r="E1836" s="2" t="s">
        <v>71</v>
      </c>
      <c r="F1836" s="2" t="s">
        <v>24</v>
      </c>
      <c r="G1836">
        <v>50</v>
      </c>
      <c r="H1836">
        <v>46</v>
      </c>
      <c r="I1836">
        <v>104</v>
      </c>
      <c r="J1836" s="3">
        <v>2491100</v>
      </c>
      <c r="K1836" s="3">
        <v>259074400</v>
      </c>
      <c r="L1836" s="2" t="s">
        <v>92</v>
      </c>
      <c r="M1836" s="2" t="s">
        <v>26</v>
      </c>
      <c r="N1836">
        <v>2024</v>
      </c>
      <c r="O1836" s="2" t="s">
        <v>152</v>
      </c>
      <c r="P1836" s="2" t="s">
        <v>154</v>
      </c>
      <c r="Q1836">
        <v>11</v>
      </c>
      <c r="R1836" s="4">
        <v>45597</v>
      </c>
      <c r="S1836" s="3">
        <v>2491100</v>
      </c>
      <c r="T1836" s="3">
        <v>25.91</v>
      </c>
    </row>
    <row r="1837" spans="1:20" x14ac:dyDescent="0.3">
      <c r="A1837" s="1">
        <v>45597</v>
      </c>
      <c r="B1837" s="2" t="s">
        <v>29</v>
      </c>
      <c r="C1837" s="2" t="s">
        <v>65</v>
      </c>
      <c r="D1837" s="2" t="s">
        <v>63</v>
      </c>
      <c r="E1837" s="2" t="s">
        <v>64</v>
      </c>
      <c r="F1837" s="2" t="s">
        <v>24</v>
      </c>
      <c r="G1837">
        <v>3</v>
      </c>
      <c r="H1837">
        <v>127</v>
      </c>
      <c r="I1837">
        <v>144</v>
      </c>
      <c r="J1837" s="3">
        <v>141800</v>
      </c>
      <c r="K1837" s="3">
        <v>20419200</v>
      </c>
      <c r="L1837" s="2" t="s">
        <v>25</v>
      </c>
      <c r="M1837" s="2" t="s">
        <v>77</v>
      </c>
      <c r="N1837">
        <v>2024</v>
      </c>
      <c r="O1837" s="2" t="s">
        <v>152</v>
      </c>
      <c r="P1837" s="2" t="s">
        <v>154</v>
      </c>
      <c r="Q1837">
        <v>11</v>
      </c>
      <c r="R1837" s="4">
        <v>45597</v>
      </c>
      <c r="S1837" s="3">
        <v>141800</v>
      </c>
      <c r="T1837" s="3">
        <v>2.04</v>
      </c>
    </row>
    <row r="1838" spans="1:20" x14ac:dyDescent="0.3">
      <c r="A1838" s="1">
        <v>45597</v>
      </c>
      <c r="B1838" s="2" t="s">
        <v>35</v>
      </c>
      <c r="C1838" s="2" t="s">
        <v>87</v>
      </c>
      <c r="D1838" s="2" t="s">
        <v>63</v>
      </c>
      <c r="E1838" s="2" t="s">
        <v>64</v>
      </c>
      <c r="F1838" s="2" t="s">
        <v>24</v>
      </c>
      <c r="G1838">
        <v>3</v>
      </c>
      <c r="H1838">
        <v>127</v>
      </c>
      <c r="I1838">
        <v>54</v>
      </c>
      <c r="J1838" s="3">
        <v>162500</v>
      </c>
      <c r="K1838" s="3">
        <v>8775000</v>
      </c>
      <c r="L1838" s="2" t="s">
        <v>33</v>
      </c>
      <c r="M1838" s="2" t="s">
        <v>26</v>
      </c>
      <c r="N1838">
        <v>2024</v>
      </c>
      <c r="O1838" s="2" t="s">
        <v>152</v>
      </c>
      <c r="P1838" s="2" t="s">
        <v>154</v>
      </c>
      <c r="Q1838">
        <v>11</v>
      </c>
      <c r="R1838" s="4">
        <v>45597</v>
      </c>
      <c r="S1838" s="3">
        <v>162500</v>
      </c>
      <c r="T1838" s="3">
        <v>0.88</v>
      </c>
    </row>
    <row r="1839" spans="1:20" x14ac:dyDescent="0.3">
      <c r="A1839" s="1">
        <v>45597</v>
      </c>
      <c r="B1839" s="2" t="s">
        <v>75</v>
      </c>
      <c r="C1839" s="2" t="s">
        <v>134</v>
      </c>
      <c r="D1839" s="2" t="s">
        <v>63</v>
      </c>
      <c r="E1839" s="2" t="s">
        <v>64</v>
      </c>
      <c r="F1839" s="2" t="s">
        <v>24</v>
      </c>
      <c r="G1839">
        <v>3</v>
      </c>
      <c r="H1839">
        <v>127</v>
      </c>
      <c r="I1839">
        <v>139</v>
      </c>
      <c r="J1839" s="3">
        <v>182300</v>
      </c>
      <c r="K1839" s="3">
        <v>25339700</v>
      </c>
      <c r="L1839" s="2" t="s">
        <v>33</v>
      </c>
      <c r="M1839" s="2" t="s">
        <v>77</v>
      </c>
      <c r="N1839">
        <v>2024</v>
      </c>
      <c r="O1839" s="2" t="s">
        <v>152</v>
      </c>
      <c r="P1839" s="2" t="s">
        <v>154</v>
      </c>
      <c r="Q1839">
        <v>11</v>
      </c>
      <c r="R1839" s="4">
        <v>45597</v>
      </c>
      <c r="S1839" s="3">
        <v>182300</v>
      </c>
      <c r="T1839" s="3">
        <v>2.5299999999999998</v>
      </c>
    </row>
    <row r="1840" spans="1:20" x14ac:dyDescent="0.3">
      <c r="A1840" s="1">
        <v>45598</v>
      </c>
      <c r="B1840" s="2" t="s">
        <v>29</v>
      </c>
      <c r="C1840" s="2" t="s">
        <v>65</v>
      </c>
      <c r="D1840" s="2" t="s">
        <v>31</v>
      </c>
      <c r="E1840" s="2" t="s">
        <v>32</v>
      </c>
      <c r="F1840" s="2" t="s">
        <v>24</v>
      </c>
      <c r="G1840">
        <v>4</v>
      </c>
      <c r="H1840">
        <v>195</v>
      </c>
      <c r="I1840">
        <v>14</v>
      </c>
      <c r="J1840" s="3">
        <v>121600</v>
      </c>
      <c r="K1840" s="3">
        <v>1702400</v>
      </c>
      <c r="L1840" s="2" t="s">
        <v>33</v>
      </c>
      <c r="M1840" s="2" t="s">
        <v>26</v>
      </c>
      <c r="N1840">
        <v>2024</v>
      </c>
      <c r="O1840" s="2" t="s">
        <v>152</v>
      </c>
      <c r="P1840" s="2" t="s">
        <v>154</v>
      </c>
      <c r="Q1840">
        <v>11</v>
      </c>
      <c r="R1840" s="4">
        <v>45597</v>
      </c>
      <c r="S1840" s="3">
        <v>121600</v>
      </c>
      <c r="T1840" s="3">
        <v>0.17</v>
      </c>
    </row>
    <row r="1841" spans="1:20" x14ac:dyDescent="0.3">
      <c r="A1841" s="1">
        <v>45599</v>
      </c>
      <c r="B1841" s="2" t="s">
        <v>84</v>
      </c>
      <c r="C1841" s="2" t="s">
        <v>126</v>
      </c>
      <c r="D1841" s="2" t="s">
        <v>22</v>
      </c>
      <c r="E1841" s="2" t="s">
        <v>23</v>
      </c>
      <c r="F1841" s="2" t="s">
        <v>24</v>
      </c>
      <c r="G1841">
        <v>82</v>
      </c>
      <c r="H1841">
        <v>520</v>
      </c>
      <c r="I1841">
        <v>4</v>
      </c>
      <c r="J1841" s="3">
        <v>7682500</v>
      </c>
      <c r="K1841" s="3">
        <v>30730000</v>
      </c>
      <c r="L1841" s="2" t="s">
        <v>33</v>
      </c>
      <c r="M1841" s="2" t="s">
        <v>34</v>
      </c>
      <c r="N1841">
        <v>2024</v>
      </c>
      <c r="O1841" s="2" t="s">
        <v>152</v>
      </c>
      <c r="P1841" s="2" t="s">
        <v>154</v>
      </c>
      <c r="Q1841">
        <v>11</v>
      </c>
      <c r="R1841" s="4">
        <v>45597</v>
      </c>
      <c r="S1841" s="3">
        <v>7682500</v>
      </c>
      <c r="T1841" s="3">
        <v>3.07</v>
      </c>
    </row>
    <row r="1842" spans="1:20" x14ac:dyDescent="0.3">
      <c r="A1842" s="1">
        <v>45600</v>
      </c>
      <c r="B1842" s="2" t="s">
        <v>46</v>
      </c>
      <c r="C1842" s="2" t="s">
        <v>47</v>
      </c>
      <c r="D1842" s="2" t="s">
        <v>22</v>
      </c>
      <c r="E1842" s="2" t="s">
        <v>23</v>
      </c>
      <c r="F1842" s="2" t="s">
        <v>24</v>
      </c>
      <c r="G1842">
        <v>82</v>
      </c>
      <c r="H1842">
        <v>520</v>
      </c>
      <c r="I1842">
        <v>29</v>
      </c>
      <c r="J1842" s="3">
        <v>7473200</v>
      </c>
      <c r="K1842" s="3">
        <v>216722800</v>
      </c>
      <c r="L1842" s="2" t="s">
        <v>33</v>
      </c>
      <c r="M1842" s="2" t="s">
        <v>26</v>
      </c>
      <c r="N1842">
        <v>2024</v>
      </c>
      <c r="O1842" s="2" t="s">
        <v>152</v>
      </c>
      <c r="P1842" s="2" t="s">
        <v>154</v>
      </c>
      <c r="Q1842">
        <v>11</v>
      </c>
      <c r="R1842" s="4">
        <v>45597</v>
      </c>
      <c r="S1842" s="3">
        <v>7473200</v>
      </c>
      <c r="T1842" s="3">
        <v>21.67</v>
      </c>
    </row>
    <row r="1843" spans="1:20" x14ac:dyDescent="0.3">
      <c r="A1843" s="1">
        <v>45601</v>
      </c>
      <c r="B1843" s="2" t="s">
        <v>84</v>
      </c>
      <c r="C1843" s="2" t="s">
        <v>113</v>
      </c>
      <c r="D1843" s="2" t="s">
        <v>50</v>
      </c>
      <c r="E1843" s="2" t="s">
        <v>51</v>
      </c>
      <c r="F1843" s="2" t="s">
        <v>24</v>
      </c>
      <c r="G1843">
        <v>77</v>
      </c>
      <c r="H1843">
        <v>528</v>
      </c>
      <c r="I1843">
        <v>17</v>
      </c>
      <c r="J1843" s="3">
        <v>5191100</v>
      </c>
      <c r="K1843" s="3">
        <v>88248700</v>
      </c>
      <c r="L1843" s="2" t="s">
        <v>33</v>
      </c>
      <c r="M1843" s="2" t="s">
        <v>26</v>
      </c>
      <c r="N1843">
        <v>2024</v>
      </c>
      <c r="O1843" s="2" t="s">
        <v>152</v>
      </c>
      <c r="P1843" s="2" t="s">
        <v>154</v>
      </c>
      <c r="Q1843">
        <v>11</v>
      </c>
      <c r="R1843" s="4">
        <v>45597</v>
      </c>
      <c r="S1843" s="3">
        <v>5191100</v>
      </c>
      <c r="T1843" s="3">
        <v>8.82</v>
      </c>
    </row>
    <row r="1844" spans="1:20" x14ac:dyDescent="0.3">
      <c r="A1844" s="1">
        <v>45601</v>
      </c>
      <c r="B1844" s="2" t="s">
        <v>29</v>
      </c>
      <c r="C1844" s="2" t="s">
        <v>30</v>
      </c>
      <c r="D1844" s="2" t="s">
        <v>37</v>
      </c>
      <c r="E1844" s="2" t="s">
        <v>38</v>
      </c>
      <c r="F1844" s="2" t="s">
        <v>39</v>
      </c>
      <c r="G1844">
        <v>66</v>
      </c>
      <c r="H1844">
        <v>423</v>
      </c>
      <c r="I1844">
        <v>53</v>
      </c>
      <c r="J1844" s="3">
        <v>8969800</v>
      </c>
      <c r="K1844" s="3">
        <v>475399400</v>
      </c>
      <c r="L1844" s="2" t="s">
        <v>25</v>
      </c>
      <c r="M1844" s="2" t="s">
        <v>26</v>
      </c>
      <c r="N1844">
        <v>2024</v>
      </c>
      <c r="O1844" s="2" t="s">
        <v>152</v>
      </c>
      <c r="P1844" s="2" t="s">
        <v>154</v>
      </c>
      <c r="Q1844">
        <v>11</v>
      </c>
      <c r="R1844" s="4">
        <v>45597</v>
      </c>
      <c r="S1844" s="3">
        <v>8969800</v>
      </c>
      <c r="T1844" s="3">
        <v>47.54</v>
      </c>
    </row>
    <row r="1845" spans="1:20" x14ac:dyDescent="0.3">
      <c r="A1845" s="1">
        <v>45601</v>
      </c>
      <c r="B1845" s="2" t="s">
        <v>40</v>
      </c>
      <c r="C1845" s="2" t="s">
        <v>105</v>
      </c>
      <c r="D1845" s="2" t="s">
        <v>88</v>
      </c>
      <c r="E1845" s="2" t="s">
        <v>89</v>
      </c>
      <c r="F1845" s="2" t="s">
        <v>24</v>
      </c>
      <c r="G1845">
        <v>82</v>
      </c>
      <c r="H1845">
        <v>580</v>
      </c>
      <c r="I1845">
        <v>25</v>
      </c>
      <c r="J1845" s="3">
        <v>4630200</v>
      </c>
      <c r="K1845" s="3">
        <v>115755000</v>
      </c>
      <c r="L1845" s="2" t="s">
        <v>33</v>
      </c>
      <c r="M1845" s="2" t="s">
        <v>26</v>
      </c>
      <c r="N1845">
        <v>2024</v>
      </c>
      <c r="O1845" s="2" t="s">
        <v>152</v>
      </c>
      <c r="P1845" s="2" t="s">
        <v>154</v>
      </c>
      <c r="Q1845">
        <v>11</v>
      </c>
      <c r="R1845" s="4">
        <v>45597</v>
      </c>
      <c r="S1845" s="3">
        <v>4630200</v>
      </c>
      <c r="T1845" s="3">
        <v>11.58</v>
      </c>
    </row>
    <row r="1846" spans="1:20" x14ac:dyDescent="0.3">
      <c r="A1846" s="1">
        <v>45602</v>
      </c>
      <c r="B1846" s="2" t="s">
        <v>35</v>
      </c>
      <c r="C1846" s="2" t="s">
        <v>121</v>
      </c>
      <c r="D1846" s="2" t="s">
        <v>22</v>
      </c>
      <c r="E1846" s="2" t="s">
        <v>23</v>
      </c>
      <c r="F1846" s="2" t="s">
        <v>24</v>
      </c>
      <c r="G1846">
        <v>82</v>
      </c>
      <c r="H1846">
        <v>520</v>
      </c>
      <c r="I1846">
        <v>69</v>
      </c>
      <c r="J1846" s="3">
        <v>6944200</v>
      </c>
      <c r="K1846" s="3">
        <v>479149800</v>
      </c>
      <c r="L1846" s="2" t="s">
        <v>92</v>
      </c>
      <c r="M1846" s="2" t="s">
        <v>26</v>
      </c>
      <c r="N1846">
        <v>2024</v>
      </c>
      <c r="O1846" s="2" t="s">
        <v>152</v>
      </c>
      <c r="P1846" s="2" t="s">
        <v>154</v>
      </c>
      <c r="Q1846">
        <v>11</v>
      </c>
      <c r="R1846" s="4">
        <v>45597</v>
      </c>
      <c r="S1846" s="3">
        <v>6944200</v>
      </c>
      <c r="T1846" s="3">
        <v>47.91</v>
      </c>
    </row>
    <row r="1847" spans="1:20" x14ac:dyDescent="0.3">
      <c r="A1847" s="1">
        <v>45602</v>
      </c>
      <c r="B1847" s="2" t="s">
        <v>29</v>
      </c>
      <c r="C1847" s="2" t="s">
        <v>96</v>
      </c>
      <c r="D1847" s="2" t="s">
        <v>79</v>
      </c>
      <c r="E1847" s="2" t="s">
        <v>80</v>
      </c>
      <c r="F1847" s="2" t="s">
        <v>24</v>
      </c>
      <c r="G1847">
        <v>69</v>
      </c>
      <c r="H1847">
        <v>418</v>
      </c>
      <c r="I1847">
        <v>51</v>
      </c>
      <c r="J1847" s="3">
        <v>5823300</v>
      </c>
      <c r="K1847" s="3">
        <v>296988300</v>
      </c>
      <c r="L1847" s="2" t="s">
        <v>25</v>
      </c>
      <c r="M1847" s="2" t="s">
        <v>26</v>
      </c>
      <c r="N1847">
        <v>2024</v>
      </c>
      <c r="O1847" s="2" t="s">
        <v>152</v>
      </c>
      <c r="P1847" s="2" t="s">
        <v>154</v>
      </c>
      <c r="Q1847">
        <v>11</v>
      </c>
      <c r="R1847" s="4">
        <v>45597</v>
      </c>
      <c r="S1847" s="3">
        <v>5823300</v>
      </c>
      <c r="T1847" s="3">
        <v>29.7</v>
      </c>
    </row>
    <row r="1848" spans="1:20" x14ac:dyDescent="0.3">
      <c r="A1848" s="1">
        <v>45602</v>
      </c>
      <c r="B1848" s="2" t="s">
        <v>48</v>
      </c>
      <c r="C1848" s="2" t="s">
        <v>98</v>
      </c>
      <c r="D1848" s="2" t="s">
        <v>22</v>
      </c>
      <c r="E1848" s="2" t="s">
        <v>23</v>
      </c>
      <c r="F1848" s="2" t="s">
        <v>39</v>
      </c>
      <c r="G1848">
        <v>82</v>
      </c>
      <c r="H1848">
        <v>520</v>
      </c>
      <c r="I1848">
        <v>77</v>
      </c>
      <c r="J1848" s="3">
        <v>7657900</v>
      </c>
      <c r="K1848" s="3">
        <v>589658300</v>
      </c>
      <c r="L1848" s="2" t="s">
        <v>33</v>
      </c>
      <c r="M1848" s="2" t="s">
        <v>26</v>
      </c>
      <c r="N1848">
        <v>2024</v>
      </c>
      <c r="O1848" s="2" t="s">
        <v>152</v>
      </c>
      <c r="P1848" s="2" t="s">
        <v>154</v>
      </c>
      <c r="Q1848">
        <v>11</v>
      </c>
      <c r="R1848" s="4">
        <v>45597</v>
      </c>
      <c r="S1848" s="3">
        <v>7657900</v>
      </c>
      <c r="T1848" s="3">
        <v>58.97</v>
      </c>
    </row>
    <row r="1849" spans="1:20" x14ac:dyDescent="0.3">
      <c r="A1849" s="1">
        <v>45603</v>
      </c>
      <c r="B1849" s="2" t="s">
        <v>40</v>
      </c>
      <c r="C1849" s="2" t="s">
        <v>136</v>
      </c>
      <c r="D1849" s="2" t="s">
        <v>82</v>
      </c>
      <c r="E1849" s="2" t="s">
        <v>141</v>
      </c>
      <c r="F1849" s="2" t="s">
        <v>72</v>
      </c>
      <c r="G1849">
        <v>59</v>
      </c>
      <c r="H1849">
        <v>55</v>
      </c>
      <c r="I1849">
        <v>43</v>
      </c>
      <c r="J1849" s="3">
        <v>2952500</v>
      </c>
      <c r="K1849" s="3">
        <v>126957500</v>
      </c>
      <c r="L1849" s="2" t="s">
        <v>25</v>
      </c>
      <c r="M1849" s="2" t="s">
        <v>77</v>
      </c>
      <c r="N1849">
        <v>2024</v>
      </c>
      <c r="O1849" s="2" t="s">
        <v>152</v>
      </c>
      <c r="P1849" s="2" t="s">
        <v>154</v>
      </c>
      <c r="Q1849">
        <v>11</v>
      </c>
      <c r="R1849" s="4">
        <v>45597</v>
      </c>
      <c r="S1849" s="3">
        <v>2952500</v>
      </c>
      <c r="T1849" s="3">
        <v>12.7</v>
      </c>
    </row>
    <row r="1850" spans="1:20" x14ac:dyDescent="0.3">
      <c r="A1850" s="1">
        <v>45604</v>
      </c>
      <c r="B1850" s="2" t="s">
        <v>84</v>
      </c>
      <c r="C1850" s="2" t="s">
        <v>85</v>
      </c>
      <c r="D1850" s="2" t="s">
        <v>63</v>
      </c>
      <c r="E1850" s="2" t="s">
        <v>64</v>
      </c>
      <c r="F1850" s="2" t="s">
        <v>24</v>
      </c>
      <c r="G1850">
        <v>3</v>
      </c>
      <c r="H1850">
        <v>127</v>
      </c>
      <c r="I1850">
        <v>148</v>
      </c>
      <c r="J1850" s="3">
        <v>161100</v>
      </c>
      <c r="K1850" s="3">
        <v>23842800</v>
      </c>
      <c r="L1850" s="2" t="s">
        <v>33</v>
      </c>
      <c r="M1850" s="2" t="s">
        <v>26</v>
      </c>
      <c r="N1850">
        <v>2024</v>
      </c>
      <c r="O1850" s="2" t="s">
        <v>152</v>
      </c>
      <c r="P1850" s="2" t="s">
        <v>154</v>
      </c>
      <c r="Q1850">
        <v>11</v>
      </c>
      <c r="R1850" s="4">
        <v>45597</v>
      </c>
      <c r="S1850" s="3">
        <v>161100</v>
      </c>
      <c r="T1850" s="3">
        <v>2.38</v>
      </c>
    </row>
    <row r="1851" spans="1:20" x14ac:dyDescent="0.3">
      <c r="A1851" s="1">
        <v>45604</v>
      </c>
      <c r="B1851" s="2" t="s">
        <v>29</v>
      </c>
      <c r="C1851" s="2" t="s">
        <v>104</v>
      </c>
      <c r="D1851" s="2" t="s">
        <v>82</v>
      </c>
      <c r="E1851" s="2" t="s">
        <v>141</v>
      </c>
      <c r="F1851" s="2" t="s">
        <v>24</v>
      </c>
      <c r="G1851">
        <v>59</v>
      </c>
      <c r="H1851">
        <v>55</v>
      </c>
      <c r="I1851">
        <v>167</v>
      </c>
      <c r="J1851" s="3">
        <v>2489200</v>
      </c>
      <c r="K1851" s="3">
        <v>415696400</v>
      </c>
      <c r="L1851" s="2" t="s">
        <v>33</v>
      </c>
      <c r="M1851" s="2" t="s">
        <v>26</v>
      </c>
      <c r="N1851">
        <v>2024</v>
      </c>
      <c r="O1851" s="2" t="s">
        <v>152</v>
      </c>
      <c r="P1851" s="2" t="s">
        <v>154</v>
      </c>
      <c r="Q1851">
        <v>11</v>
      </c>
      <c r="R1851" s="4">
        <v>45597</v>
      </c>
      <c r="S1851" s="3">
        <v>2489200</v>
      </c>
      <c r="T1851" s="3">
        <v>41.57</v>
      </c>
    </row>
    <row r="1852" spans="1:20" x14ac:dyDescent="0.3">
      <c r="A1852" s="1">
        <v>45604</v>
      </c>
      <c r="B1852" s="2" t="s">
        <v>48</v>
      </c>
      <c r="C1852" s="2" t="s">
        <v>98</v>
      </c>
      <c r="D1852" s="2" t="s">
        <v>82</v>
      </c>
      <c r="E1852" s="2" t="s">
        <v>141</v>
      </c>
      <c r="F1852" s="2" t="s">
        <v>24</v>
      </c>
      <c r="G1852">
        <v>59</v>
      </c>
      <c r="H1852">
        <v>55</v>
      </c>
      <c r="I1852">
        <v>150</v>
      </c>
      <c r="J1852" s="3">
        <v>2705700</v>
      </c>
      <c r="K1852" s="3">
        <v>405855000</v>
      </c>
      <c r="L1852" s="2" t="s">
        <v>25</v>
      </c>
      <c r="M1852" s="2" t="s">
        <v>34</v>
      </c>
      <c r="N1852">
        <v>2024</v>
      </c>
      <c r="O1852" s="2" t="s">
        <v>152</v>
      </c>
      <c r="P1852" s="2" t="s">
        <v>154</v>
      </c>
      <c r="Q1852">
        <v>11</v>
      </c>
      <c r="R1852" s="4">
        <v>45597</v>
      </c>
      <c r="S1852" s="3">
        <v>2705700</v>
      </c>
      <c r="T1852" s="3">
        <v>40.590000000000003</v>
      </c>
    </row>
    <row r="1853" spans="1:20" x14ac:dyDescent="0.3">
      <c r="A1853" s="1">
        <v>45604</v>
      </c>
      <c r="B1853" s="2" t="s">
        <v>29</v>
      </c>
      <c r="C1853" s="2" t="s">
        <v>104</v>
      </c>
      <c r="D1853" s="2" t="s">
        <v>67</v>
      </c>
      <c r="E1853" s="2" t="s">
        <v>68</v>
      </c>
      <c r="F1853" s="2" t="s">
        <v>24</v>
      </c>
      <c r="G1853">
        <v>66</v>
      </c>
      <c r="H1853">
        <v>440</v>
      </c>
      <c r="I1853">
        <v>30</v>
      </c>
      <c r="J1853" s="3">
        <v>5245900</v>
      </c>
      <c r="K1853" s="3">
        <v>157377000</v>
      </c>
      <c r="L1853" s="2" t="s">
        <v>33</v>
      </c>
      <c r="M1853" s="2" t="s">
        <v>26</v>
      </c>
      <c r="N1853">
        <v>2024</v>
      </c>
      <c r="O1853" s="2" t="s">
        <v>152</v>
      </c>
      <c r="P1853" s="2" t="s">
        <v>154</v>
      </c>
      <c r="Q1853">
        <v>11</v>
      </c>
      <c r="R1853" s="4">
        <v>45597</v>
      </c>
      <c r="S1853" s="3">
        <v>5245900</v>
      </c>
      <c r="T1853" s="3">
        <v>15.74</v>
      </c>
    </row>
    <row r="1854" spans="1:20" x14ac:dyDescent="0.3">
      <c r="A1854" s="1">
        <v>45604</v>
      </c>
      <c r="B1854" s="2" t="s">
        <v>35</v>
      </c>
      <c r="C1854" s="2" t="s">
        <v>132</v>
      </c>
      <c r="D1854" s="2" t="s">
        <v>22</v>
      </c>
      <c r="E1854" s="2" t="s">
        <v>23</v>
      </c>
      <c r="F1854" s="2" t="s">
        <v>24</v>
      </c>
      <c r="G1854">
        <v>82</v>
      </c>
      <c r="H1854">
        <v>520</v>
      </c>
      <c r="I1854">
        <v>52</v>
      </c>
      <c r="J1854" s="3">
        <v>6651100</v>
      </c>
      <c r="K1854" s="3">
        <v>345857200</v>
      </c>
      <c r="L1854" s="2" t="s">
        <v>33</v>
      </c>
      <c r="M1854" s="2" t="s">
        <v>26</v>
      </c>
      <c r="N1854">
        <v>2024</v>
      </c>
      <c r="O1854" s="2" t="s">
        <v>152</v>
      </c>
      <c r="P1854" s="2" t="s">
        <v>154</v>
      </c>
      <c r="Q1854">
        <v>11</v>
      </c>
      <c r="R1854" s="4">
        <v>45597</v>
      </c>
      <c r="S1854" s="3">
        <v>6651100</v>
      </c>
      <c r="T1854" s="3">
        <v>34.590000000000003</v>
      </c>
    </row>
    <row r="1855" spans="1:20" x14ac:dyDescent="0.3">
      <c r="A1855" s="1">
        <v>45604</v>
      </c>
      <c r="B1855" s="2" t="s">
        <v>20</v>
      </c>
      <c r="C1855" s="2" t="s">
        <v>21</v>
      </c>
      <c r="D1855" s="2" t="s">
        <v>22</v>
      </c>
      <c r="E1855" s="2" t="s">
        <v>23</v>
      </c>
      <c r="F1855" s="2" t="s">
        <v>24</v>
      </c>
      <c r="G1855">
        <v>82</v>
      </c>
      <c r="H1855">
        <v>520</v>
      </c>
      <c r="I1855">
        <v>61</v>
      </c>
      <c r="J1855" s="3">
        <v>5869000</v>
      </c>
      <c r="K1855" s="3">
        <v>358009000</v>
      </c>
      <c r="L1855" s="2" t="s">
        <v>33</v>
      </c>
      <c r="M1855" s="2" t="s">
        <v>26</v>
      </c>
      <c r="N1855">
        <v>2024</v>
      </c>
      <c r="O1855" s="2" t="s">
        <v>152</v>
      </c>
      <c r="P1855" s="2" t="s">
        <v>154</v>
      </c>
      <c r="Q1855">
        <v>11</v>
      </c>
      <c r="R1855" s="4">
        <v>45597</v>
      </c>
      <c r="S1855" s="3">
        <v>5869000</v>
      </c>
      <c r="T1855" s="3">
        <v>35.799999999999997</v>
      </c>
    </row>
    <row r="1856" spans="1:20" x14ac:dyDescent="0.3">
      <c r="A1856" s="1">
        <v>45605</v>
      </c>
      <c r="B1856" s="2" t="s">
        <v>84</v>
      </c>
      <c r="C1856" s="2" t="s">
        <v>93</v>
      </c>
      <c r="D1856" s="2" t="s">
        <v>37</v>
      </c>
      <c r="E1856" s="2" t="s">
        <v>38</v>
      </c>
      <c r="F1856" s="2" t="s">
        <v>24</v>
      </c>
      <c r="G1856">
        <v>66</v>
      </c>
      <c r="H1856">
        <v>423</v>
      </c>
      <c r="I1856">
        <v>40</v>
      </c>
      <c r="J1856" s="3">
        <v>8888700</v>
      </c>
      <c r="K1856" s="3">
        <v>355548000</v>
      </c>
      <c r="L1856" s="2" t="s">
        <v>25</v>
      </c>
      <c r="M1856" s="2" t="s">
        <v>26</v>
      </c>
      <c r="N1856">
        <v>2024</v>
      </c>
      <c r="O1856" s="2" t="s">
        <v>152</v>
      </c>
      <c r="P1856" s="2" t="s">
        <v>154</v>
      </c>
      <c r="Q1856">
        <v>11</v>
      </c>
      <c r="R1856" s="4">
        <v>45597</v>
      </c>
      <c r="S1856" s="3">
        <v>8888700</v>
      </c>
      <c r="T1856" s="3">
        <v>35.549999999999997</v>
      </c>
    </row>
    <row r="1857" spans="1:20" x14ac:dyDescent="0.3">
      <c r="A1857" s="1">
        <v>45605</v>
      </c>
      <c r="B1857" s="2" t="s">
        <v>108</v>
      </c>
      <c r="C1857" s="2" t="s">
        <v>123</v>
      </c>
      <c r="D1857" s="2" t="s">
        <v>82</v>
      </c>
      <c r="E1857" s="2" t="s">
        <v>141</v>
      </c>
      <c r="F1857" s="2" t="s">
        <v>24</v>
      </c>
      <c r="G1857">
        <v>59</v>
      </c>
      <c r="H1857">
        <v>55</v>
      </c>
      <c r="I1857">
        <v>61</v>
      </c>
      <c r="J1857" s="3">
        <v>2797400</v>
      </c>
      <c r="K1857" s="3">
        <v>170641400</v>
      </c>
      <c r="L1857" s="2" t="s">
        <v>33</v>
      </c>
      <c r="M1857" s="2" t="s">
        <v>34</v>
      </c>
      <c r="N1857">
        <v>2024</v>
      </c>
      <c r="O1857" s="2" t="s">
        <v>152</v>
      </c>
      <c r="P1857" s="2" t="s">
        <v>154</v>
      </c>
      <c r="Q1857">
        <v>11</v>
      </c>
      <c r="R1857" s="4">
        <v>45597</v>
      </c>
      <c r="S1857" s="3">
        <v>2797400</v>
      </c>
      <c r="T1857" s="3">
        <v>17.059999999999999</v>
      </c>
    </row>
    <row r="1858" spans="1:20" x14ac:dyDescent="0.3">
      <c r="A1858" s="1">
        <v>45606</v>
      </c>
      <c r="B1858" s="2" t="s">
        <v>48</v>
      </c>
      <c r="C1858" s="2" t="s">
        <v>73</v>
      </c>
      <c r="D1858" s="2" t="s">
        <v>102</v>
      </c>
      <c r="E1858" s="2" t="s">
        <v>103</v>
      </c>
      <c r="F1858" s="2" t="s">
        <v>24</v>
      </c>
      <c r="G1858">
        <v>5</v>
      </c>
      <c r="H1858">
        <v>150</v>
      </c>
      <c r="I1858">
        <v>88</v>
      </c>
      <c r="J1858" s="3">
        <v>147200</v>
      </c>
      <c r="K1858" s="3">
        <v>12953600</v>
      </c>
      <c r="L1858" s="2" t="s">
        <v>33</v>
      </c>
      <c r="M1858" s="2" t="s">
        <v>34</v>
      </c>
      <c r="N1858">
        <v>2024</v>
      </c>
      <c r="O1858" s="2" t="s">
        <v>152</v>
      </c>
      <c r="P1858" s="2" t="s">
        <v>154</v>
      </c>
      <c r="Q1858">
        <v>11</v>
      </c>
      <c r="R1858" s="4">
        <v>45597</v>
      </c>
      <c r="S1858" s="3">
        <v>147200</v>
      </c>
      <c r="T1858" s="3">
        <v>1.3</v>
      </c>
    </row>
    <row r="1859" spans="1:20" x14ac:dyDescent="0.3">
      <c r="A1859" s="1">
        <v>45606</v>
      </c>
      <c r="B1859" s="2" t="s">
        <v>59</v>
      </c>
      <c r="C1859" s="2" t="s">
        <v>81</v>
      </c>
      <c r="D1859" s="2" t="s">
        <v>42</v>
      </c>
      <c r="E1859" s="2" t="s">
        <v>43</v>
      </c>
      <c r="F1859" s="2" t="s">
        <v>24</v>
      </c>
      <c r="G1859">
        <v>3</v>
      </c>
      <c r="H1859">
        <v>135</v>
      </c>
      <c r="I1859">
        <v>113</v>
      </c>
      <c r="J1859" s="3">
        <v>126300</v>
      </c>
      <c r="K1859" s="3">
        <v>14271900</v>
      </c>
      <c r="L1859" s="2" t="s">
        <v>25</v>
      </c>
      <c r="M1859" s="2" t="s">
        <v>34</v>
      </c>
      <c r="N1859">
        <v>2024</v>
      </c>
      <c r="O1859" s="2" t="s">
        <v>152</v>
      </c>
      <c r="P1859" s="2" t="s">
        <v>154</v>
      </c>
      <c r="Q1859">
        <v>11</v>
      </c>
      <c r="R1859" s="4">
        <v>45597</v>
      </c>
      <c r="S1859" s="3">
        <v>126300</v>
      </c>
      <c r="T1859" s="3">
        <v>1.43</v>
      </c>
    </row>
    <row r="1860" spans="1:20" x14ac:dyDescent="0.3">
      <c r="A1860" s="1">
        <v>45606</v>
      </c>
      <c r="B1860" s="2" t="s">
        <v>90</v>
      </c>
      <c r="C1860" s="2" t="s">
        <v>128</v>
      </c>
      <c r="D1860" s="2" t="s">
        <v>88</v>
      </c>
      <c r="E1860" s="2" t="s">
        <v>111</v>
      </c>
      <c r="F1860" s="2" t="s">
        <v>24</v>
      </c>
      <c r="G1860">
        <v>60</v>
      </c>
      <c r="H1860">
        <v>480</v>
      </c>
      <c r="I1860">
        <v>54</v>
      </c>
      <c r="J1860" s="3">
        <v>2850000</v>
      </c>
      <c r="K1860" s="3">
        <v>153900000</v>
      </c>
      <c r="L1860" s="2" t="s">
        <v>33</v>
      </c>
      <c r="M1860" s="2" t="s">
        <v>26</v>
      </c>
      <c r="N1860">
        <v>2024</v>
      </c>
      <c r="O1860" s="2" t="s">
        <v>152</v>
      </c>
      <c r="P1860" s="2" t="s">
        <v>154</v>
      </c>
      <c r="Q1860">
        <v>11</v>
      </c>
      <c r="R1860" s="4">
        <v>45597</v>
      </c>
      <c r="S1860" s="3">
        <v>2850000</v>
      </c>
      <c r="T1860" s="3">
        <v>15.39</v>
      </c>
    </row>
    <row r="1861" spans="1:20" x14ac:dyDescent="0.3">
      <c r="A1861" s="1">
        <v>45607</v>
      </c>
      <c r="B1861" s="2" t="s">
        <v>46</v>
      </c>
      <c r="C1861" s="2" t="s">
        <v>110</v>
      </c>
      <c r="D1861" s="2" t="s">
        <v>88</v>
      </c>
      <c r="E1861" s="2" t="s">
        <v>111</v>
      </c>
      <c r="F1861" s="2" t="s">
        <v>24</v>
      </c>
      <c r="G1861">
        <v>60</v>
      </c>
      <c r="H1861">
        <v>480</v>
      </c>
      <c r="I1861">
        <v>47</v>
      </c>
      <c r="J1861" s="3">
        <v>3235700</v>
      </c>
      <c r="K1861" s="3">
        <v>152077900</v>
      </c>
      <c r="L1861" s="2" t="s">
        <v>25</v>
      </c>
      <c r="M1861" s="2" t="s">
        <v>77</v>
      </c>
      <c r="N1861">
        <v>2024</v>
      </c>
      <c r="O1861" s="2" t="s">
        <v>152</v>
      </c>
      <c r="P1861" s="2" t="s">
        <v>154</v>
      </c>
      <c r="Q1861">
        <v>11</v>
      </c>
      <c r="R1861" s="4">
        <v>45597</v>
      </c>
      <c r="S1861" s="3">
        <v>3235700</v>
      </c>
      <c r="T1861" s="3">
        <v>15.21</v>
      </c>
    </row>
    <row r="1862" spans="1:20" x14ac:dyDescent="0.3">
      <c r="A1862" s="1">
        <v>45607</v>
      </c>
      <c r="B1862" s="2" t="s">
        <v>61</v>
      </c>
      <c r="C1862" s="2" t="s">
        <v>62</v>
      </c>
      <c r="D1862" s="2" t="s">
        <v>94</v>
      </c>
      <c r="E1862" s="2" t="s">
        <v>95</v>
      </c>
      <c r="F1862" s="2" t="s">
        <v>24</v>
      </c>
      <c r="G1862">
        <v>40</v>
      </c>
      <c r="H1862">
        <v>30</v>
      </c>
      <c r="I1862">
        <v>121</v>
      </c>
      <c r="J1862" s="3">
        <v>2499600</v>
      </c>
      <c r="K1862" s="3">
        <v>302451600</v>
      </c>
      <c r="L1862" s="2" t="s">
        <v>33</v>
      </c>
      <c r="M1862" s="2" t="s">
        <v>77</v>
      </c>
      <c r="N1862">
        <v>2024</v>
      </c>
      <c r="O1862" s="2" t="s">
        <v>152</v>
      </c>
      <c r="P1862" s="2" t="s">
        <v>154</v>
      </c>
      <c r="Q1862">
        <v>11</v>
      </c>
      <c r="R1862" s="4">
        <v>45597</v>
      </c>
      <c r="S1862" s="3">
        <v>2499600</v>
      </c>
      <c r="T1862" s="3">
        <v>30.25</v>
      </c>
    </row>
    <row r="1863" spans="1:20" x14ac:dyDescent="0.3">
      <c r="A1863" s="1">
        <v>45607</v>
      </c>
      <c r="B1863" s="2" t="s">
        <v>20</v>
      </c>
      <c r="C1863" s="2" t="s">
        <v>112</v>
      </c>
      <c r="D1863" s="2" t="s">
        <v>82</v>
      </c>
      <c r="E1863" s="2" t="s">
        <v>141</v>
      </c>
      <c r="F1863" s="2" t="s">
        <v>72</v>
      </c>
      <c r="G1863">
        <v>59</v>
      </c>
      <c r="H1863">
        <v>55</v>
      </c>
      <c r="I1863">
        <v>98</v>
      </c>
      <c r="J1863" s="3">
        <v>2811200</v>
      </c>
      <c r="K1863" s="3">
        <v>275497600</v>
      </c>
      <c r="L1863" s="2" t="s">
        <v>33</v>
      </c>
      <c r="M1863" s="2" t="s">
        <v>34</v>
      </c>
      <c r="N1863">
        <v>2024</v>
      </c>
      <c r="O1863" s="2" t="s">
        <v>152</v>
      </c>
      <c r="P1863" s="2" t="s">
        <v>154</v>
      </c>
      <c r="Q1863">
        <v>11</v>
      </c>
      <c r="R1863" s="4">
        <v>45597</v>
      </c>
      <c r="S1863" s="3">
        <v>2811200</v>
      </c>
      <c r="T1863" s="3">
        <v>27.55</v>
      </c>
    </row>
    <row r="1864" spans="1:20" x14ac:dyDescent="0.3">
      <c r="A1864" s="1">
        <v>45607</v>
      </c>
      <c r="B1864" s="2" t="s">
        <v>48</v>
      </c>
      <c r="C1864" s="2" t="s">
        <v>49</v>
      </c>
      <c r="D1864" s="2" t="s">
        <v>102</v>
      </c>
      <c r="E1864" s="2" t="s">
        <v>103</v>
      </c>
      <c r="F1864" s="2" t="s">
        <v>24</v>
      </c>
      <c r="G1864">
        <v>5</v>
      </c>
      <c r="H1864">
        <v>150</v>
      </c>
      <c r="I1864">
        <v>118</v>
      </c>
      <c r="J1864" s="3">
        <v>172500</v>
      </c>
      <c r="K1864" s="3">
        <v>20355000</v>
      </c>
      <c r="L1864" s="2" t="s">
        <v>25</v>
      </c>
      <c r="M1864" s="2" t="s">
        <v>77</v>
      </c>
      <c r="N1864">
        <v>2024</v>
      </c>
      <c r="O1864" s="2" t="s">
        <v>152</v>
      </c>
      <c r="P1864" s="2" t="s">
        <v>154</v>
      </c>
      <c r="Q1864">
        <v>11</v>
      </c>
      <c r="R1864" s="4">
        <v>45597</v>
      </c>
      <c r="S1864" s="3">
        <v>172500</v>
      </c>
      <c r="T1864" s="3">
        <v>2.04</v>
      </c>
    </row>
    <row r="1865" spans="1:20" x14ac:dyDescent="0.3">
      <c r="A1865" s="1">
        <v>45607</v>
      </c>
      <c r="B1865" s="2" t="s">
        <v>29</v>
      </c>
      <c r="C1865" s="2" t="s">
        <v>30</v>
      </c>
      <c r="D1865" s="2" t="s">
        <v>82</v>
      </c>
      <c r="E1865" s="2" t="s">
        <v>141</v>
      </c>
      <c r="F1865" s="2" t="s">
        <v>24</v>
      </c>
      <c r="G1865">
        <v>59</v>
      </c>
      <c r="H1865">
        <v>55</v>
      </c>
      <c r="I1865">
        <v>73</v>
      </c>
      <c r="J1865" s="3">
        <v>3095300</v>
      </c>
      <c r="K1865" s="3">
        <v>225956900</v>
      </c>
      <c r="L1865" s="2" t="s">
        <v>92</v>
      </c>
      <c r="M1865" s="2" t="s">
        <v>77</v>
      </c>
      <c r="N1865">
        <v>2024</v>
      </c>
      <c r="O1865" s="2" t="s">
        <v>152</v>
      </c>
      <c r="P1865" s="2" t="s">
        <v>154</v>
      </c>
      <c r="Q1865">
        <v>11</v>
      </c>
      <c r="R1865" s="4">
        <v>45597</v>
      </c>
      <c r="S1865" s="3">
        <v>3095300</v>
      </c>
      <c r="T1865" s="3">
        <v>22.6</v>
      </c>
    </row>
    <row r="1866" spans="1:20" x14ac:dyDescent="0.3">
      <c r="A1866" s="1">
        <v>45607</v>
      </c>
      <c r="B1866" s="2" t="s">
        <v>29</v>
      </c>
      <c r="C1866" s="2" t="s">
        <v>30</v>
      </c>
      <c r="D1866" s="2" t="s">
        <v>54</v>
      </c>
      <c r="E1866" s="2" t="s">
        <v>55</v>
      </c>
      <c r="F1866" s="2" t="s">
        <v>24</v>
      </c>
      <c r="G1866">
        <v>30</v>
      </c>
      <c r="H1866">
        <v>320</v>
      </c>
      <c r="I1866">
        <v>68</v>
      </c>
      <c r="J1866" s="3">
        <v>1396400</v>
      </c>
      <c r="K1866" s="3">
        <v>94955200</v>
      </c>
      <c r="L1866" s="2" t="s">
        <v>33</v>
      </c>
      <c r="M1866" s="2" t="s">
        <v>26</v>
      </c>
      <c r="N1866">
        <v>2024</v>
      </c>
      <c r="O1866" s="2" t="s">
        <v>152</v>
      </c>
      <c r="P1866" s="2" t="s">
        <v>154</v>
      </c>
      <c r="Q1866">
        <v>11</v>
      </c>
      <c r="R1866" s="4">
        <v>45597</v>
      </c>
      <c r="S1866" s="3">
        <v>1396400</v>
      </c>
      <c r="T1866" s="3">
        <v>9.5</v>
      </c>
    </row>
    <row r="1867" spans="1:20" x14ac:dyDescent="0.3">
      <c r="A1867" s="1">
        <v>45608</v>
      </c>
      <c r="B1867" s="2" t="s">
        <v>48</v>
      </c>
      <c r="C1867" s="2" t="s">
        <v>49</v>
      </c>
      <c r="D1867" s="2" t="s">
        <v>100</v>
      </c>
      <c r="E1867" s="2" t="s">
        <v>101</v>
      </c>
      <c r="F1867" s="2" t="s">
        <v>24</v>
      </c>
      <c r="G1867">
        <v>3</v>
      </c>
      <c r="H1867">
        <v>150</v>
      </c>
      <c r="I1867">
        <v>17</v>
      </c>
      <c r="J1867" s="3">
        <v>143500</v>
      </c>
      <c r="K1867" s="3">
        <v>2439500</v>
      </c>
      <c r="L1867" s="2" t="s">
        <v>33</v>
      </c>
      <c r="M1867" s="2" t="s">
        <v>26</v>
      </c>
      <c r="N1867">
        <v>2024</v>
      </c>
      <c r="O1867" s="2" t="s">
        <v>152</v>
      </c>
      <c r="P1867" s="2" t="s">
        <v>154</v>
      </c>
      <c r="Q1867">
        <v>11</v>
      </c>
      <c r="R1867" s="4">
        <v>45597</v>
      </c>
      <c r="S1867" s="3">
        <v>143500</v>
      </c>
      <c r="T1867" s="3">
        <v>0.24</v>
      </c>
    </row>
    <row r="1868" spans="1:20" x14ac:dyDescent="0.3">
      <c r="A1868" s="1">
        <v>45608</v>
      </c>
      <c r="B1868" s="2" t="s">
        <v>46</v>
      </c>
      <c r="C1868" s="2" t="s">
        <v>56</v>
      </c>
      <c r="D1868" s="2" t="s">
        <v>70</v>
      </c>
      <c r="E1868" s="2" t="s">
        <v>71</v>
      </c>
      <c r="F1868" s="2" t="s">
        <v>24</v>
      </c>
      <c r="G1868">
        <v>50</v>
      </c>
      <c r="H1868">
        <v>46</v>
      </c>
      <c r="I1868">
        <v>177</v>
      </c>
      <c r="J1868" s="3">
        <v>2307400</v>
      </c>
      <c r="K1868" s="3">
        <v>408409800</v>
      </c>
      <c r="L1868" s="2" t="s">
        <v>33</v>
      </c>
      <c r="M1868" s="2" t="s">
        <v>77</v>
      </c>
      <c r="N1868">
        <v>2024</v>
      </c>
      <c r="O1868" s="2" t="s">
        <v>152</v>
      </c>
      <c r="P1868" s="2" t="s">
        <v>154</v>
      </c>
      <c r="Q1868">
        <v>11</v>
      </c>
      <c r="R1868" s="4">
        <v>45597</v>
      </c>
      <c r="S1868" s="3">
        <v>2307400</v>
      </c>
      <c r="T1868" s="3">
        <v>40.840000000000003</v>
      </c>
    </row>
    <row r="1869" spans="1:20" x14ac:dyDescent="0.3">
      <c r="A1869" s="1">
        <v>45608</v>
      </c>
      <c r="B1869" s="2" t="s">
        <v>108</v>
      </c>
      <c r="C1869" s="2" t="s">
        <v>123</v>
      </c>
      <c r="D1869" s="2" t="s">
        <v>102</v>
      </c>
      <c r="E1869" s="2" t="s">
        <v>103</v>
      </c>
      <c r="F1869" s="2" t="s">
        <v>24</v>
      </c>
      <c r="G1869">
        <v>5</v>
      </c>
      <c r="H1869">
        <v>150</v>
      </c>
      <c r="I1869">
        <v>106</v>
      </c>
      <c r="J1869" s="3">
        <v>175900</v>
      </c>
      <c r="K1869" s="3">
        <v>18645400</v>
      </c>
      <c r="L1869" s="2" t="s">
        <v>33</v>
      </c>
      <c r="M1869" s="2" t="s">
        <v>34</v>
      </c>
      <c r="N1869">
        <v>2024</v>
      </c>
      <c r="O1869" s="2" t="s">
        <v>152</v>
      </c>
      <c r="P1869" s="2" t="s">
        <v>154</v>
      </c>
      <c r="Q1869">
        <v>11</v>
      </c>
      <c r="R1869" s="4">
        <v>45597</v>
      </c>
      <c r="S1869" s="3">
        <v>175900</v>
      </c>
      <c r="T1869" s="3">
        <v>1.86</v>
      </c>
    </row>
    <row r="1870" spans="1:20" x14ac:dyDescent="0.3">
      <c r="A1870" s="1">
        <v>45609</v>
      </c>
      <c r="B1870" s="2" t="s">
        <v>29</v>
      </c>
      <c r="C1870" s="2" t="s">
        <v>104</v>
      </c>
      <c r="D1870" s="2" t="s">
        <v>88</v>
      </c>
      <c r="E1870" s="2" t="s">
        <v>89</v>
      </c>
      <c r="F1870" s="2" t="s">
        <v>24</v>
      </c>
      <c r="G1870">
        <v>82</v>
      </c>
      <c r="H1870">
        <v>580</v>
      </c>
      <c r="I1870">
        <v>23</v>
      </c>
      <c r="J1870" s="3">
        <v>5326300</v>
      </c>
      <c r="K1870" s="3">
        <v>122504900</v>
      </c>
      <c r="L1870" s="2" t="s">
        <v>33</v>
      </c>
      <c r="M1870" s="2" t="s">
        <v>77</v>
      </c>
      <c r="N1870">
        <v>2024</v>
      </c>
      <c r="O1870" s="2" t="s">
        <v>152</v>
      </c>
      <c r="P1870" s="2" t="s">
        <v>154</v>
      </c>
      <c r="Q1870">
        <v>11</v>
      </c>
      <c r="R1870" s="4">
        <v>45597</v>
      </c>
      <c r="S1870" s="3">
        <v>5326300</v>
      </c>
      <c r="T1870" s="3">
        <v>12.25</v>
      </c>
    </row>
    <row r="1871" spans="1:20" x14ac:dyDescent="0.3">
      <c r="A1871" s="1">
        <v>45609</v>
      </c>
      <c r="B1871" s="2" t="s">
        <v>44</v>
      </c>
      <c r="C1871" s="2" t="s">
        <v>117</v>
      </c>
      <c r="D1871" s="2" t="s">
        <v>79</v>
      </c>
      <c r="E1871" s="2" t="s">
        <v>80</v>
      </c>
      <c r="F1871" s="2" t="s">
        <v>24</v>
      </c>
      <c r="G1871">
        <v>69</v>
      </c>
      <c r="H1871">
        <v>418</v>
      </c>
      <c r="I1871">
        <v>30</v>
      </c>
      <c r="J1871" s="3">
        <v>5100700</v>
      </c>
      <c r="K1871" s="3">
        <v>153021000</v>
      </c>
      <c r="L1871" s="2" t="s">
        <v>33</v>
      </c>
      <c r="M1871" s="2" t="s">
        <v>77</v>
      </c>
      <c r="N1871">
        <v>2024</v>
      </c>
      <c r="O1871" s="2" t="s">
        <v>152</v>
      </c>
      <c r="P1871" s="2" t="s">
        <v>154</v>
      </c>
      <c r="Q1871">
        <v>11</v>
      </c>
      <c r="R1871" s="4">
        <v>45597</v>
      </c>
      <c r="S1871" s="3">
        <v>5100700</v>
      </c>
      <c r="T1871" s="3">
        <v>15.3</v>
      </c>
    </row>
    <row r="1872" spans="1:20" x14ac:dyDescent="0.3">
      <c r="A1872" s="1">
        <v>45610</v>
      </c>
      <c r="B1872" s="2" t="s">
        <v>46</v>
      </c>
      <c r="C1872" s="2" t="s">
        <v>56</v>
      </c>
      <c r="D1872" s="2" t="s">
        <v>54</v>
      </c>
      <c r="E1872" s="2" t="s">
        <v>55</v>
      </c>
      <c r="F1872" s="2" t="s">
        <v>24</v>
      </c>
      <c r="G1872">
        <v>30</v>
      </c>
      <c r="H1872">
        <v>320</v>
      </c>
      <c r="I1872">
        <v>66</v>
      </c>
      <c r="J1872" s="3">
        <v>1541400</v>
      </c>
      <c r="K1872" s="3">
        <v>101732400</v>
      </c>
      <c r="L1872" s="2" t="s">
        <v>33</v>
      </c>
      <c r="M1872" s="2" t="s">
        <v>34</v>
      </c>
      <c r="N1872">
        <v>2024</v>
      </c>
      <c r="O1872" s="2" t="s">
        <v>152</v>
      </c>
      <c r="P1872" s="2" t="s">
        <v>154</v>
      </c>
      <c r="Q1872">
        <v>11</v>
      </c>
      <c r="R1872" s="4">
        <v>45597</v>
      </c>
      <c r="S1872" s="3">
        <v>1541400</v>
      </c>
      <c r="T1872" s="3">
        <v>10.17</v>
      </c>
    </row>
    <row r="1873" spans="1:20" x14ac:dyDescent="0.3">
      <c r="A1873" s="1">
        <v>45610</v>
      </c>
      <c r="B1873" s="2" t="s">
        <v>40</v>
      </c>
      <c r="C1873" s="2" t="s">
        <v>136</v>
      </c>
      <c r="D1873" s="2" t="s">
        <v>42</v>
      </c>
      <c r="E1873" s="2" t="s">
        <v>43</v>
      </c>
      <c r="F1873" s="2" t="s">
        <v>24</v>
      </c>
      <c r="G1873">
        <v>3</v>
      </c>
      <c r="H1873">
        <v>135</v>
      </c>
      <c r="I1873">
        <v>146</v>
      </c>
      <c r="J1873" s="3">
        <v>121000</v>
      </c>
      <c r="K1873" s="3">
        <v>17666000</v>
      </c>
      <c r="L1873" s="2" t="s">
        <v>33</v>
      </c>
      <c r="M1873" s="2" t="s">
        <v>34</v>
      </c>
      <c r="N1873">
        <v>2024</v>
      </c>
      <c r="O1873" s="2" t="s">
        <v>152</v>
      </c>
      <c r="P1873" s="2" t="s">
        <v>154</v>
      </c>
      <c r="Q1873">
        <v>11</v>
      </c>
      <c r="R1873" s="4">
        <v>45597</v>
      </c>
      <c r="S1873" s="3">
        <v>121000</v>
      </c>
      <c r="T1873" s="3">
        <v>1.77</v>
      </c>
    </row>
    <row r="1874" spans="1:20" x14ac:dyDescent="0.3">
      <c r="A1874" s="1">
        <v>45611</v>
      </c>
      <c r="B1874" s="2" t="s">
        <v>108</v>
      </c>
      <c r="C1874" s="2" t="s">
        <v>109</v>
      </c>
      <c r="D1874" s="2" t="s">
        <v>37</v>
      </c>
      <c r="E1874" s="2" t="s">
        <v>38</v>
      </c>
      <c r="F1874" s="2" t="s">
        <v>24</v>
      </c>
      <c r="G1874">
        <v>66</v>
      </c>
      <c r="H1874">
        <v>423</v>
      </c>
      <c r="I1874">
        <v>29</v>
      </c>
      <c r="J1874" s="3">
        <v>8437900</v>
      </c>
      <c r="K1874" s="3">
        <v>244699100</v>
      </c>
      <c r="L1874" s="2" t="s">
        <v>25</v>
      </c>
      <c r="M1874" s="2" t="s">
        <v>26</v>
      </c>
      <c r="N1874">
        <v>2024</v>
      </c>
      <c r="O1874" s="2" t="s">
        <v>152</v>
      </c>
      <c r="P1874" s="2" t="s">
        <v>154</v>
      </c>
      <c r="Q1874">
        <v>11</v>
      </c>
      <c r="R1874" s="4">
        <v>45597</v>
      </c>
      <c r="S1874" s="3">
        <v>8437900</v>
      </c>
      <c r="T1874" s="3">
        <v>24.47</v>
      </c>
    </row>
    <row r="1875" spans="1:20" x14ac:dyDescent="0.3">
      <c r="A1875" s="1">
        <v>45611</v>
      </c>
      <c r="B1875" s="2" t="s">
        <v>75</v>
      </c>
      <c r="C1875" s="2" t="s">
        <v>134</v>
      </c>
      <c r="D1875" s="2" t="s">
        <v>50</v>
      </c>
      <c r="E1875" s="2" t="s">
        <v>51</v>
      </c>
      <c r="F1875" s="2" t="s">
        <v>24</v>
      </c>
      <c r="G1875">
        <v>77</v>
      </c>
      <c r="H1875">
        <v>528</v>
      </c>
      <c r="I1875">
        <v>34</v>
      </c>
      <c r="J1875" s="3">
        <v>4727300</v>
      </c>
      <c r="K1875" s="3">
        <v>160728200</v>
      </c>
      <c r="L1875" s="2" t="s">
        <v>25</v>
      </c>
      <c r="M1875" s="2" t="s">
        <v>77</v>
      </c>
      <c r="N1875">
        <v>2024</v>
      </c>
      <c r="O1875" s="2" t="s">
        <v>152</v>
      </c>
      <c r="P1875" s="2" t="s">
        <v>154</v>
      </c>
      <c r="Q1875">
        <v>11</v>
      </c>
      <c r="R1875" s="4">
        <v>45597</v>
      </c>
      <c r="S1875" s="3">
        <v>4727300</v>
      </c>
      <c r="T1875" s="3">
        <v>16.07</v>
      </c>
    </row>
    <row r="1876" spans="1:20" x14ac:dyDescent="0.3">
      <c r="A1876" s="1">
        <v>45611</v>
      </c>
      <c r="B1876" s="2" t="s">
        <v>48</v>
      </c>
      <c r="C1876" s="2" t="s">
        <v>49</v>
      </c>
      <c r="D1876" s="2" t="s">
        <v>50</v>
      </c>
      <c r="E1876" s="2" t="s">
        <v>51</v>
      </c>
      <c r="F1876" s="2" t="s">
        <v>39</v>
      </c>
      <c r="G1876">
        <v>77</v>
      </c>
      <c r="H1876">
        <v>528</v>
      </c>
      <c r="I1876">
        <v>17</v>
      </c>
      <c r="J1876" s="3">
        <v>5057800</v>
      </c>
      <c r="K1876" s="3">
        <v>85982600</v>
      </c>
      <c r="L1876" s="2" t="s">
        <v>33</v>
      </c>
      <c r="M1876" s="2" t="s">
        <v>26</v>
      </c>
      <c r="N1876">
        <v>2024</v>
      </c>
      <c r="O1876" s="2" t="s">
        <v>152</v>
      </c>
      <c r="P1876" s="2" t="s">
        <v>154</v>
      </c>
      <c r="Q1876">
        <v>11</v>
      </c>
      <c r="R1876" s="4">
        <v>45597</v>
      </c>
      <c r="S1876" s="3">
        <v>5057800</v>
      </c>
      <c r="T1876" s="3">
        <v>8.6</v>
      </c>
    </row>
    <row r="1877" spans="1:20" x14ac:dyDescent="0.3">
      <c r="A1877" s="1">
        <v>45611</v>
      </c>
      <c r="B1877" s="2" t="s">
        <v>46</v>
      </c>
      <c r="C1877" s="2" t="s">
        <v>47</v>
      </c>
      <c r="D1877" s="2" t="s">
        <v>57</v>
      </c>
      <c r="E1877" s="2" t="s">
        <v>86</v>
      </c>
      <c r="F1877" s="2" t="s">
        <v>24</v>
      </c>
      <c r="G1877">
        <v>48</v>
      </c>
      <c r="H1877">
        <v>39</v>
      </c>
      <c r="I1877">
        <v>142</v>
      </c>
      <c r="J1877" s="3">
        <v>1962900</v>
      </c>
      <c r="K1877" s="3">
        <v>278731800</v>
      </c>
      <c r="L1877" s="2" t="s">
        <v>33</v>
      </c>
      <c r="M1877" s="2" t="s">
        <v>77</v>
      </c>
      <c r="N1877">
        <v>2024</v>
      </c>
      <c r="O1877" s="2" t="s">
        <v>152</v>
      </c>
      <c r="P1877" s="2" t="s">
        <v>154</v>
      </c>
      <c r="Q1877">
        <v>11</v>
      </c>
      <c r="R1877" s="4">
        <v>45597</v>
      </c>
      <c r="S1877" s="3">
        <v>1962900</v>
      </c>
      <c r="T1877" s="3">
        <v>27.87</v>
      </c>
    </row>
    <row r="1878" spans="1:20" x14ac:dyDescent="0.3">
      <c r="A1878" s="1">
        <v>45611</v>
      </c>
      <c r="B1878" s="2" t="s">
        <v>75</v>
      </c>
      <c r="C1878" s="2" t="s">
        <v>76</v>
      </c>
      <c r="D1878" s="2" t="s">
        <v>88</v>
      </c>
      <c r="E1878" s="2" t="s">
        <v>111</v>
      </c>
      <c r="F1878" s="2" t="s">
        <v>24</v>
      </c>
      <c r="G1878">
        <v>60</v>
      </c>
      <c r="H1878">
        <v>480</v>
      </c>
      <c r="I1878">
        <v>52</v>
      </c>
      <c r="J1878" s="3">
        <v>3273000</v>
      </c>
      <c r="K1878" s="3">
        <v>170196000</v>
      </c>
      <c r="L1878" s="2" t="s">
        <v>33</v>
      </c>
      <c r="M1878" s="2" t="s">
        <v>26</v>
      </c>
      <c r="N1878">
        <v>2024</v>
      </c>
      <c r="O1878" s="2" t="s">
        <v>152</v>
      </c>
      <c r="P1878" s="2" t="s">
        <v>154</v>
      </c>
      <c r="Q1878">
        <v>11</v>
      </c>
      <c r="R1878" s="4">
        <v>45597</v>
      </c>
      <c r="S1878" s="3">
        <v>3273000</v>
      </c>
      <c r="T1878" s="3">
        <v>17.02</v>
      </c>
    </row>
    <row r="1879" spans="1:20" x14ac:dyDescent="0.3">
      <c r="A1879" s="1">
        <v>45611</v>
      </c>
      <c r="B1879" s="2" t="s">
        <v>61</v>
      </c>
      <c r="C1879" s="2" t="s">
        <v>147</v>
      </c>
      <c r="D1879" s="2" t="s">
        <v>37</v>
      </c>
      <c r="E1879" s="2" t="s">
        <v>38</v>
      </c>
      <c r="F1879" s="2" t="s">
        <v>72</v>
      </c>
      <c r="G1879">
        <v>66</v>
      </c>
      <c r="H1879">
        <v>423</v>
      </c>
      <c r="I1879">
        <v>31</v>
      </c>
      <c r="J1879" s="3">
        <v>8094600</v>
      </c>
      <c r="K1879" s="3">
        <v>250932600</v>
      </c>
      <c r="L1879" s="2" t="s">
        <v>33</v>
      </c>
      <c r="M1879" s="2" t="s">
        <v>26</v>
      </c>
      <c r="N1879">
        <v>2024</v>
      </c>
      <c r="O1879" s="2" t="s">
        <v>152</v>
      </c>
      <c r="P1879" s="2" t="s">
        <v>154</v>
      </c>
      <c r="Q1879">
        <v>11</v>
      </c>
      <c r="R1879" s="4">
        <v>45597</v>
      </c>
      <c r="S1879" s="3">
        <v>8094600</v>
      </c>
      <c r="T1879" s="3">
        <v>25.09</v>
      </c>
    </row>
    <row r="1880" spans="1:20" x14ac:dyDescent="0.3">
      <c r="A1880" s="1">
        <v>45612</v>
      </c>
      <c r="B1880" s="2" t="s">
        <v>44</v>
      </c>
      <c r="C1880" s="2" t="s">
        <v>45</v>
      </c>
      <c r="D1880" s="2" t="s">
        <v>42</v>
      </c>
      <c r="E1880" s="2" t="s">
        <v>43</v>
      </c>
      <c r="F1880" s="2" t="s">
        <v>24</v>
      </c>
      <c r="G1880">
        <v>3</v>
      </c>
      <c r="H1880">
        <v>135</v>
      </c>
      <c r="I1880">
        <v>135</v>
      </c>
      <c r="J1880" s="3">
        <v>123300</v>
      </c>
      <c r="K1880" s="3">
        <v>16645500</v>
      </c>
      <c r="L1880" s="2" t="s">
        <v>33</v>
      </c>
      <c r="M1880" s="2" t="s">
        <v>34</v>
      </c>
      <c r="N1880">
        <v>2024</v>
      </c>
      <c r="O1880" s="2" t="s">
        <v>152</v>
      </c>
      <c r="P1880" s="2" t="s">
        <v>154</v>
      </c>
      <c r="Q1880">
        <v>11</v>
      </c>
      <c r="R1880" s="4">
        <v>45597</v>
      </c>
      <c r="S1880" s="3">
        <v>123300</v>
      </c>
      <c r="T1880" s="3">
        <v>1.66</v>
      </c>
    </row>
    <row r="1881" spans="1:20" x14ac:dyDescent="0.3">
      <c r="A1881" s="1">
        <v>45612</v>
      </c>
      <c r="B1881" s="2" t="s">
        <v>90</v>
      </c>
      <c r="C1881" s="2" t="s">
        <v>91</v>
      </c>
      <c r="D1881" s="2" t="s">
        <v>31</v>
      </c>
      <c r="E1881" s="2" t="s">
        <v>32</v>
      </c>
      <c r="F1881" s="2" t="s">
        <v>24</v>
      </c>
      <c r="G1881">
        <v>4</v>
      </c>
      <c r="H1881">
        <v>195</v>
      </c>
      <c r="I1881">
        <v>37</v>
      </c>
      <c r="J1881" s="3">
        <v>124800</v>
      </c>
      <c r="K1881" s="3">
        <v>4617600</v>
      </c>
      <c r="L1881" s="2" t="s">
        <v>25</v>
      </c>
      <c r="M1881" s="2" t="s">
        <v>34</v>
      </c>
      <c r="N1881">
        <v>2024</v>
      </c>
      <c r="O1881" s="2" t="s">
        <v>152</v>
      </c>
      <c r="P1881" s="2" t="s">
        <v>154</v>
      </c>
      <c r="Q1881">
        <v>11</v>
      </c>
      <c r="R1881" s="4">
        <v>45597</v>
      </c>
      <c r="S1881" s="3">
        <v>124800</v>
      </c>
      <c r="T1881" s="3">
        <v>0.46</v>
      </c>
    </row>
    <row r="1882" spans="1:20" x14ac:dyDescent="0.3">
      <c r="A1882" s="1">
        <v>45612</v>
      </c>
      <c r="B1882" s="2" t="s">
        <v>40</v>
      </c>
      <c r="C1882" s="2" t="s">
        <v>136</v>
      </c>
      <c r="D1882" s="2" t="s">
        <v>22</v>
      </c>
      <c r="E1882" s="2" t="s">
        <v>23</v>
      </c>
      <c r="F1882" s="2" t="s">
        <v>39</v>
      </c>
      <c r="G1882">
        <v>82</v>
      </c>
      <c r="H1882">
        <v>520</v>
      </c>
      <c r="I1882">
        <v>25</v>
      </c>
      <c r="J1882" s="3">
        <v>7142300</v>
      </c>
      <c r="K1882" s="3">
        <v>178557500</v>
      </c>
      <c r="L1882" s="2" t="s">
        <v>33</v>
      </c>
      <c r="M1882" s="2" t="s">
        <v>26</v>
      </c>
      <c r="N1882">
        <v>2024</v>
      </c>
      <c r="O1882" s="2" t="s">
        <v>152</v>
      </c>
      <c r="P1882" s="2" t="s">
        <v>154</v>
      </c>
      <c r="Q1882">
        <v>11</v>
      </c>
      <c r="R1882" s="4">
        <v>45597</v>
      </c>
      <c r="S1882" s="3">
        <v>7142300</v>
      </c>
      <c r="T1882" s="3">
        <v>17.86</v>
      </c>
    </row>
    <row r="1883" spans="1:20" x14ac:dyDescent="0.3">
      <c r="A1883" s="1">
        <v>45612</v>
      </c>
      <c r="B1883" s="2" t="s">
        <v>20</v>
      </c>
      <c r="C1883" s="2" t="s">
        <v>125</v>
      </c>
      <c r="D1883" s="2" t="s">
        <v>100</v>
      </c>
      <c r="E1883" s="2" t="s">
        <v>101</v>
      </c>
      <c r="F1883" s="2" t="s">
        <v>24</v>
      </c>
      <c r="G1883">
        <v>3</v>
      </c>
      <c r="H1883">
        <v>150</v>
      </c>
      <c r="I1883">
        <v>22</v>
      </c>
      <c r="J1883" s="3">
        <v>141900</v>
      </c>
      <c r="K1883" s="3">
        <v>3121800</v>
      </c>
      <c r="L1883" s="2" t="s">
        <v>33</v>
      </c>
      <c r="M1883" s="2" t="s">
        <v>26</v>
      </c>
      <c r="N1883">
        <v>2024</v>
      </c>
      <c r="O1883" s="2" t="s">
        <v>152</v>
      </c>
      <c r="P1883" s="2" t="s">
        <v>154</v>
      </c>
      <c r="Q1883">
        <v>11</v>
      </c>
      <c r="R1883" s="4">
        <v>45597</v>
      </c>
      <c r="S1883" s="3">
        <v>141900</v>
      </c>
      <c r="T1883" s="3">
        <v>0.31</v>
      </c>
    </row>
    <row r="1884" spans="1:20" x14ac:dyDescent="0.3">
      <c r="A1884" s="1">
        <v>45613</v>
      </c>
      <c r="B1884" s="2" t="s">
        <v>46</v>
      </c>
      <c r="C1884" s="2" t="s">
        <v>56</v>
      </c>
      <c r="D1884" s="2" t="s">
        <v>102</v>
      </c>
      <c r="E1884" s="2" t="s">
        <v>103</v>
      </c>
      <c r="F1884" s="2" t="s">
        <v>24</v>
      </c>
      <c r="G1884">
        <v>5</v>
      </c>
      <c r="H1884">
        <v>150</v>
      </c>
      <c r="I1884">
        <v>13</v>
      </c>
      <c r="J1884" s="3">
        <v>140500</v>
      </c>
      <c r="K1884" s="3">
        <v>1826500</v>
      </c>
      <c r="L1884" s="2" t="s">
        <v>33</v>
      </c>
      <c r="M1884" s="2" t="s">
        <v>77</v>
      </c>
      <c r="N1884">
        <v>2024</v>
      </c>
      <c r="O1884" s="2" t="s">
        <v>152</v>
      </c>
      <c r="P1884" s="2" t="s">
        <v>154</v>
      </c>
      <c r="Q1884">
        <v>11</v>
      </c>
      <c r="R1884" s="4">
        <v>45597</v>
      </c>
      <c r="S1884" s="3">
        <v>140500</v>
      </c>
      <c r="T1884" s="3">
        <v>0.18</v>
      </c>
    </row>
    <row r="1885" spans="1:20" x14ac:dyDescent="0.3">
      <c r="A1885" s="1">
        <v>45613</v>
      </c>
      <c r="B1885" s="2" t="s">
        <v>48</v>
      </c>
      <c r="C1885" s="2" t="s">
        <v>69</v>
      </c>
      <c r="D1885" s="2" t="s">
        <v>70</v>
      </c>
      <c r="E1885" s="2" t="s">
        <v>74</v>
      </c>
      <c r="F1885" s="2" t="s">
        <v>24</v>
      </c>
      <c r="G1885">
        <v>25</v>
      </c>
      <c r="H1885">
        <v>32</v>
      </c>
      <c r="I1885">
        <v>123</v>
      </c>
      <c r="J1885" s="3">
        <v>1134700</v>
      </c>
      <c r="K1885" s="3">
        <v>139568100</v>
      </c>
      <c r="L1885" s="2" t="s">
        <v>33</v>
      </c>
      <c r="M1885" s="2" t="s">
        <v>77</v>
      </c>
      <c r="N1885">
        <v>2024</v>
      </c>
      <c r="O1885" s="2" t="s">
        <v>152</v>
      </c>
      <c r="P1885" s="2" t="s">
        <v>154</v>
      </c>
      <c r="Q1885">
        <v>11</v>
      </c>
      <c r="R1885" s="4">
        <v>45597</v>
      </c>
      <c r="S1885" s="3">
        <v>1134700</v>
      </c>
      <c r="T1885" s="3">
        <v>13.96</v>
      </c>
    </row>
    <row r="1886" spans="1:20" x14ac:dyDescent="0.3">
      <c r="A1886" s="1">
        <v>45613</v>
      </c>
      <c r="B1886" s="2" t="s">
        <v>40</v>
      </c>
      <c r="C1886" s="2" t="s">
        <v>136</v>
      </c>
      <c r="D1886" s="2" t="s">
        <v>79</v>
      </c>
      <c r="E1886" s="2" t="s">
        <v>80</v>
      </c>
      <c r="F1886" s="2" t="s">
        <v>24</v>
      </c>
      <c r="G1886">
        <v>69</v>
      </c>
      <c r="H1886">
        <v>418</v>
      </c>
      <c r="I1886">
        <v>12</v>
      </c>
      <c r="J1886" s="3">
        <v>4803300</v>
      </c>
      <c r="K1886" s="3">
        <v>57639600</v>
      </c>
      <c r="L1886" s="2" t="s">
        <v>33</v>
      </c>
      <c r="M1886" s="2" t="s">
        <v>26</v>
      </c>
      <c r="N1886">
        <v>2024</v>
      </c>
      <c r="O1886" s="2" t="s">
        <v>152</v>
      </c>
      <c r="P1886" s="2" t="s">
        <v>154</v>
      </c>
      <c r="Q1886">
        <v>11</v>
      </c>
      <c r="R1886" s="4">
        <v>45597</v>
      </c>
      <c r="S1886" s="3">
        <v>4803300</v>
      </c>
      <c r="T1886" s="3">
        <v>5.76</v>
      </c>
    </row>
    <row r="1887" spans="1:20" x14ac:dyDescent="0.3">
      <c r="A1887" s="1">
        <v>45614</v>
      </c>
      <c r="B1887" s="2" t="s">
        <v>35</v>
      </c>
      <c r="C1887" s="2" t="s">
        <v>121</v>
      </c>
      <c r="D1887" s="2" t="s">
        <v>54</v>
      </c>
      <c r="E1887" s="2" t="s">
        <v>55</v>
      </c>
      <c r="F1887" s="2" t="s">
        <v>24</v>
      </c>
      <c r="G1887">
        <v>30</v>
      </c>
      <c r="H1887">
        <v>320</v>
      </c>
      <c r="I1887">
        <v>42</v>
      </c>
      <c r="J1887" s="3">
        <v>1333900</v>
      </c>
      <c r="K1887" s="3">
        <v>56023800</v>
      </c>
      <c r="L1887" s="2" t="s">
        <v>33</v>
      </c>
      <c r="M1887" s="2" t="s">
        <v>77</v>
      </c>
      <c r="N1887">
        <v>2024</v>
      </c>
      <c r="O1887" s="2" t="s">
        <v>152</v>
      </c>
      <c r="P1887" s="2" t="s">
        <v>154</v>
      </c>
      <c r="Q1887">
        <v>11</v>
      </c>
      <c r="R1887" s="4">
        <v>45597</v>
      </c>
      <c r="S1887" s="3">
        <v>1333900</v>
      </c>
      <c r="T1887" s="3">
        <v>5.6</v>
      </c>
    </row>
    <row r="1888" spans="1:20" x14ac:dyDescent="0.3">
      <c r="A1888" s="1">
        <v>45614</v>
      </c>
      <c r="B1888" s="2" t="s">
        <v>29</v>
      </c>
      <c r="C1888" s="2" t="s">
        <v>96</v>
      </c>
      <c r="D1888" s="2" t="s">
        <v>31</v>
      </c>
      <c r="E1888" s="2" t="s">
        <v>124</v>
      </c>
      <c r="F1888" s="2" t="s">
        <v>24</v>
      </c>
      <c r="G1888">
        <v>3</v>
      </c>
      <c r="H1888">
        <v>151</v>
      </c>
      <c r="I1888">
        <v>58</v>
      </c>
      <c r="J1888" s="3">
        <v>99300</v>
      </c>
      <c r="K1888" s="3">
        <v>5759400</v>
      </c>
      <c r="L1888" s="2" t="s">
        <v>33</v>
      </c>
      <c r="M1888" s="2" t="s">
        <v>26</v>
      </c>
      <c r="N1888">
        <v>2024</v>
      </c>
      <c r="O1888" s="2" t="s">
        <v>152</v>
      </c>
      <c r="P1888" s="2" t="s">
        <v>154</v>
      </c>
      <c r="Q1888">
        <v>11</v>
      </c>
      <c r="R1888" s="4">
        <v>45597</v>
      </c>
      <c r="S1888" s="3">
        <v>99300</v>
      </c>
      <c r="T1888" s="3">
        <v>0.57999999999999996</v>
      </c>
    </row>
    <row r="1889" spans="1:20" x14ac:dyDescent="0.3">
      <c r="A1889" s="1">
        <v>45614</v>
      </c>
      <c r="B1889" s="2" t="s">
        <v>46</v>
      </c>
      <c r="C1889" s="2" t="s">
        <v>137</v>
      </c>
      <c r="D1889" s="2" t="s">
        <v>102</v>
      </c>
      <c r="E1889" s="2" t="s">
        <v>103</v>
      </c>
      <c r="F1889" s="2" t="s">
        <v>24</v>
      </c>
      <c r="G1889">
        <v>5</v>
      </c>
      <c r="H1889">
        <v>150</v>
      </c>
      <c r="I1889">
        <v>40</v>
      </c>
      <c r="J1889" s="3">
        <v>168000</v>
      </c>
      <c r="K1889" s="3">
        <v>6720000</v>
      </c>
      <c r="L1889" s="2" t="s">
        <v>33</v>
      </c>
      <c r="M1889" s="2" t="s">
        <v>26</v>
      </c>
      <c r="N1889">
        <v>2024</v>
      </c>
      <c r="O1889" s="2" t="s">
        <v>152</v>
      </c>
      <c r="P1889" s="2" t="s">
        <v>154</v>
      </c>
      <c r="Q1889">
        <v>11</v>
      </c>
      <c r="R1889" s="4">
        <v>45597</v>
      </c>
      <c r="S1889" s="3">
        <v>168000</v>
      </c>
      <c r="T1889" s="3">
        <v>0.67</v>
      </c>
    </row>
    <row r="1890" spans="1:20" x14ac:dyDescent="0.3">
      <c r="A1890" s="1">
        <v>45614</v>
      </c>
      <c r="B1890" s="2" t="s">
        <v>35</v>
      </c>
      <c r="C1890" s="2" t="s">
        <v>36</v>
      </c>
      <c r="D1890" s="2" t="s">
        <v>37</v>
      </c>
      <c r="E1890" s="2" t="s">
        <v>38</v>
      </c>
      <c r="F1890" s="2" t="s">
        <v>24</v>
      </c>
      <c r="G1890">
        <v>66</v>
      </c>
      <c r="H1890">
        <v>423</v>
      </c>
      <c r="I1890">
        <v>61</v>
      </c>
      <c r="J1890" s="3">
        <v>7565500</v>
      </c>
      <c r="K1890" s="3">
        <v>461495500</v>
      </c>
      <c r="L1890" s="2" t="s">
        <v>25</v>
      </c>
      <c r="M1890" s="2" t="s">
        <v>97</v>
      </c>
      <c r="N1890">
        <v>2024</v>
      </c>
      <c r="O1890" s="2" t="s">
        <v>152</v>
      </c>
      <c r="P1890" s="2" t="s">
        <v>154</v>
      </c>
      <c r="Q1890">
        <v>11</v>
      </c>
      <c r="R1890" s="4">
        <v>45597</v>
      </c>
      <c r="S1890" s="3">
        <v>7565500</v>
      </c>
      <c r="T1890" s="3">
        <v>46.15</v>
      </c>
    </row>
    <row r="1891" spans="1:20" x14ac:dyDescent="0.3">
      <c r="A1891" s="1">
        <v>45614</v>
      </c>
      <c r="B1891" s="2" t="s">
        <v>35</v>
      </c>
      <c r="C1891" s="2" t="s">
        <v>121</v>
      </c>
      <c r="D1891" s="2" t="s">
        <v>79</v>
      </c>
      <c r="E1891" s="2" t="s">
        <v>80</v>
      </c>
      <c r="F1891" s="2" t="s">
        <v>24</v>
      </c>
      <c r="G1891">
        <v>69</v>
      </c>
      <c r="H1891">
        <v>418</v>
      </c>
      <c r="I1891">
        <v>8</v>
      </c>
      <c r="J1891" s="3">
        <v>6123500</v>
      </c>
      <c r="K1891" s="3">
        <v>48988000</v>
      </c>
      <c r="L1891" s="2" t="s">
        <v>92</v>
      </c>
      <c r="M1891" s="2" t="s">
        <v>26</v>
      </c>
      <c r="N1891">
        <v>2024</v>
      </c>
      <c r="O1891" s="2" t="s">
        <v>152</v>
      </c>
      <c r="P1891" s="2" t="s">
        <v>154</v>
      </c>
      <c r="Q1891">
        <v>11</v>
      </c>
      <c r="R1891" s="4">
        <v>45597</v>
      </c>
      <c r="S1891" s="3">
        <v>6123500</v>
      </c>
      <c r="T1891" s="3">
        <v>4.9000000000000004</v>
      </c>
    </row>
    <row r="1892" spans="1:20" x14ac:dyDescent="0.3">
      <c r="A1892" s="1">
        <v>45615</v>
      </c>
      <c r="B1892" s="2" t="s">
        <v>40</v>
      </c>
      <c r="C1892" s="2" t="s">
        <v>136</v>
      </c>
      <c r="D1892" s="2" t="s">
        <v>63</v>
      </c>
      <c r="E1892" s="2" t="s">
        <v>64</v>
      </c>
      <c r="F1892" s="2" t="s">
        <v>24</v>
      </c>
      <c r="G1892">
        <v>3</v>
      </c>
      <c r="H1892">
        <v>127</v>
      </c>
      <c r="I1892">
        <v>77</v>
      </c>
      <c r="J1892" s="3">
        <v>154900</v>
      </c>
      <c r="K1892" s="3">
        <v>11927300</v>
      </c>
      <c r="L1892" s="2" t="s">
        <v>33</v>
      </c>
      <c r="M1892" s="2" t="s">
        <v>77</v>
      </c>
      <c r="N1892">
        <v>2024</v>
      </c>
      <c r="O1892" s="2" t="s">
        <v>152</v>
      </c>
      <c r="P1892" s="2" t="s">
        <v>154</v>
      </c>
      <c r="Q1892">
        <v>11</v>
      </c>
      <c r="R1892" s="4">
        <v>45597</v>
      </c>
      <c r="S1892" s="3">
        <v>154900</v>
      </c>
      <c r="T1892" s="3">
        <v>1.19</v>
      </c>
    </row>
    <row r="1893" spans="1:20" x14ac:dyDescent="0.3">
      <c r="A1893" s="1">
        <v>45615</v>
      </c>
      <c r="B1893" s="2" t="s">
        <v>52</v>
      </c>
      <c r="C1893" s="2" t="s">
        <v>116</v>
      </c>
      <c r="D1893" s="2" t="s">
        <v>88</v>
      </c>
      <c r="E1893" s="2" t="s">
        <v>89</v>
      </c>
      <c r="F1893" s="2" t="s">
        <v>24</v>
      </c>
      <c r="G1893">
        <v>82</v>
      </c>
      <c r="H1893">
        <v>580</v>
      </c>
      <c r="I1893">
        <v>28</v>
      </c>
      <c r="J1893" s="3">
        <v>5888700</v>
      </c>
      <c r="K1893" s="3">
        <v>164883600</v>
      </c>
      <c r="L1893" s="2" t="s">
        <v>33</v>
      </c>
      <c r="M1893" s="2" t="s">
        <v>26</v>
      </c>
      <c r="N1893">
        <v>2024</v>
      </c>
      <c r="O1893" s="2" t="s">
        <v>152</v>
      </c>
      <c r="P1893" s="2" t="s">
        <v>154</v>
      </c>
      <c r="Q1893">
        <v>11</v>
      </c>
      <c r="R1893" s="4">
        <v>45597</v>
      </c>
      <c r="S1893" s="3">
        <v>5888700</v>
      </c>
      <c r="T1893" s="3">
        <v>16.489999999999998</v>
      </c>
    </row>
    <row r="1894" spans="1:20" x14ac:dyDescent="0.3">
      <c r="A1894" s="1">
        <v>45615</v>
      </c>
      <c r="B1894" s="2" t="s">
        <v>75</v>
      </c>
      <c r="C1894" s="2" t="s">
        <v>76</v>
      </c>
      <c r="D1894" s="2" t="s">
        <v>70</v>
      </c>
      <c r="E1894" s="2" t="s">
        <v>71</v>
      </c>
      <c r="F1894" s="2" t="s">
        <v>72</v>
      </c>
      <c r="G1894">
        <v>50</v>
      </c>
      <c r="H1894">
        <v>46</v>
      </c>
      <c r="I1894">
        <v>138</v>
      </c>
      <c r="J1894" s="3">
        <v>2331900</v>
      </c>
      <c r="K1894" s="3">
        <v>321802200</v>
      </c>
      <c r="L1894" s="2" t="s">
        <v>33</v>
      </c>
      <c r="M1894" s="2" t="s">
        <v>26</v>
      </c>
      <c r="N1894">
        <v>2024</v>
      </c>
      <c r="O1894" s="2" t="s">
        <v>152</v>
      </c>
      <c r="P1894" s="2" t="s">
        <v>154</v>
      </c>
      <c r="Q1894">
        <v>11</v>
      </c>
      <c r="R1894" s="4">
        <v>45597</v>
      </c>
      <c r="S1894" s="3">
        <v>2331900</v>
      </c>
      <c r="T1894" s="3">
        <v>32.18</v>
      </c>
    </row>
    <row r="1895" spans="1:20" x14ac:dyDescent="0.3">
      <c r="A1895" s="1">
        <v>45616</v>
      </c>
      <c r="B1895" s="2" t="s">
        <v>52</v>
      </c>
      <c r="C1895" s="2" t="s">
        <v>53</v>
      </c>
      <c r="D1895" s="2" t="s">
        <v>100</v>
      </c>
      <c r="E1895" s="2" t="s">
        <v>101</v>
      </c>
      <c r="F1895" s="2" t="s">
        <v>24</v>
      </c>
      <c r="G1895">
        <v>3</v>
      </c>
      <c r="H1895">
        <v>150</v>
      </c>
      <c r="I1895">
        <v>132</v>
      </c>
      <c r="J1895" s="3">
        <v>176800</v>
      </c>
      <c r="K1895" s="3">
        <v>23337600</v>
      </c>
      <c r="L1895" s="2" t="s">
        <v>33</v>
      </c>
      <c r="M1895" s="2" t="s">
        <v>34</v>
      </c>
      <c r="N1895">
        <v>2024</v>
      </c>
      <c r="O1895" s="2" t="s">
        <v>152</v>
      </c>
      <c r="P1895" s="2" t="s">
        <v>154</v>
      </c>
      <c r="Q1895">
        <v>11</v>
      </c>
      <c r="R1895" s="4">
        <v>45597</v>
      </c>
      <c r="S1895" s="3">
        <v>176800</v>
      </c>
      <c r="T1895" s="3">
        <v>2.33</v>
      </c>
    </row>
    <row r="1896" spans="1:20" x14ac:dyDescent="0.3">
      <c r="A1896" s="1">
        <v>45616</v>
      </c>
      <c r="B1896" s="2" t="s">
        <v>48</v>
      </c>
      <c r="C1896" s="2" t="s">
        <v>98</v>
      </c>
      <c r="D1896" s="2" t="s">
        <v>88</v>
      </c>
      <c r="E1896" s="2" t="s">
        <v>111</v>
      </c>
      <c r="F1896" s="2" t="s">
        <v>24</v>
      </c>
      <c r="G1896">
        <v>60</v>
      </c>
      <c r="H1896">
        <v>480</v>
      </c>
      <c r="I1896">
        <v>4</v>
      </c>
      <c r="J1896" s="3">
        <v>3348900</v>
      </c>
      <c r="K1896" s="3">
        <v>13395600</v>
      </c>
      <c r="L1896" s="2" t="s">
        <v>33</v>
      </c>
      <c r="M1896" s="2" t="s">
        <v>34</v>
      </c>
      <c r="N1896">
        <v>2024</v>
      </c>
      <c r="O1896" s="2" t="s">
        <v>152</v>
      </c>
      <c r="P1896" s="2" t="s">
        <v>154</v>
      </c>
      <c r="Q1896">
        <v>11</v>
      </c>
      <c r="R1896" s="4">
        <v>45597</v>
      </c>
      <c r="S1896" s="3">
        <v>3348900</v>
      </c>
      <c r="T1896" s="3">
        <v>1.34</v>
      </c>
    </row>
    <row r="1897" spans="1:20" x14ac:dyDescent="0.3">
      <c r="A1897" s="1">
        <v>45617</v>
      </c>
      <c r="B1897" s="2" t="s">
        <v>90</v>
      </c>
      <c r="C1897" s="2" t="s">
        <v>114</v>
      </c>
      <c r="D1897" s="2" t="s">
        <v>54</v>
      </c>
      <c r="E1897" s="2" t="s">
        <v>55</v>
      </c>
      <c r="F1897" s="2" t="s">
        <v>24</v>
      </c>
      <c r="G1897">
        <v>30</v>
      </c>
      <c r="H1897">
        <v>320</v>
      </c>
      <c r="I1897">
        <v>38</v>
      </c>
      <c r="J1897" s="3">
        <v>1621200</v>
      </c>
      <c r="K1897" s="3">
        <v>61605600</v>
      </c>
      <c r="L1897" s="2" t="s">
        <v>33</v>
      </c>
      <c r="M1897" s="2" t="s">
        <v>97</v>
      </c>
      <c r="N1897">
        <v>2024</v>
      </c>
      <c r="O1897" s="2" t="s">
        <v>152</v>
      </c>
      <c r="P1897" s="2" t="s">
        <v>154</v>
      </c>
      <c r="Q1897">
        <v>11</v>
      </c>
      <c r="R1897" s="4">
        <v>45597</v>
      </c>
      <c r="S1897" s="3">
        <v>1621200</v>
      </c>
      <c r="T1897" s="3">
        <v>6.16</v>
      </c>
    </row>
    <row r="1898" spans="1:20" x14ac:dyDescent="0.3">
      <c r="A1898" s="1">
        <v>45617</v>
      </c>
      <c r="B1898" s="2" t="s">
        <v>29</v>
      </c>
      <c r="C1898" s="2" t="s">
        <v>104</v>
      </c>
      <c r="D1898" s="2" t="s">
        <v>88</v>
      </c>
      <c r="E1898" s="2" t="s">
        <v>89</v>
      </c>
      <c r="F1898" s="2" t="s">
        <v>39</v>
      </c>
      <c r="G1898">
        <v>82</v>
      </c>
      <c r="H1898">
        <v>580</v>
      </c>
      <c r="I1898">
        <v>35</v>
      </c>
      <c r="J1898" s="3">
        <v>6199100</v>
      </c>
      <c r="K1898" s="3">
        <v>216968500</v>
      </c>
      <c r="L1898" s="2" t="s">
        <v>33</v>
      </c>
      <c r="M1898" s="2" t="s">
        <v>77</v>
      </c>
      <c r="N1898">
        <v>2024</v>
      </c>
      <c r="O1898" s="2" t="s">
        <v>152</v>
      </c>
      <c r="P1898" s="2" t="s">
        <v>154</v>
      </c>
      <c r="Q1898">
        <v>11</v>
      </c>
      <c r="R1898" s="4">
        <v>45597</v>
      </c>
      <c r="S1898" s="3">
        <v>6199100</v>
      </c>
      <c r="T1898" s="3">
        <v>21.7</v>
      </c>
    </row>
    <row r="1899" spans="1:20" x14ac:dyDescent="0.3">
      <c r="A1899" s="1">
        <v>45617</v>
      </c>
      <c r="B1899" s="2" t="s">
        <v>20</v>
      </c>
      <c r="C1899" s="2" t="s">
        <v>112</v>
      </c>
      <c r="D1899" s="2" t="s">
        <v>94</v>
      </c>
      <c r="E1899" s="2" t="s">
        <v>115</v>
      </c>
      <c r="F1899" s="2" t="s">
        <v>24</v>
      </c>
      <c r="G1899">
        <v>24</v>
      </c>
      <c r="H1899">
        <v>24</v>
      </c>
      <c r="I1899">
        <v>162</v>
      </c>
      <c r="J1899" s="3">
        <v>1419400</v>
      </c>
      <c r="K1899" s="3">
        <v>229942800</v>
      </c>
      <c r="L1899" s="2" t="s">
        <v>33</v>
      </c>
      <c r="M1899" s="2" t="s">
        <v>26</v>
      </c>
      <c r="N1899">
        <v>2024</v>
      </c>
      <c r="O1899" s="2" t="s">
        <v>152</v>
      </c>
      <c r="P1899" s="2" t="s">
        <v>154</v>
      </c>
      <c r="Q1899">
        <v>11</v>
      </c>
      <c r="R1899" s="4">
        <v>45597</v>
      </c>
      <c r="S1899" s="3">
        <v>1419400</v>
      </c>
      <c r="T1899" s="3">
        <v>22.99</v>
      </c>
    </row>
    <row r="1900" spans="1:20" x14ac:dyDescent="0.3">
      <c r="A1900" s="1">
        <v>45617</v>
      </c>
      <c r="B1900" s="2" t="s">
        <v>75</v>
      </c>
      <c r="C1900" s="2" t="s">
        <v>134</v>
      </c>
      <c r="D1900" s="2" t="s">
        <v>102</v>
      </c>
      <c r="E1900" s="2" t="s">
        <v>103</v>
      </c>
      <c r="F1900" s="2" t="s">
        <v>24</v>
      </c>
      <c r="G1900">
        <v>5</v>
      </c>
      <c r="H1900">
        <v>150</v>
      </c>
      <c r="I1900">
        <v>170</v>
      </c>
      <c r="J1900" s="3">
        <v>159300</v>
      </c>
      <c r="K1900" s="3">
        <v>27081000</v>
      </c>
      <c r="L1900" s="2" t="s">
        <v>33</v>
      </c>
      <c r="M1900" s="2" t="s">
        <v>26</v>
      </c>
      <c r="N1900">
        <v>2024</v>
      </c>
      <c r="O1900" s="2" t="s">
        <v>152</v>
      </c>
      <c r="P1900" s="2" t="s">
        <v>154</v>
      </c>
      <c r="Q1900">
        <v>11</v>
      </c>
      <c r="R1900" s="4">
        <v>45597</v>
      </c>
      <c r="S1900" s="3">
        <v>159300</v>
      </c>
      <c r="T1900" s="3">
        <v>2.71</v>
      </c>
    </row>
    <row r="1901" spans="1:20" x14ac:dyDescent="0.3">
      <c r="A1901" s="1">
        <v>45617</v>
      </c>
      <c r="B1901" s="2" t="s">
        <v>75</v>
      </c>
      <c r="C1901" s="2" t="s">
        <v>122</v>
      </c>
      <c r="D1901" s="2" t="s">
        <v>57</v>
      </c>
      <c r="E1901" s="2" t="s">
        <v>58</v>
      </c>
      <c r="F1901" s="2" t="s">
        <v>24</v>
      </c>
      <c r="G1901">
        <v>72</v>
      </c>
      <c r="H1901">
        <v>488</v>
      </c>
      <c r="I1901">
        <v>33</v>
      </c>
      <c r="J1901" s="3">
        <v>5010200</v>
      </c>
      <c r="K1901" s="3">
        <v>165336600</v>
      </c>
      <c r="L1901" s="2" t="s">
        <v>33</v>
      </c>
      <c r="M1901" s="2" t="s">
        <v>34</v>
      </c>
      <c r="N1901">
        <v>2024</v>
      </c>
      <c r="O1901" s="2" t="s">
        <v>152</v>
      </c>
      <c r="P1901" s="2" t="s">
        <v>154</v>
      </c>
      <c r="Q1901">
        <v>11</v>
      </c>
      <c r="R1901" s="4">
        <v>45597</v>
      </c>
      <c r="S1901" s="3">
        <v>5010200</v>
      </c>
      <c r="T1901" s="3">
        <v>16.53</v>
      </c>
    </row>
    <row r="1902" spans="1:20" x14ac:dyDescent="0.3">
      <c r="A1902" s="1">
        <v>45618</v>
      </c>
      <c r="B1902" s="2" t="s">
        <v>29</v>
      </c>
      <c r="C1902" s="2" t="s">
        <v>30</v>
      </c>
      <c r="D1902" s="2" t="s">
        <v>54</v>
      </c>
      <c r="E1902" s="2" t="s">
        <v>55</v>
      </c>
      <c r="F1902" s="2" t="s">
        <v>72</v>
      </c>
      <c r="G1902">
        <v>30</v>
      </c>
      <c r="H1902">
        <v>320</v>
      </c>
      <c r="I1902">
        <v>28</v>
      </c>
      <c r="J1902" s="3">
        <v>1469400</v>
      </c>
      <c r="K1902" s="3">
        <v>41143200</v>
      </c>
      <c r="L1902" s="2" t="s">
        <v>25</v>
      </c>
      <c r="M1902" s="2" t="s">
        <v>34</v>
      </c>
      <c r="N1902">
        <v>2024</v>
      </c>
      <c r="O1902" s="2" t="s">
        <v>152</v>
      </c>
      <c r="P1902" s="2" t="s">
        <v>154</v>
      </c>
      <c r="Q1902">
        <v>11</v>
      </c>
      <c r="R1902" s="4">
        <v>45597</v>
      </c>
      <c r="S1902" s="3">
        <v>1469400</v>
      </c>
      <c r="T1902" s="3">
        <v>4.1100000000000003</v>
      </c>
    </row>
    <row r="1903" spans="1:20" x14ac:dyDescent="0.3">
      <c r="A1903" s="1">
        <v>45618</v>
      </c>
      <c r="B1903" s="2" t="s">
        <v>106</v>
      </c>
      <c r="C1903" s="2" t="s">
        <v>120</v>
      </c>
      <c r="D1903" s="2" t="s">
        <v>82</v>
      </c>
      <c r="E1903" s="2" t="s">
        <v>83</v>
      </c>
      <c r="F1903" s="2" t="s">
        <v>24</v>
      </c>
      <c r="G1903">
        <v>40</v>
      </c>
      <c r="H1903">
        <v>39</v>
      </c>
      <c r="I1903">
        <v>84</v>
      </c>
      <c r="J1903" s="3">
        <v>1953000</v>
      </c>
      <c r="K1903" s="3">
        <v>164052000</v>
      </c>
      <c r="L1903" s="2" t="s">
        <v>33</v>
      </c>
      <c r="M1903" s="2" t="s">
        <v>77</v>
      </c>
      <c r="N1903">
        <v>2024</v>
      </c>
      <c r="O1903" s="2" t="s">
        <v>152</v>
      </c>
      <c r="P1903" s="2" t="s">
        <v>154</v>
      </c>
      <c r="Q1903">
        <v>11</v>
      </c>
      <c r="R1903" s="4">
        <v>45597</v>
      </c>
      <c r="S1903" s="3">
        <v>1953000</v>
      </c>
      <c r="T1903" s="3">
        <v>16.41</v>
      </c>
    </row>
    <row r="1904" spans="1:20" x14ac:dyDescent="0.3">
      <c r="A1904" s="1">
        <v>45619</v>
      </c>
      <c r="B1904" s="2" t="s">
        <v>35</v>
      </c>
      <c r="C1904" s="2" t="s">
        <v>36</v>
      </c>
      <c r="D1904" s="2" t="s">
        <v>57</v>
      </c>
      <c r="E1904" s="2" t="s">
        <v>86</v>
      </c>
      <c r="F1904" s="2" t="s">
        <v>24</v>
      </c>
      <c r="G1904">
        <v>48</v>
      </c>
      <c r="H1904">
        <v>39</v>
      </c>
      <c r="I1904">
        <v>67</v>
      </c>
      <c r="J1904" s="3">
        <v>2092300</v>
      </c>
      <c r="K1904" s="3">
        <v>140184100</v>
      </c>
      <c r="L1904" s="2" t="s">
        <v>25</v>
      </c>
      <c r="M1904" s="2" t="s">
        <v>97</v>
      </c>
      <c r="N1904">
        <v>2024</v>
      </c>
      <c r="O1904" s="2" t="s">
        <v>152</v>
      </c>
      <c r="P1904" s="2" t="s">
        <v>154</v>
      </c>
      <c r="Q1904">
        <v>11</v>
      </c>
      <c r="R1904" s="4">
        <v>45597</v>
      </c>
      <c r="S1904" s="3">
        <v>2092300</v>
      </c>
      <c r="T1904" s="3">
        <v>14.02</v>
      </c>
    </row>
    <row r="1905" spans="1:20" x14ac:dyDescent="0.3">
      <c r="A1905" s="1">
        <v>45619</v>
      </c>
      <c r="B1905" s="2" t="s">
        <v>84</v>
      </c>
      <c r="C1905" s="2" t="s">
        <v>113</v>
      </c>
      <c r="D1905" s="2" t="s">
        <v>57</v>
      </c>
      <c r="E1905" s="2" t="s">
        <v>86</v>
      </c>
      <c r="F1905" s="2" t="s">
        <v>24</v>
      </c>
      <c r="G1905">
        <v>48</v>
      </c>
      <c r="H1905">
        <v>39</v>
      </c>
      <c r="I1905">
        <v>74</v>
      </c>
      <c r="J1905" s="3">
        <v>2031100</v>
      </c>
      <c r="K1905" s="3">
        <v>150301400</v>
      </c>
      <c r="L1905" s="2" t="s">
        <v>33</v>
      </c>
      <c r="M1905" s="2" t="s">
        <v>34</v>
      </c>
      <c r="N1905">
        <v>2024</v>
      </c>
      <c r="O1905" s="2" t="s">
        <v>152</v>
      </c>
      <c r="P1905" s="2" t="s">
        <v>154</v>
      </c>
      <c r="Q1905">
        <v>11</v>
      </c>
      <c r="R1905" s="4">
        <v>45597</v>
      </c>
      <c r="S1905" s="3">
        <v>2031100</v>
      </c>
      <c r="T1905" s="3">
        <v>15.03</v>
      </c>
    </row>
    <row r="1906" spans="1:20" x14ac:dyDescent="0.3">
      <c r="A1906" s="1">
        <v>45619</v>
      </c>
      <c r="B1906" s="2" t="s">
        <v>52</v>
      </c>
      <c r="C1906" s="2" t="s">
        <v>53</v>
      </c>
      <c r="D1906" s="2" t="s">
        <v>82</v>
      </c>
      <c r="E1906" s="2" t="s">
        <v>141</v>
      </c>
      <c r="F1906" s="2" t="s">
        <v>72</v>
      </c>
      <c r="G1906">
        <v>59</v>
      </c>
      <c r="H1906">
        <v>55</v>
      </c>
      <c r="I1906">
        <v>116</v>
      </c>
      <c r="J1906" s="3">
        <v>2889400</v>
      </c>
      <c r="K1906" s="3">
        <v>335170400</v>
      </c>
      <c r="L1906" s="2" t="s">
        <v>33</v>
      </c>
      <c r="M1906" s="2" t="s">
        <v>26</v>
      </c>
      <c r="N1906">
        <v>2024</v>
      </c>
      <c r="O1906" s="2" t="s">
        <v>152</v>
      </c>
      <c r="P1906" s="2" t="s">
        <v>154</v>
      </c>
      <c r="Q1906">
        <v>11</v>
      </c>
      <c r="R1906" s="4">
        <v>45597</v>
      </c>
      <c r="S1906" s="3">
        <v>2889400</v>
      </c>
      <c r="T1906" s="3">
        <v>33.520000000000003</v>
      </c>
    </row>
    <row r="1907" spans="1:20" x14ac:dyDescent="0.3">
      <c r="A1907" s="1">
        <v>45619</v>
      </c>
      <c r="B1907" s="2" t="s">
        <v>20</v>
      </c>
      <c r="C1907" s="2" t="s">
        <v>125</v>
      </c>
      <c r="D1907" s="2" t="s">
        <v>42</v>
      </c>
      <c r="E1907" s="2" t="s">
        <v>43</v>
      </c>
      <c r="F1907" s="2" t="s">
        <v>24</v>
      </c>
      <c r="G1907">
        <v>3</v>
      </c>
      <c r="H1907">
        <v>135</v>
      </c>
      <c r="I1907">
        <v>106</v>
      </c>
      <c r="J1907" s="3">
        <v>136600</v>
      </c>
      <c r="K1907" s="3">
        <v>14479600</v>
      </c>
      <c r="L1907" s="2" t="s">
        <v>33</v>
      </c>
      <c r="M1907" s="2" t="s">
        <v>26</v>
      </c>
      <c r="N1907">
        <v>2024</v>
      </c>
      <c r="O1907" s="2" t="s">
        <v>152</v>
      </c>
      <c r="P1907" s="2" t="s">
        <v>154</v>
      </c>
      <c r="Q1907">
        <v>11</v>
      </c>
      <c r="R1907" s="4">
        <v>45597</v>
      </c>
      <c r="S1907" s="3">
        <v>136600</v>
      </c>
      <c r="T1907" s="3">
        <v>1.45</v>
      </c>
    </row>
    <row r="1908" spans="1:20" x14ac:dyDescent="0.3">
      <c r="A1908" s="1">
        <v>45620</v>
      </c>
      <c r="B1908" s="2" t="s">
        <v>75</v>
      </c>
      <c r="C1908" s="2" t="s">
        <v>122</v>
      </c>
      <c r="D1908" s="2" t="s">
        <v>70</v>
      </c>
      <c r="E1908" s="2" t="s">
        <v>74</v>
      </c>
      <c r="F1908" s="2" t="s">
        <v>72</v>
      </c>
      <c r="G1908">
        <v>25</v>
      </c>
      <c r="H1908">
        <v>32</v>
      </c>
      <c r="I1908">
        <v>11</v>
      </c>
      <c r="J1908" s="3">
        <v>1236200</v>
      </c>
      <c r="K1908" s="3">
        <v>13598200</v>
      </c>
      <c r="L1908" s="2" t="s">
        <v>33</v>
      </c>
      <c r="M1908" s="2" t="s">
        <v>26</v>
      </c>
      <c r="N1908">
        <v>2024</v>
      </c>
      <c r="O1908" s="2" t="s">
        <v>152</v>
      </c>
      <c r="P1908" s="2" t="s">
        <v>154</v>
      </c>
      <c r="Q1908">
        <v>11</v>
      </c>
      <c r="R1908" s="4">
        <v>45597</v>
      </c>
      <c r="S1908" s="3">
        <v>1236200</v>
      </c>
      <c r="T1908" s="3">
        <v>1.36</v>
      </c>
    </row>
    <row r="1909" spans="1:20" x14ac:dyDescent="0.3">
      <c r="A1909" s="1">
        <v>45620</v>
      </c>
      <c r="B1909" s="2" t="s">
        <v>59</v>
      </c>
      <c r="C1909" s="2" t="s">
        <v>129</v>
      </c>
      <c r="D1909" s="2" t="s">
        <v>100</v>
      </c>
      <c r="E1909" s="2" t="s">
        <v>101</v>
      </c>
      <c r="F1909" s="2" t="s">
        <v>24</v>
      </c>
      <c r="G1909">
        <v>3</v>
      </c>
      <c r="H1909">
        <v>150</v>
      </c>
      <c r="I1909">
        <v>62</v>
      </c>
      <c r="J1909" s="3">
        <v>177700</v>
      </c>
      <c r="K1909" s="3">
        <v>11017400</v>
      </c>
      <c r="L1909" s="2" t="s">
        <v>33</v>
      </c>
      <c r="M1909" s="2" t="s">
        <v>77</v>
      </c>
      <c r="N1909">
        <v>2024</v>
      </c>
      <c r="O1909" s="2" t="s">
        <v>152</v>
      </c>
      <c r="P1909" s="2" t="s">
        <v>154</v>
      </c>
      <c r="Q1909">
        <v>11</v>
      </c>
      <c r="R1909" s="4">
        <v>45597</v>
      </c>
      <c r="S1909" s="3">
        <v>177700</v>
      </c>
      <c r="T1909" s="3">
        <v>1.1000000000000001</v>
      </c>
    </row>
    <row r="1910" spans="1:20" x14ac:dyDescent="0.3">
      <c r="A1910" s="1">
        <v>45621</v>
      </c>
      <c r="B1910" s="2" t="s">
        <v>20</v>
      </c>
      <c r="C1910" s="2" t="s">
        <v>21</v>
      </c>
      <c r="D1910" s="2" t="s">
        <v>54</v>
      </c>
      <c r="E1910" s="2" t="s">
        <v>55</v>
      </c>
      <c r="F1910" s="2" t="s">
        <v>39</v>
      </c>
      <c r="G1910">
        <v>30</v>
      </c>
      <c r="H1910">
        <v>320</v>
      </c>
      <c r="I1910">
        <v>53</v>
      </c>
      <c r="J1910" s="3">
        <v>1305800</v>
      </c>
      <c r="K1910" s="3">
        <v>69207400</v>
      </c>
      <c r="L1910" s="2" t="s">
        <v>33</v>
      </c>
      <c r="M1910" s="2" t="s">
        <v>26</v>
      </c>
      <c r="N1910">
        <v>2024</v>
      </c>
      <c r="O1910" s="2" t="s">
        <v>152</v>
      </c>
      <c r="P1910" s="2" t="s">
        <v>154</v>
      </c>
      <c r="Q1910">
        <v>11</v>
      </c>
      <c r="R1910" s="4">
        <v>45597</v>
      </c>
      <c r="S1910" s="3">
        <v>1305800</v>
      </c>
      <c r="T1910" s="3">
        <v>6.92</v>
      </c>
    </row>
    <row r="1911" spans="1:20" x14ac:dyDescent="0.3">
      <c r="A1911" s="1">
        <v>45621</v>
      </c>
      <c r="B1911" s="2" t="s">
        <v>20</v>
      </c>
      <c r="C1911" s="2" t="s">
        <v>112</v>
      </c>
      <c r="D1911" s="2" t="s">
        <v>50</v>
      </c>
      <c r="E1911" s="2" t="s">
        <v>51</v>
      </c>
      <c r="F1911" s="2" t="s">
        <v>24</v>
      </c>
      <c r="G1911">
        <v>77</v>
      </c>
      <c r="H1911">
        <v>528</v>
      </c>
      <c r="I1911">
        <v>31</v>
      </c>
      <c r="J1911" s="3">
        <v>4878300</v>
      </c>
      <c r="K1911" s="3">
        <v>151227300</v>
      </c>
      <c r="L1911" s="2" t="s">
        <v>25</v>
      </c>
      <c r="M1911" s="2" t="s">
        <v>77</v>
      </c>
      <c r="N1911">
        <v>2024</v>
      </c>
      <c r="O1911" s="2" t="s">
        <v>152</v>
      </c>
      <c r="P1911" s="2" t="s">
        <v>154</v>
      </c>
      <c r="Q1911">
        <v>11</v>
      </c>
      <c r="R1911" s="4">
        <v>45597</v>
      </c>
      <c r="S1911" s="3">
        <v>4878300</v>
      </c>
      <c r="T1911" s="3">
        <v>15.12</v>
      </c>
    </row>
    <row r="1912" spans="1:20" x14ac:dyDescent="0.3">
      <c r="A1912" s="1">
        <v>45622</v>
      </c>
      <c r="B1912" s="2" t="s">
        <v>20</v>
      </c>
      <c r="C1912" s="2" t="s">
        <v>112</v>
      </c>
      <c r="D1912" s="2" t="s">
        <v>22</v>
      </c>
      <c r="E1912" s="2" t="s">
        <v>23</v>
      </c>
      <c r="F1912" s="2" t="s">
        <v>72</v>
      </c>
      <c r="G1912">
        <v>82</v>
      </c>
      <c r="H1912">
        <v>520</v>
      </c>
      <c r="I1912">
        <v>46</v>
      </c>
      <c r="J1912" s="3">
        <v>7179900</v>
      </c>
      <c r="K1912" s="3">
        <v>330275400</v>
      </c>
      <c r="L1912" s="2" t="s">
        <v>33</v>
      </c>
      <c r="M1912" s="2" t="s">
        <v>26</v>
      </c>
      <c r="N1912">
        <v>2024</v>
      </c>
      <c r="O1912" s="2" t="s">
        <v>152</v>
      </c>
      <c r="P1912" s="2" t="s">
        <v>154</v>
      </c>
      <c r="Q1912">
        <v>11</v>
      </c>
      <c r="R1912" s="4">
        <v>45597</v>
      </c>
      <c r="S1912" s="3">
        <v>7179900</v>
      </c>
      <c r="T1912" s="3">
        <v>33.03</v>
      </c>
    </row>
    <row r="1913" spans="1:20" x14ac:dyDescent="0.3">
      <c r="A1913" s="1">
        <v>45623</v>
      </c>
      <c r="B1913" s="2" t="s">
        <v>59</v>
      </c>
      <c r="C1913" s="2" t="s">
        <v>135</v>
      </c>
      <c r="D1913" s="2" t="s">
        <v>82</v>
      </c>
      <c r="E1913" s="2" t="s">
        <v>141</v>
      </c>
      <c r="F1913" s="2" t="s">
        <v>39</v>
      </c>
      <c r="G1913">
        <v>59</v>
      </c>
      <c r="H1913">
        <v>55</v>
      </c>
      <c r="I1913">
        <v>168</v>
      </c>
      <c r="J1913" s="3">
        <v>3081100</v>
      </c>
      <c r="K1913" s="3">
        <v>517624800</v>
      </c>
      <c r="L1913" s="2" t="s">
        <v>33</v>
      </c>
      <c r="M1913" s="2" t="s">
        <v>77</v>
      </c>
      <c r="N1913">
        <v>2024</v>
      </c>
      <c r="O1913" s="2" t="s">
        <v>152</v>
      </c>
      <c r="P1913" s="2" t="s">
        <v>154</v>
      </c>
      <c r="Q1913">
        <v>11</v>
      </c>
      <c r="R1913" s="4">
        <v>45597</v>
      </c>
      <c r="S1913" s="3">
        <v>3081100</v>
      </c>
      <c r="T1913" s="3">
        <v>51.76</v>
      </c>
    </row>
    <row r="1914" spans="1:20" x14ac:dyDescent="0.3">
      <c r="A1914" s="1">
        <v>45624</v>
      </c>
      <c r="B1914" s="2" t="s">
        <v>48</v>
      </c>
      <c r="C1914" s="2" t="s">
        <v>73</v>
      </c>
      <c r="D1914" s="2" t="s">
        <v>54</v>
      </c>
      <c r="E1914" s="2" t="s">
        <v>55</v>
      </c>
      <c r="F1914" s="2" t="s">
        <v>24</v>
      </c>
      <c r="G1914">
        <v>30</v>
      </c>
      <c r="H1914">
        <v>320</v>
      </c>
      <c r="I1914">
        <v>46</v>
      </c>
      <c r="J1914" s="3">
        <v>1460100</v>
      </c>
      <c r="K1914" s="3">
        <v>67164600</v>
      </c>
      <c r="L1914" s="2" t="s">
        <v>33</v>
      </c>
      <c r="M1914" s="2" t="s">
        <v>77</v>
      </c>
      <c r="N1914">
        <v>2024</v>
      </c>
      <c r="O1914" s="2" t="s">
        <v>152</v>
      </c>
      <c r="P1914" s="2" t="s">
        <v>154</v>
      </c>
      <c r="Q1914">
        <v>11</v>
      </c>
      <c r="R1914" s="4">
        <v>45597</v>
      </c>
      <c r="S1914" s="3">
        <v>1460100</v>
      </c>
      <c r="T1914" s="3">
        <v>6.72</v>
      </c>
    </row>
    <row r="1915" spans="1:20" x14ac:dyDescent="0.3">
      <c r="A1915" s="1">
        <v>45624</v>
      </c>
      <c r="B1915" s="2" t="s">
        <v>48</v>
      </c>
      <c r="C1915" s="2" t="s">
        <v>69</v>
      </c>
      <c r="D1915" s="2" t="s">
        <v>54</v>
      </c>
      <c r="E1915" s="2" t="s">
        <v>55</v>
      </c>
      <c r="F1915" s="2" t="s">
        <v>24</v>
      </c>
      <c r="G1915">
        <v>30</v>
      </c>
      <c r="H1915">
        <v>320</v>
      </c>
      <c r="I1915">
        <v>33</v>
      </c>
      <c r="J1915" s="3">
        <v>1272200</v>
      </c>
      <c r="K1915" s="3">
        <v>41982600</v>
      </c>
      <c r="L1915" s="2" t="s">
        <v>33</v>
      </c>
      <c r="M1915" s="2" t="s">
        <v>77</v>
      </c>
      <c r="N1915">
        <v>2024</v>
      </c>
      <c r="O1915" s="2" t="s">
        <v>152</v>
      </c>
      <c r="P1915" s="2" t="s">
        <v>154</v>
      </c>
      <c r="Q1915">
        <v>11</v>
      </c>
      <c r="R1915" s="4">
        <v>45597</v>
      </c>
      <c r="S1915" s="3">
        <v>1272200</v>
      </c>
      <c r="T1915" s="3">
        <v>4.2</v>
      </c>
    </row>
    <row r="1916" spans="1:20" x14ac:dyDescent="0.3">
      <c r="A1916" s="1">
        <v>45624</v>
      </c>
      <c r="B1916" s="2" t="s">
        <v>40</v>
      </c>
      <c r="C1916" s="2" t="s">
        <v>136</v>
      </c>
      <c r="D1916" s="2" t="s">
        <v>57</v>
      </c>
      <c r="E1916" s="2" t="s">
        <v>58</v>
      </c>
      <c r="F1916" s="2" t="s">
        <v>24</v>
      </c>
      <c r="G1916">
        <v>72</v>
      </c>
      <c r="H1916">
        <v>488</v>
      </c>
      <c r="I1916">
        <v>70</v>
      </c>
      <c r="J1916" s="3">
        <v>5004200</v>
      </c>
      <c r="K1916" s="3">
        <v>350294000</v>
      </c>
      <c r="L1916" s="2" t="s">
        <v>33</v>
      </c>
      <c r="M1916" s="2" t="s">
        <v>26</v>
      </c>
      <c r="N1916">
        <v>2024</v>
      </c>
      <c r="O1916" s="2" t="s">
        <v>152</v>
      </c>
      <c r="P1916" s="2" t="s">
        <v>154</v>
      </c>
      <c r="Q1916">
        <v>11</v>
      </c>
      <c r="R1916" s="4">
        <v>45597</v>
      </c>
      <c r="S1916" s="3">
        <v>5004200</v>
      </c>
      <c r="T1916" s="3">
        <v>35.03</v>
      </c>
    </row>
    <row r="1917" spans="1:20" x14ac:dyDescent="0.3">
      <c r="A1917" s="1">
        <v>45624</v>
      </c>
      <c r="B1917" s="2" t="s">
        <v>48</v>
      </c>
      <c r="C1917" s="2" t="s">
        <v>73</v>
      </c>
      <c r="D1917" s="2" t="s">
        <v>31</v>
      </c>
      <c r="E1917" s="2" t="s">
        <v>124</v>
      </c>
      <c r="F1917" s="2" t="s">
        <v>24</v>
      </c>
      <c r="G1917">
        <v>3</v>
      </c>
      <c r="H1917">
        <v>151</v>
      </c>
      <c r="I1917">
        <v>140</v>
      </c>
      <c r="J1917" s="3">
        <v>117300</v>
      </c>
      <c r="K1917" s="3">
        <v>16422000</v>
      </c>
      <c r="L1917" s="2" t="s">
        <v>33</v>
      </c>
      <c r="M1917" s="2" t="s">
        <v>34</v>
      </c>
      <c r="N1917">
        <v>2024</v>
      </c>
      <c r="O1917" s="2" t="s">
        <v>152</v>
      </c>
      <c r="P1917" s="2" t="s">
        <v>154</v>
      </c>
      <c r="Q1917">
        <v>11</v>
      </c>
      <c r="R1917" s="4">
        <v>45597</v>
      </c>
      <c r="S1917" s="3">
        <v>117300</v>
      </c>
      <c r="T1917" s="3">
        <v>1.64</v>
      </c>
    </row>
    <row r="1918" spans="1:20" x14ac:dyDescent="0.3">
      <c r="A1918" s="1">
        <v>45624</v>
      </c>
      <c r="B1918" s="2" t="s">
        <v>35</v>
      </c>
      <c r="C1918" s="2" t="s">
        <v>36</v>
      </c>
      <c r="D1918" s="2" t="s">
        <v>22</v>
      </c>
      <c r="E1918" s="2" t="s">
        <v>23</v>
      </c>
      <c r="F1918" s="2" t="s">
        <v>24</v>
      </c>
      <c r="G1918">
        <v>82</v>
      </c>
      <c r="H1918">
        <v>520</v>
      </c>
      <c r="I1918">
        <v>38</v>
      </c>
      <c r="J1918" s="3">
        <v>7335500</v>
      </c>
      <c r="K1918" s="3">
        <v>278749000</v>
      </c>
      <c r="L1918" s="2" t="s">
        <v>33</v>
      </c>
      <c r="M1918" s="2" t="s">
        <v>26</v>
      </c>
      <c r="N1918">
        <v>2024</v>
      </c>
      <c r="O1918" s="2" t="s">
        <v>152</v>
      </c>
      <c r="P1918" s="2" t="s">
        <v>154</v>
      </c>
      <c r="Q1918">
        <v>11</v>
      </c>
      <c r="R1918" s="4">
        <v>45597</v>
      </c>
      <c r="S1918" s="3">
        <v>7335500</v>
      </c>
      <c r="T1918" s="3">
        <v>27.87</v>
      </c>
    </row>
    <row r="1919" spans="1:20" x14ac:dyDescent="0.3">
      <c r="A1919" s="1">
        <v>45625</v>
      </c>
      <c r="B1919" s="2" t="s">
        <v>48</v>
      </c>
      <c r="C1919" s="2" t="s">
        <v>73</v>
      </c>
      <c r="D1919" s="2" t="s">
        <v>82</v>
      </c>
      <c r="E1919" s="2" t="s">
        <v>141</v>
      </c>
      <c r="F1919" s="2" t="s">
        <v>24</v>
      </c>
      <c r="G1919">
        <v>59</v>
      </c>
      <c r="H1919">
        <v>55</v>
      </c>
      <c r="I1919">
        <v>69</v>
      </c>
      <c r="J1919" s="3">
        <v>2515200</v>
      </c>
      <c r="K1919" s="3">
        <v>173548800</v>
      </c>
      <c r="L1919" s="2" t="s">
        <v>92</v>
      </c>
      <c r="M1919" s="2" t="s">
        <v>34</v>
      </c>
      <c r="N1919">
        <v>2024</v>
      </c>
      <c r="O1919" s="2" t="s">
        <v>152</v>
      </c>
      <c r="P1919" s="2" t="s">
        <v>154</v>
      </c>
      <c r="Q1919">
        <v>11</v>
      </c>
      <c r="R1919" s="4">
        <v>45597</v>
      </c>
      <c r="S1919" s="3">
        <v>2515200</v>
      </c>
      <c r="T1919" s="3">
        <v>17.350000000000001</v>
      </c>
    </row>
    <row r="1920" spans="1:20" x14ac:dyDescent="0.3">
      <c r="A1920" s="1">
        <v>45625</v>
      </c>
      <c r="B1920" s="2" t="s">
        <v>35</v>
      </c>
      <c r="C1920" s="2" t="s">
        <v>121</v>
      </c>
      <c r="D1920" s="2" t="s">
        <v>94</v>
      </c>
      <c r="E1920" s="2" t="s">
        <v>115</v>
      </c>
      <c r="F1920" s="2" t="s">
        <v>24</v>
      </c>
      <c r="G1920">
        <v>24</v>
      </c>
      <c r="H1920">
        <v>24</v>
      </c>
      <c r="I1920">
        <v>74</v>
      </c>
      <c r="J1920" s="3">
        <v>1277900</v>
      </c>
      <c r="K1920" s="3">
        <v>94564600</v>
      </c>
      <c r="L1920" s="2" t="s">
        <v>33</v>
      </c>
      <c r="M1920" s="2" t="s">
        <v>26</v>
      </c>
      <c r="N1920">
        <v>2024</v>
      </c>
      <c r="O1920" s="2" t="s">
        <v>152</v>
      </c>
      <c r="P1920" s="2" t="s">
        <v>154</v>
      </c>
      <c r="Q1920">
        <v>11</v>
      </c>
      <c r="R1920" s="4">
        <v>45597</v>
      </c>
      <c r="S1920" s="3">
        <v>1277900</v>
      </c>
      <c r="T1920" s="3">
        <v>9.4600000000000009</v>
      </c>
    </row>
    <row r="1921" spans="1:20" x14ac:dyDescent="0.3">
      <c r="A1921" s="1">
        <v>45625</v>
      </c>
      <c r="B1921" s="2" t="s">
        <v>35</v>
      </c>
      <c r="C1921" s="2" t="s">
        <v>121</v>
      </c>
      <c r="D1921" s="2" t="s">
        <v>100</v>
      </c>
      <c r="E1921" s="2" t="s">
        <v>101</v>
      </c>
      <c r="F1921" s="2" t="s">
        <v>24</v>
      </c>
      <c r="G1921">
        <v>3</v>
      </c>
      <c r="H1921">
        <v>150</v>
      </c>
      <c r="I1921">
        <v>78</v>
      </c>
      <c r="J1921" s="3">
        <v>172300</v>
      </c>
      <c r="K1921" s="3">
        <v>13439400</v>
      </c>
      <c r="L1921" s="2" t="s">
        <v>33</v>
      </c>
      <c r="M1921" s="2" t="s">
        <v>77</v>
      </c>
      <c r="N1921">
        <v>2024</v>
      </c>
      <c r="O1921" s="2" t="s">
        <v>152</v>
      </c>
      <c r="P1921" s="2" t="s">
        <v>154</v>
      </c>
      <c r="Q1921">
        <v>11</v>
      </c>
      <c r="R1921" s="4">
        <v>45597</v>
      </c>
      <c r="S1921" s="3">
        <v>172300</v>
      </c>
      <c r="T1921" s="3">
        <v>1.34</v>
      </c>
    </row>
    <row r="1922" spans="1:20" x14ac:dyDescent="0.3">
      <c r="A1922" s="1">
        <v>45626</v>
      </c>
      <c r="B1922" s="2" t="s">
        <v>90</v>
      </c>
      <c r="C1922" s="2" t="s">
        <v>91</v>
      </c>
      <c r="D1922" s="2" t="s">
        <v>88</v>
      </c>
      <c r="E1922" s="2" t="s">
        <v>89</v>
      </c>
      <c r="F1922" s="2" t="s">
        <v>24</v>
      </c>
      <c r="G1922">
        <v>82</v>
      </c>
      <c r="H1922">
        <v>580</v>
      </c>
      <c r="I1922">
        <v>28</v>
      </c>
      <c r="J1922" s="3">
        <v>4952200</v>
      </c>
      <c r="K1922" s="3">
        <v>138661600</v>
      </c>
      <c r="L1922" s="2" t="s">
        <v>33</v>
      </c>
      <c r="M1922" s="2" t="s">
        <v>34</v>
      </c>
      <c r="N1922">
        <v>2024</v>
      </c>
      <c r="O1922" s="2" t="s">
        <v>152</v>
      </c>
      <c r="P1922" s="2" t="s">
        <v>154</v>
      </c>
      <c r="Q1922">
        <v>11</v>
      </c>
      <c r="R1922" s="4">
        <v>45597</v>
      </c>
      <c r="S1922" s="3">
        <v>4952200</v>
      </c>
      <c r="T1922" s="3">
        <v>13.87</v>
      </c>
    </row>
    <row r="1923" spans="1:20" x14ac:dyDescent="0.3">
      <c r="A1923" s="1">
        <v>45626</v>
      </c>
      <c r="B1923" s="2" t="s">
        <v>90</v>
      </c>
      <c r="C1923" s="2" t="s">
        <v>128</v>
      </c>
      <c r="D1923" s="2" t="s">
        <v>54</v>
      </c>
      <c r="E1923" s="2" t="s">
        <v>55</v>
      </c>
      <c r="F1923" s="2" t="s">
        <v>24</v>
      </c>
      <c r="G1923">
        <v>30</v>
      </c>
      <c r="H1923">
        <v>320</v>
      </c>
      <c r="I1923">
        <v>33</v>
      </c>
      <c r="J1923" s="3">
        <v>1597100</v>
      </c>
      <c r="K1923" s="3">
        <v>52704300</v>
      </c>
      <c r="L1923" s="2" t="s">
        <v>33</v>
      </c>
      <c r="M1923" s="2" t="s">
        <v>26</v>
      </c>
      <c r="N1923">
        <v>2024</v>
      </c>
      <c r="O1923" s="2" t="s">
        <v>152</v>
      </c>
      <c r="P1923" s="2" t="s">
        <v>154</v>
      </c>
      <c r="Q1923">
        <v>11</v>
      </c>
      <c r="R1923" s="4">
        <v>45597</v>
      </c>
      <c r="S1923" s="3">
        <v>1597100</v>
      </c>
      <c r="T1923" s="3">
        <v>5.27</v>
      </c>
    </row>
    <row r="1924" spans="1:20" x14ac:dyDescent="0.3">
      <c r="A1924" s="1">
        <v>45627</v>
      </c>
      <c r="B1924" s="2" t="s">
        <v>90</v>
      </c>
      <c r="C1924" s="2" t="s">
        <v>99</v>
      </c>
      <c r="D1924" s="2" t="s">
        <v>50</v>
      </c>
      <c r="E1924" s="2" t="s">
        <v>51</v>
      </c>
      <c r="F1924" s="2" t="s">
        <v>72</v>
      </c>
      <c r="G1924">
        <v>77</v>
      </c>
      <c r="H1924">
        <v>528</v>
      </c>
      <c r="I1924">
        <v>8</v>
      </c>
      <c r="J1924" s="3">
        <v>5297500</v>
      </c>
      <c r="K1924" s="3">
        <v>42380000</v>
      </c>
      <c r="L1924" s="2" t="s">
        <v>92</v>
      </c>
      <c r="M1924" s="2" t="s">
        <v>26</v>
      </c>
      <c r="N1924">
        <v>2024</v>
      </c>
      <c r="O1924" s="2" t="s">
        <v>152</v>
      </c>
      <c r="P1924" s="2" t="s">
        <v>155</v>
      </c>
      <c r="Q1924">
        <v>12</v>
      </c>
      <c r="R1924" s="4">
        <v>45627</v>
      </c>
      <c r="S1924" s="3">
        <v>5297500</v>
      </c>
      <c r="T1924" s="3">
        <v>4.24</v>
      </c>
    </row>
    <row r="1925" spans="1:20" x14ac:dyDescent="0.3">
      <c r="A1925" s="1">
        <v>45627</v>
      </c>
      <c r="B1925" s="2" t="s">
        <v>46</v>
      </c>
      <c r="C1925" s="2" t="s">
        <v>47</v>
      </c>
      <c r="D1925" s="2" t="s">
        <v>70</v>
      </c>
      <c r="E1925" s="2" t="s">
        <v>74</v>
      </c>
      <c r="F1925" s="2" t="s">
        <v>24</v>
      </c>
      <c r="G1925">
        <v>25</v>
      </c>
      <c r="H1925">
        <v>32</v>
      </c>
      <c r="I1925">
        <v>18</v>
      </c>
      <c r="J1925" s="3">
        <v>1218800</v>
      </c>
      <c r="K1925" s="3">
        <v>21938400</v>
      </c>
      <c r="L1925" s="2" t="s">
        <v>25</v>
      </c>
      <c r="M1925" s="2" t="s">
        <v>77</v>
      </c>
      <c r="N1925">
        <v>2024</v>
      </c>
      <c r="O1925" s="2" t="s">
        <v>152</v>
      </c>
      <c r="P1925" s="2" t="s">
        <v>155</v>
      </c>
      <c r="Q1925">
        <v>12</v>
      </c>
      <c r="R1925" s="4">
        <v>45627</v>
      </c>
      <c r="S1925" s="3">
        <v>1218800</v>
      </c>
      <c r="T1925" s="3">
        <v>2.19</v>
      </c>
    </row>
    <row r="1926" spans="1:20" x14ac:dyDescent="0.3">
      <c r="A1926" s="1">
        <v>45627</v>
      </c>
      <c r="B1926" s="2" t="s">
        <v>61</v>
      </c>
      <c r="C1926" s="2" t="s">
        <v>127</v>
      </c>
      <c r="D1926" s="2" t="s">
        <v>31</v>
      </c>
      <c r="E1926" s="2" t="s">
        <v>124</v>
      </c>
      <c r="F1926" s="2" t="s">
        <v>24</v>
      </c>
      <c r="G1926">
        <v>3</v>
      </c>
      <c r="H1926">
        <v>151</v>
      </c>
      <c r="I1926">
        <v>174</v>
      </c>
      <c r="J1926" s="3">
        <v>115400</v>
      </c>
      <c r="K1926" s="3">
        <v>20079600</v>
      </c>
      <c r="L1926" s="2" t="s">
        <v>33</v>
      </c>
      <c r="M1926" s="2" t="s">
        <v>34</v>
      </c>
      <c r="N1926">
        <v>2024</v>
      </c>
      <c r="O1926" s="2" t="s">
        <v>152</v>
      </c>
      <c r="P1926" s="2" t="s">
        <v>155</v>
      </c>
      <c r="Q1926">
        <v>12</v>
      </c>
      <c r="R1926" s="4">
        <v>45627</v>
      </c>
      <c r="S1926" s="3">
        <v>115400</v>
      </c>
      <c r="T1926" s="3">
        <v>2.0099999999999998</v>
      </c>
    </row>
    <row r="1927" spans="1:20" x14ac:dyDescent="0.3">
      <c r="A1927" s="1">
        <v>45627</v>
      </c>
      <c r="B1927" s="2" t="s">
        <v>48</v>
      </c>
      <c r="C1927" s="2" t="s">
        <v>73</v>
      </c>
      <c r="D1927" s="2" t="s">
        <v>102</v>
      </c>
      <c r="E1927" s="2" t="s">
        <v>103</v>
      </c>
      <c r="F1927" s="2" t="s">
        <v>24</v>
      </c>
      <c r="G1927">
        <v>5</v>
      </c>
      <c r="H1927">
        <v>150</v>
      </c>
      <c r="I1927">
        <v>131</v>
      </c>
      <c r="J1927" s="3">
        <v>182600</v>
      </c>
      <c r="K1927" s="3">
        <v>23920600</v>
      </c>
      <c r="L1927" s="2" t="s">
        <v>33</v>
      </c>
      <c r="M1927" s="2" t="s">
        <v>77</v>
      </c>
      <c r="N1927">
        <v>2024</v>
      </c>
      <c r="O1927" s="2" t="s">
        <v>152</v>
      </c>
      <c r="P1927" s="2" t="s">
        <v>155</v>
      </c>
      <c r="Q1927">
        <v>12</v>
      </c>
      <c r="R1927" s="4">
        <v>45627</v>
      </c>
      <c r="S1927" s="3">
        <v>182600</v>
      </c>
      <c r="T1927" s="3">
        <v>2.39</v>
      </c>
    </row>
    <row r="1928" spans="1:20" x14ac:dyDescent="0.3">
      <c r="A1928" s="1">
        <v>45628</v>
      </c>
      <c r="B1928" s="2" t="s">
        <v>52</v>
      </c>
      <c r="C1928" s="2" t="s">
        <v>53</v>
      </c>
      <c r="D1928" s="2" t="s">
        <v>82</v>
      </c>
      <c r="E1928" s="2" t="s">
        <v>141</v>
      </c>
      <c r="F1928" s="2" t="s">
        <v>72</v>
      </c>
      <c r="G1928">
        <v>59</v>
      </c>
      <c r="H1928">
        <v>55</v>
      </c>
      <c r="I1928">
        <v>73</v>
      </c>
      <c r="J1928" s="3">
        <v>2907200</v>
      </c>
      <c r="K1928" s="3">
        <v>212225600</v>
      </c>
      <c r="L1928" s="2" t="s">
        <v>33</v>
      </c>
      <c r="M1928" s="2" t="s">
        <v>26</v>
      </c>
      <c r="N1928">
        <v>2024</v>
      </c>
      <c r="O1928" s="2" t="s">
        <v>152</v>
      </c>
      <c r="P1928" s="2" t="s">
        <v>155</v>
      </c>
      <c r="Q1928">
        <v>12</v>
      </c>
      <c r="R1928" s="4">
        <v>45627</v>
      </c>
      <c r="S1928" s="3">
        <v>2907200</v>
      </c>
      <c r="T1928" s="3">
        <v>21.22</v>
      </c>
    </row>
    <row r="1929" spans="1:20" x14ac:dyDescent="0.3">
      <c r="A1929" s="1">
        <v>45628</v>
      </c>
      <c r="B1929" s="2" t="s">
        <v>44</v>
      </c>
      <c r="C1929" s="2" t="s">
        <v>117</v>
      </c>
      <c r="D1929" s="2" t="s">
        <v>79</v>
      </c>
      <c r="E1929" s="2" t="s">
        <v>80</v>
      </c>
      <c r="F1929" s="2" t="s">
        <v>24</v>
      </c>
      <c r="G1929">
        <v>69</v>
      </c>
      <c r="H1929">
        <v>418</v>
      </c>
      <c r="I1929">
        <v>63</v>
      </c>
      <c r="J1929" s="3">
        <v>5038100</v>
      </c>
      <c r="K1929" s="3">
        <v>317400300</v>
      </c>
      <c r="L1929" s="2" t="s">
        <v>33</v>
      </c>
      <c r="M1929" s="2" t="s">
        <v>26</v>
      </c>
      <c r="N1929">
        <v>2024</v>
      </c>
      <c r="O1929" s="2" t="s">
        <v>152</v>
      </c>
      <c r="P1929" s="2" t="s">
        <v>155</v>
      </c>
      <c r="Q1929">
        <v>12</v>
      </c>
      <c r="R1929" s="4">
        <v>45627</v>
      </c>
      <c r="S1929" s="3">
        <v>5038100</v>
      </c>
      <c r="T1929" s="3">
        <v>31.74</v>
      </c>
    </row>
    <row r="1930" spans="1:20" x14ac:dyDescent="0.3">
      <c r="A1930" s="1">
        <v>45630</v>
      </c>
      <c r="B1930" s="2" t="s">
        <v>84</v>
      </c>
      <c r="C1930" s="2" t="s">
        <v>126</v>
      </c>
      <c r="D1930" s="2" t="s">
        <v>100</v>
      </c>
      <c r="E1930" s="2" t="s">
        <v>101</v>
      </c>
      <c r="F1930" s="2" t="s">
        <v>24</v>
      </c>
      <c r="G1930">
        <v>3</v>
      </c>
      <c r="H1930">
        <v>150</v>
      </c>
      <c r="I1930">
        <v>18</v>
      </c>
      <c r="J1930" s="3">
        <v>132200</v>
      </c>
      <c r="K1930" s="3">
        <v>2379600</v>
      </c>
      <c r="L1930" s="2" t="s">
        <v>25</v>
      </c>
      <c r="M1930" s="2" t="s">
        <v>26</v>
      </c>
      <c r="N1930">
        <v>2024</v>
      </c>
      <c r="O1930" s="2" t="s">
        <v>152</v>
      </c>
      <c r="P1930" s="2" t="s">
        <v>155</v>
      </c>
      <c r="Q1930">
        <v>12</v>
      </c>
      <c r="R1930" s="4">
        <v>45627</v>
      </c>
      <c r="S1930" s="3">
        <v>132200</v>
      </c>
      <c r="T1930" s="3">
        <v>0.24</v>
      </c>
    </row>
    <row r="1931" spans="1:20" x14ac:dyDescent="0.3">
      <c r="A1931" s="1">
        <v>45630</v>
      </c>
      <c r="B1931" s="2" t="s">
        <v>46</v>
      </c>
      <c r="C1931" s="2" t="s">
        <v>110</v>
      </c>
      <c r="D1931" s="2" t="s">
        <v>88</v>
      </c>
      <c r="E1931" s="2" t="s">
        <v>111</v>
      </c>
      <c r="F1931" s="2" t="s">
        <v>39</v>
      </c>
      <c r="G1931">
        <v>60</v>
      </c>
      <c r="H1931">
        <v>480</v>
      </c>
      <c r="I1931">
        <v>38</v>
      </c>
      <c r="J1931" s="3">
        <v>3563500</v>
      </c>
      <c r="K1931" s="3">
        <v>135413000</v>
      </c>
      <c r="L1931" s="2" t="s">
        <v>25</v>
      </c>
      <c r="M1931" s="2" t="s">
        <v>77</v>
      </c>
      <c r="N1931">
        <v>2024</v>
      </c>
      <c r="O1931" s="2" t="s">
        <v>152</v>
      </c>
      <c r="P1931" s="2" t="s">
        <v>155</v>
      </c>
      <c r="Q1931">
        <v>12</v>
      </c>
      <c r="R1931" s="4">
        <v>45627</v>
      </c>
      <c r="S1931" s="3">
        <v>3563500</v>
      </c>
      <c r="T1931" s="3">
        <v>13.54</v>
      </c>
    </row>
    <row r="1932" spans="1:20" x14ac:dyDescent="0.3">
      <c r="A1932" s="1">
        <v>45630</v>
      </c>
      <c r="B1932" s="2" t="s">
        <v>84</v>
      </c>
      <c r="C1932" s="2" t="s">
        <v>85</v>
      </c>
      <c r="D1932" s="2" t="s">
        <v>50</v>
      </c>
      <c r="E1932" s="2" t="s">
        <v>51</v>
      </c>
      <c r="F1932" s="2" t="s">
        <v>39</v>
      </c>
      <c r="G1932">
        <v>77</v>
      </c>
      <c r="H1932">
        <v>528</v>
      </c>
      <c r="I1932">
        <v>56</v>
      </c>
      <c r="J1932" s="3">
        <v>4401000</v>
      </c>
      <c r="K1932" s="3">
        <v>246456000</v>
      </c>
      <c r="L1932" s="2" t="s">
        <v>33</v>
      </c>
      <c r="M1932" s="2" t="s">
        <v>26</v>
      </c>
      <c r="N1932">
        <v>2024</v>
      </c>
      <c r="O1932" s="2" t="s">
        <v>152</v>
      </c>
      <c r="P1932" s="2" t="s">
        <v>155</v>
      </c>
      <c r="Q1932">
        <v>12</v>
      </c>
      <c r="R1932" s="4">
        <v>45627</v>
      </c>
      <c r="S1932" s="3">
        <v>4401000</v>
      </c>
      <c r="T1932" s="3">
        <v>24.65</v>
      </c>
    </row>
    <row r="1933" spans="1:20" x14ac:dyDescent="0.3">
      <c r="A1933" s="1">
        <v>45630</v>
      </c>
      <c r="B1933" s="2" t="s">
        <v>40</v>
      </c>
      <c r="C1933" s="2" t="s">
        <v>41</v>
      </c>
      <c r="D1933" s="2" t="s">
        <v>79</v>
      </c>
      <c r="E1933" s="2" t="s">
        <v>80</v>
      </c>
      <c r="F1933" s="2" t="s">
        <v>24</v>
      </c>
      <c r="G1933">
        <v>69</v>
      </c>
      <c r="H1933">
        <v>418</v>
      </c>
      <c r="I1933">
        <v>50</v>
      </c>
      <c r="J1933" s="3">
        <v>6359600</v>
      </c>
      <c r="K1933" s="3">
        <v>317980000</v>
      </c>
      <c r="L1933" s="2" t="s">
        <v>25</v>
      </c>
      <c r="M1933" s="2" t="s">
        <v>26</v>
      </c>
      <c r="N1933">
        <v>2024</v>
      </c>
      <c r="O1933" s="2" t="s">
        <v>152</v>
      </c>
      <c r="P1933" s="2" t="s">
        <v>155</v>
      </c>
      <c r="Q1933">
        <v>12</v>
      </c>
      <c r="R1933" s="4">
        <v>45627</v>
      </c>
      <c r="S1933" s="3">
        <v>6359600</v>
      </c>
      <c r="T1933" s="3">
        <v>31.8</v>
      </c>
    </row>
    <row r="1934" spans="1:20" x14ac:dyDescent="0.3">
      <c r="A1934" s="1">
        <v>45631</v>
      </c>
      <c r="B1934" s="2" t="s">
        <v>108</v>
      </c>
      <c r="C1934" s="2" t="s">
        <v>109</v>
      </c>
      <c r="D1934" s="2" t="s">
        <v>82</v>
      </c>
      <c r="E1934" s="2" t="s">
        <v>141</v>
      </c>
      <c r="F1934" s="2" t="s">
        <v>24</v>
      </c>
      <c r="G1934">
        <v>59</v>
      </c>
      <c r="H1934">
        <v>55</v>
      </c>
      <c r="I1934">
        <v>150</v>
      </c>
      <c r="J1934" s="3">
        <v>2603200</v>
      </c>
      <c r="K1934" s="3">
        <v>390480000</v>
      </c>
      <c r="L1934" s="2" t="s">
        <v>92</v>
      </c>
      <c r="M1934" s="2" t="s">
        <v>26</v>
      </c>
      <c r="N1934">
        <v>2024</v>
      </c>
      <c r="O1934" s="2" t="s">
        <v>152</v>
      </c>
      <c r="P1934" s="2" t="s">
        <v>155</v>
      </c>
      <c r="Q1934">
        <v>12</v>
      </c>
      <c r="R1934" s="4">
        <v>45627</v>
      </c>
      <c r="S1934" s="3">
        <v>2603200</v>
      </c>
      <c r="T1934" s="3">
        <v>39.049999999999997</v>
      </c>
    </row>
    <row r="1935" spans="1:20" x14ac:dyDescent="0.3">
      <c r="A1935" s="1">
        <v>45631</v>
      </c>
      <c r="B1935" s="2" t="s">
        <v>106</v>
      </c>
      <c r="C1935" s="2" t="s">
        <v>120</v>
      </c>
      <c r="D1935" s="2" t="s">
        <v>94</v>
      </c>
      <c r="E1935" s="2" t="s">
        <v>95</v>
      </c>
      <c r="F1935" s="2" t="s">
        <v>24</v>
      </c>
      <c r="G1935">
        <v>40</v>
      </c>
      <c r="H1935">
        <v>30</v>
      </c>
      <c r="I1935">
        <v>135</v>
      </c>
      <c r="J1935" s="3">
        <v>2583100</v>
      </c>
      <c r="K1935" s="3">
        <v>348718500</v>
      </c>
      <c r="L1935" s="2" t="s">
        <v>33</v>
      </c>
      <c r="M1935" s="2" t="s">
        <v>77</v>
      </c>
      <c r="N1935">
        <v>2024</v>
      </c>
      <c r="O1935" s="2" t="s">
        <v>152</v>
      </c>
      <c r="P1935" s="2" t="s">
        <v>155</v>
      </c>
      <c r="Q1935">
        <v>12</v>
      </c>
      <c r="R1935" s="4">
        <v>45627</v>
      </c>
      <c r="S1935" s="3">
        <v>2583100</v>
      </c>
      <c r="T1935" s="3">
        <v>34.869999999999997</v>
      </c>
    </row>
    <row r="1936" spans="1:20" x14ac:dyDescent="0.3">
      <c r="A1936" s="1">
        <v>45631</v>
      </c>
      <c r="B1936" s="2" t="s">
        <v>106</v>
      </c>
      <c r="C1936" s="2" t="s">
        <v>119</v>
      </c>
      <c r="D1936" s="2" t="s">
        <v>54</v>
      </c>
      <c r="E1936" s="2" t="s">
        <v>55</v>
      </c>
      <c r="F1936" s="2" t="s">
        <v>72</v>
      </c>
      <c r="G1936">
        <v>30</v>
      </c>
      <c r="H1936">
        <v>320</v>
      </c>
      <c r="I1936">
        <v>45</v>
      </c>
      <c r="J1936" s="3">
        <v>1661700</v>
      </c>
      <c r="K1936" s="3">
        <v>74776500</v>
      </c>
      <c r="L1936" s="2" t="s">
        <v>33</v>
      </c>
      <c r="M1936" s="2" t="s">
        <v>34</v>
      </c>
      <c r="N1936">
        <v>2024</v>
      </c>
      <c r="O1936" s="2" t="s">
        <v>152</v>
      </c>
      <c r="P1936" s="2" t="s">
        <v>155</v>
      </c>
      <c r="Q1936">
        <v>12</v>
      </c>
      <c r="R1936" s="4">
        <v>45627</v>
      </c>
      <c r="S1936" s="3">
        <v>1661700</v>
      </c>
      <c r="T1936" s="3">
        <v>7.48</v>
      </c>
    </row>
    <row r="1937" spans="1:20" x14ac:dyDescent="0.3">
      <c r="A1937" s="1">
        <v>45632</v>
      </c>
      <c r="B1937" s="2" t="s">
        <v>84</v>
      </c>
      <c r="C1937" s="2" t="s">
        <v>113</v>
      </c>
      <c r="D1937" s="2" t="s">
        <v>22</v>
      </c>
      <c r="E1937" s="2" t="s">
        <v>23</v>
      </c>
      <c r="F1937" s="2" t="s">
        <v>24</v>
      </c>
      <c r="G1937">
        <v>82</v>
      </c>
      <c r="H1937">
        <v>520</v>
      </c>
      <c r="I1937">
        <v>74</v>
      </c>
      <c r="J1937" s="3">
        <v>7152200</v>
      </c>
      <c r="K1937" s="3">
        <v>529262800</v>
      </c>
      <c r="L1937" s="2" t="s">
        <v>25</v>
      </c>
      <c r="M1937" s="2" t="s">
        <v>26</v>
      </c>
      <c r="N1937">
        <v>2024</v>
      </c>
      <c r="O1937" s="2" t="s">
        <v>152</v>
      </c>
      <c r="P1937" s="2" t="s">
        <v>155</v>
      </c>
      <c r="Q1937">
        <v>12</v>
      </c>
      <c r="R1937" s="4">
        <v>45627</v>
      </c>
      <c r="S1937" s="3">
        <v>7152200</v>
      </c>
      <c r="T1937" s="3">
        <v>52.93</v>
      </c>
    </row>
    <row r="1938" spans="1:20" x14ac:dyDescent="0.3">
      <c r="A1938" s="1">
        <v>45632</v>
      </c>
      <c r="B1938" s="2" t="s">
        <v>40</v>
      </c>
      <c r="C1938" s="2" t="s">
        <v>136</v>
      </c>
      <c r="D1938" s="2" t="s">
        <v>67</v>
      </c>
      <c r="E1938" s="2" t="s">
        <v>68</v>
      </c>
      <c r="F1938" s="2" t="s">
        <v>138</v>
      </c>
      <c r="G1938">
        <v>66</v>
      </c>
      <c r="H1938">
        <v>440</v>
      </c>
      <c r="I1938">
        <v>76</v>
      </c>
      <c r="J1938" s="3">
        <v>6763200</v>
      </c>
      <c r="K1938" s="3">
        <v>514003200</v>
      </c>
      <c r="L1938" s="2" t="s">
        <v>33</v>
      </c>
      <c r="M1938" s="2" t="s">
        <v>77</v>
      </c>
      <c r="N1938">
        <v>2024</v>
      </c>
      <c r="O1938" s="2" t="s">
        <v>152</v>
      </c>
      <c r="P1938" s="2" t="s">
        <v>155</v>
      </c>
      <c r="Q1938">
        <v>12</v>
      </c>
      <c r="R1938" s="4">
        <v>45627</v>
      </c>
      <c r="S1938" s="3">
        <v>6763200</v>
      </c>
      <c r="T1938" s="3">
        <v>51.4</v>
      </c>
    </row>
    <row r="1939" spans="1:20" x14ac:dyDescent="0.3">
      <c r="A1939" s="1">
        <v>45632</v>
      </c>
      <c r="B1939" s="2" t="s">
        <v>106</v>
      </c>
      <c r="C1939" s="2" t="s">
        <v>119</v>
      </c>
      <c r="D1939" s="2" t="s">
        <v>42</v>
      </c>
      <c r="E1939" s="2" t="s">
        <v>43</v>
      </c>
      <c r="F1939" s="2" t="s">
        <v>24</v>
      </c>
      <c r="G1939">
        <v>3</v>
      </c>
      <c r="H1939">
        <v>135</v>
      </c>
      <c r="I1939">
        <v>159</v>
      </c>
      <c r="J1939" s="3">
        <v>126200</v>
      </c>
      <c r="K1939" s="3">
        <v>20065800</v>
      </c>
      <c r="L1939" s="2" t="s">
        <v>33</v>
      </c>
      <c r="M1939" s="2" t="s">
        <v>26</v>
      </c>
      <c r="N1939">
        <v>2024</v>
      </c>
      <c r="O1939" s="2" t="s">
        <v>152</v>
      </c>
      <c r="P1939" s="2" t="s">
        <v>155</v>
      </c>
      <c r="Q1939">
        <v>12</v>
      </c>
      <c r="R1939" s="4">
        <v>45627</v>
      </c>
      <c r="S1939" s="3">
        <v>126200</v>
      </c>
      <c r="T1939" s="3">
        <v>2.0099999999999998</v>
      </c>
    </row>
    <row r="1940" spans="1:20" x14ac:dyDescent="0.3">
      <c r="A1940" s="1">
        <v>45632</v>
      </c>
      <c r="B1940" s="2" t="s">
        <v>46</v>
      </c>
      <c r="C1940" s="2" t="s">
        <v>110</v>
      </c>
      <c r="D1940" s="2" t="s">
        <v>22</v>
      </c>
      <c r="E1940" s="2" t="s">
        <v>23</v>
      </c>
      <c r="F1940" s="2" t="s">
        <v>72</v>
      </c>
      <c r="G1940">
        <v>82</v>
      </c>
      <c r="H1940">
        <v>520</v>
      </c>
      <c r="I1940">
        <v>58</v>
      </c>
      <c r="J1940" s="3">
        <v>7565500</v>
      </c>
      <c r="K1940" s="3">
        <v>438799000</v>
      </c>
      <c r="L1940" s="2" t="s">
        <v>92</v>
      </c>
      <c r="M1940" s="2" t="s">
        <v>26</v>
      </c>
      <c r="N1940">
        <v>2024</v>
      </c>
      <c r="O1940" s="2" t="s">
        <v>152</v>
      </c>
      <c r="P1940" s="2" t="s">
        <v>155</v>
      </c>
      <c r="Q1940">
        <v>12</v>
      </c>
      <c r="R1940" s="4">
        <v>45627</v>
      </c>
      <c r="S1940" s="3">
        <v>7565500</v>
      </c>
      <c r="T1940" s="3">
        <v>43.88</v>
      </c>
    </row>
    <row r="1941" spans="1:20" x14ac:dyDescent="0.3">
      <c r="A1941" s="1">
        <v>45633</v>
      </c>
      <c r="B1941" s="2" t="s">
        <v>61</v>
      </c>
      <c r="C1941" s="2" t="s">
        <v>62</v>
      </c>
      <c r="D1941" s="2" t="s">
        <v>50</v>
      </c>
      <c r="E1941" s="2" t="s">
        <v>51</v>
      </c>
      <c r="F1941" s="2" t="s">
        <v>24</v>
      </c>
      <c r="G1941">
        <v>77</v>
      </c>
      <c r="H1941">
        <v>528</v>
      </c>
      <c r="I1941">
        <v>71</v>
      </c>
      <c r="J1941" s="3">
        <v>5384200</v>
      </c>
      <c r="K1941" s="3">
        <v>382278200</v>
      </c>
      <c r="L1941" s="2" t="s">
        <v>33</v>
      </c>
      <c r="M1941" s="2" t="s">
        <v>26</v>
      </c>
      <c r="N1941">
        <v>2024</v>
      </c>
      <c r="O1941" s="2" t="s">
        <v>152</v>
      </c>
      <c r="P1941" s="2" t="s">
        <v>155</v>
      </c>
      <c r="Q1941">
        <v>12</v>
      </c>
      <c r="R1941" s="4">
        <v>45627</v>
      </c>
      <c r="S1941" s="3">
        <v>5384200</v>
      </c>
      <c r="T1941" s="3">
        <v>38.229999999999997</v>
      </c>
    </row>
    <row r="1942" spans="1:20" x14ac:dyDescent="0.3">
      <c r="A1942" s="1">
        <v>45634</v>
      </c>
      <c r="B1942" s="2" t="s">
        <v>46</v>
      </c>
      <c r="C1942" s="2" t="s">
        <v>56</v>
      </c>
      <c r="D1942" s="2" t="s">
        <v>54</v>
      </c>
      <c r="E1942" s="2" t="s">
        <v>55</v>
      </c>
      <c r="F1942" s="2" t="s">
        <v>24</v>
      </c>
      <c r="G1942">
        <v>30</v>
      </c>
      <c r="H1942">
        <v>320</v>
      </c>
      <c r="I1942">
        <v>4</v>
      </c>
      <c r="J1942" s="3">
        <v>1435700</v>
      </c>
      <c r="K1942" s="3">
        <v>5742800</v>
      </c>
      <c r="L1942" s="2" t="s">
        <v>33</v>
      </c>
      <c r="M1942" s="2" t="s">
        <v>26</v>
      </c>
      <c r="N1942">
        <v>2024</v>
      </c>
      <c r="O1942" s="2" t="s">
        <v>152</v>
      </c>
      <c r="P1942" s="2" t="s">
        <v>155</v>
      </c>
      <c r="Q1942">
        <v>12</v>
      </c>
      <c r="R1942" s="4">
        <v>45627</v>
      </c>
      <c r="S1942" s="3">
        <v>1435700</v>
      </c>
      <c r="T1942" s="3">
        <v>0.56999999999999995</v>
      </c>
    </row>
    <row r="1943" spans="1:20" x14ac:dyDescent="0.3">
      <c r="A1943" s="1">
        <v>45634</v>
      </c>
      <c r="B1943" s="2" t="s">
        <v>44</v>
      </c>
      <c r="C1943" s="2" t="s">
        <v>45</v>
      </c>
      <c r="D1943" s="2" t="s">
        <v>42</v>
      </c>
      <c r="E1943" s="2" t="s">
        <v>43</v>
      </c>
      <c r="F1943" s="2" t="s">
        <v>24</v>
      </c>
      <c r="G1943">
        <v>3</v>
      </c>
      <c r="H1943">
        <v>135</v>
      </c>
      <c r="I1943">
        <v>167</v>
      </c>
      <c r="J1943" s="3">
        <v>102100</v>
      </c>
      <c r="K1943" s="3">
        <v>17050700</v>
      </c>
      <c r="L1943" s="2" t="s">
        <v>33</v>
      </c>
      <c r="M1943" s="2" t="s">
        <v>77</v>
      </c>
      <c r="N1943">
        <v>2024</v>
      </c>
      <c r="O1943" s="2" t="s">
        <v>152</v>
      </c>
      <c r="P1943" s="2" t="s">
        <v>155</v>
      </c>
      <c r="Q1943">
        <v>12</v>
      </c>
      <c r="R1943" s="4">
        <v>45627</v>
      </c>
      <c r="S1943" s="3">
        <v>102100</v>
      </c>
      <c r="T1943" s="3">
        <v>1.71</v>
      </c>
    </row>
    <row r="1944" spans="1:20" x14ac:dyDescent="0.3">
      <c r="A1944" s="1">
        <v>45634</v>
      </c>
      <c r="B1944" s="2" t="s">
        <v>46</v>
      </c>
      <c r="C1944" s="2" t="s">
        <v>56</v>
      </c>
      <c r="D1944" s="2" t="s">
        <v>22</v>
      </c>
      <c r="E1944" s="2" t="s">
        <v>23</v>
      </c>
      <c r="F1944" s="2" t="s">
        <v>24</v>
      </c>
      <c r="G1944">
        <v>82</v>
      </c>
      <c r="H1944">
        <v>520</v>
      </c>
      <c r="I1944">
        <v>21</v>
      </c>
      <c r="J1944" s="3">
        <v>6572200</v>
      </c>
      <c r="K1944" s="3">
        <v>138016200</v>
      </c>
      <c r="L1944" s="2" t="s">
        <v>25</v>
      </c>
      <c r="M1944" s="2" t="s">
        <v>26</v>
      </c>
      <c r="N1944">
        <v>2024</v>
      </c>
      <c r="O1944" s="2" t="s">
        <v>152</v>
      </c>
      <c r="P1944" s="2" t="s">
        <v>155</v>
      </c>
      <c r="Q1944">
        <v>12</v>
      </c>
      <c r="R1944" s="4">
        <v>45627</v>
      </c>
      <c r="S1944" s="3">
        <v>6572200</v>
      </c>
      <c r="T1944" s="3">
        <v>13.8</v>
      </c>
    </row>
    <row r="1945" spans="1:20" x14ac:dyDescent="0.3">
      <c r="A1945" s="1">
        <v>45635</v>
      </c>
      <c r="B1945" s="2" t="s">
        <v>29</v>
      </c>
      <c r="C1945" s="2" t="s">
        <v>104</v>
      </c>
      <c r="D1945" s="2" t="s">
        <v>37</v>
      </c>
      <c r="E1945" s="2" t="s">
        <v>38</v>
      </c>
      <c r="F1945" s="2" t="s">
        <v>39</v>
      </c>
      <c r="G1945">
        <v>66</v>
      </c>
      <c r="H1945">
        <v>423</v>
      </c>
      <c r="I1945">
        <v>9</v>
      </c>
      <c r="J1945" s="3">
        <v>8582000</v>
      </c>
      <c r="K1945" s="3">
        <v>77238000</v>
      </c>
      <c r="L1945" s="2" t="s">
        <v>33</v>
      </c>
      <c r="M1945" s="2" t="s">
        <v>34</v>
      </c>
      <c r="N1945">
        <v>2024</v>
      </c>
      <c r="O1945" s="2" t="s">
        <v>152</v>
      </c>
      <c r="P1945" s="2" t="s">
        <v>155</v>
      </c>
      <c r="Q1945">
        <v>12</v>
      </c>
      <c r="R1945" s="4">
        <v>45627</v>
      </c>
      <c r="S1945" s="3">
        <v>8582000</v>
      </c>
      <c r="T1945" s="3">
        <v>7.72</v>
      </c>
    </row>
    <row r="1946" spans="1:20" x14ac:dyDescent="0.3">
      <c r="A1946" s="1">
        <v>45635</v>
      </c>
      <c r="B1946" s="2" t="s">
        <v>59</v>
      </c>
      <c r="C1946" s="2" t="s">
        <v>135</v>
      </c>
      <c r="D1946" s="2" t="s">
        <v>50</v>
      </c>
      <c r="E1946" s="2" t="s">
        <v>51</v>
      </c>
      <c r="F1946" s="2" t="s">
        <v>24</v>
      </c>
      <c r="G1946">
        <v>77</v>
      </c>
      <c r="H1946">
        <v>528</v>
      </c>
      <c r="I1946">
        <v>70</v>
      </c>
      <c r="J1946" s="3">
        <v>4401700</v>
      </c>
      <c r="K1946" s="3">
        <v>308119000</v>
      </c>
      <c r="L1946" s="2" t="s">
        <v>33</v>
      </c>
      <c r="M1946" s="2" t="s">
        <v>77</v>
      </c>
      <c r="N1946">
        <v>2024</v>
      </c>
      <c r="O1946" s="2" t="s">
        <v>152</v>
      </c>
      <c r="P1946" s="2" t="s">
        <v>155</v>
      </c>
      <c r="Q1946">
        <v>12</v>
      </c>
      <c r="R1946" s="4">
        <v>45627</v>
      </c>
      <c r="S1946" s="3">
        <v>4401700</v>
      </c>
      <c r="T1946" s="3">
        <v>30.81</v>
      </c>
    </row>
    <row r="1947" spans="1:20" x14ac:dyDescent="0.3">
      <c r="A1947" s="1">
        <v>45636</v>
      </c>
      <c r="B1947" s="2" t="s">
        <v>40</v>
      </c>
      <c r="C1947" s="2" t="s">
        <v>78</v>
      </c>
      <c r="D1947" s="2" t="s">
        <v>79</v>
      </c>
      <c r="E1947" s="2" t="s">
        <v>80</v>
      </c>
      <c r="F1947" s="2" t="s">
        <v>24</v>
      </c>
      <c r="G1947">
        <v>69</v>
      </c>
      <c r="H1947">
        <v>418</v>
      </c>
      <c r="I1947">
        <v>49</v>
      </c>
      <c r="J1947" s="3">
        <v>5949200</v>
      </c>
      <c r="K1947" s="3">
        <v>291510800</v>
      </c>
      <c r="L1947" s="2" t="s">
        <v>92</v>
      </c>
      <c r="M1947" s="2" t="s">
        <v>26</v>
      </c>
      <c r="N1947">
        <v>2024</v>
      </c>
      <c r="O1947" s="2" t="s">
        <v>152</v>
      </c>
      <c r="P1947" s="2" t="s">
        <v>155</v>
      </c>
      <c r="Q1947">
        <v>12</v>
      </c>
      <c r="R1947" s="4">
        <v>45627</v>
      </c>
      <c r="S1947" s="3">
        <v>5949200</v>
      </c>
      <c r="T1947" s="3">
        <v>29.15</v>
      </c>
    </row>
    <row r="1948" spans="1:20" x14ac:dyDescent="0.3">
      <c r="A1948" s="1">
        <v>45636</v>
      </c>
      <c r="B1948" s="2" t="s">
        <v>40</v>
      </c>
      <c r="C1948" s="2" t="s">
        <v>136</v>
      </c>
      <c r="D1948" s="2" t="s">
        <v>94</v>
      </c>
      <c r="E1948" s="2" t="s">
        <v>115</v>
      </c>
      <c r="F1948" s="2" t="s">
        <v>39</v>
      </c>
      <c r="G1948">
        <v>24</v>
      </c>
      <c r="H1948">
        <v>24</v>
      </c>
      <c r="I1948">
        <v>139</v>
      </c>
      <c r="J1948" s="3">
        <v>1597800</v>
      </c>
      <c r="K1948" s="3">
        <v>222094200</v>
      </c>
      <c r="L1948" s="2" t="s">
        <v>33</v>
      </c>
      <c r="M1948" s="2" t="s">
        <v>26</v>
      </c>
      <c r="N1948">
        <v>2024</v>
      </c>
      <c r="O1948" s="2" t="s">
        <v>152</v>
      </c>
      <c r="P1948" s="2" t="s">
        <v>155</v>
      </c>
      <c r="Q1948">
        <v>12</v>
      </c>
      <c r="R1948" s="4">
        <v>45627</v>
      </c>
      <c r="S1948" s="3">
        <v>1597800</v>
      </c>
      <c r="T1948" s="3">
        <v>22.21</v>
      </c>
    </row>
    <row r="1949" spans="1:20" x14ac:dyDescent="0.3">
      <c r="A1949" s="1">
        <v>45636</v>
      </c>
      <c r="B1949" s="2" t="s">
        <v>59</v>
      </c>
      <c r="C1949" s="2" t="s">
        <v>81</v>
      </c>
      <c r="D1949" s="2" t="s">
        <v>88</v>
      </c>
      <c r="E1949" s="2" t="s">
        <v>111</v>
      </c>
      <c r="F1949" s="2" t="s">
        <v>72</v>
      </c>
      <c r="G1949">
        <v>60</v>
      </c>
      <c r="H1949">
        <v>480</v>
      </c>
      <c r="I1949">
        <v>17</v>
      </c>
      <c r="J1949" s="3">
        <v>3189200</v>
      </c>
      <c r="K1949" s="3">
        <v>54216400</v>
      </c>
      <c r="L1949" s="2" t="s">
        <v>92</v>
      </c>
      <c r="M1949" s="2" t="s">
        <v>77</v>
      </c>
      <c r="N1949">
        <v>2024</v>
      </c>
      <c r="O1949" s="2" t="s">
        <v>152</v>
      </c>
      <c r="P1949" s="2" t="s">
        <v>155</v>
      </c>
      <c r="Q1949">
        <v>12</v>
      </c>
      <c r="R1949" s="4">
        <v>45627</v>
      </c>
      <c r="S1949" s="3">
        <v>3189200</v>
      </c>
      <c r="T1949" s="3">
        <v>5.42</v>
      </c>
    </row>
    <row r="1950" spans="1:20" x14ac:dyDescent="0.3">
      <c r="A1950" s="1">
        <v>45636</v>
      </c>
      <c r="B1950" s="2" t="s">
        <v>52</v>
      </c>
      <c r="C1950" s="2" t="s">
        <v>53</v>
      </c>
      <c r="D1950" s="2" t="s">
        <v>54</v>
      </c>
      <c r="E1950" s="2" t="s">
        <v>55</v>
      </c>
      <c r="F1950" s="2" t="s">
        <v>72</v>
      </c>
      <c r="G1950">
        <v>30</v>
      </c>
      <c r="H1950">
        <v>320</v>
      </c>
      <c r="I1950">
        <v>13</v>
      </c>
      <c r="J1950" s="3">
        <v>1672400</v>
      </c>
      <c r="K1950" s="3">
        <v>21741200</v>
      </c>
      <c r="L1950" s="2" t="s">
        <v>25</v>
      </c>
      <c r="M1950" s="2" t="s">
        <v>97</v>
      </c>
      <c r="N1950">
        <v>2024</v>
      </c>
      <c r="O1950" s="2" t="s">
        <v>152</v>
      </c>
      <c r="P1950" s="2" t="s">
        <v>155</v>
      </c>
      <c r="Q1950">
        <v>12</v>
      </c>
      <c r="R1950" s="4">
        <v>45627</v>
      </c>
      <c r="S1950" s="3">
        <v>1672400</v>
      </c>
      <c r="T1950" s="3">
        <v>2.17</v>
      </c>
    </row>
    <row r="1951" spans="1:20" x14ac:dyDescent="0.3">
      <c r="A1951" s="1">
        <v>45637</v>
      </c>
      <c r="B1951" s="2" t="s">
        <v>84</v>
      </c>
      <c r="C1951" s="2" t="s">
        <v>85</v>
      </c>
      <c r="D1951" s="2" t="s">
        <v>57</v>
      </c>
      <c r="E1951" s="2" t="s">
        <v>86</v>
      </c>
      <c r="F1951" s="2" t="s">
        <v>24</v>
      </c>
      <c r="G1951">
        <v>48</v>
      </c>
      <c r="H1951">
        <v>39</v>
      </c>
      <c r="I1951">
        <v>76</v>
      </c>
      <c r="J1951" s="3">
        <v>2630000</v>
      </c>
      <c r="K1951" s="3">
        <v>199880000</v>
      </c>
      <c r="L1951" s="2" t="s">
        <v>33</v>
      </c>
      <c r="M1951" s="2" t="s">
        <v>26</v>
      </c>
      <c r="N1951">
        <v>2024</v>
      </c>
      <c r="O1951" s="2" t="s">
        <v>152</v>
      </c>
      <c r="P1951" s="2" t="s">
        <v>155</v>
      </c>
      <c r="Q1951">
        <v>12</v>
      </c>
      <c r="R1951" s="4">
        <v>45627</v>
      </c>
      <c r="S1951" s="3">
        <v>2630000</v>
      </c>
      <c r="T1951" s="3">
        <v>19.989999999999998</v>
      </c>
    </row>
    <row r="1952" spans="1:20" x14ac:dyDescent="0.3">
      <c r="A1952" s="1">
        <v>45638</v>
      </c>
      <c r="B1952" s="2" t="s">
        <v>90</v>
      </c>
      <c r="C1952" s="2" t="s">
        <v>91</v>
      </c>
      <c r="D1952" s="2" t="s">
        <v>50</v>
      </c>
      <c r="E1952" s="2" t="s">
        <v>51</v>
      </c>
      <c r="F1952" s="2" t="s">
        <v>138</v>
      </c>
      <c r="G1952">
        <v>77</v>
      </c>
      <c r="H1952">
        <v>528</v>
      </c>
      <c r="I1952">
        <v>60</v>
      </c>
      <c r="J1952" s="3">
        <v>4669300</v>
      </c>
      <c r="K1952" s="3">
        <v>280158000</v>
      </c>
      <c r="L1952" s="2" t="s">
        <v>33</v>
      </c>
      <c r="M1952" s="2" t="s">
        <v>77</v>
      </c>
      <c r="N1952">
        <v>2024</v>
      </c>
      <c r="O1952" s="2" t="s">
        <v>152</v>
      </c>
      <c r="P1952" s="2" t="s">
        <v>155</v>
      </c>
      <c r="Q1952">
        <v>12</v>
      </c>
      <c r="R1952" s="4">
        <v>45627</v>
      </c>
      <c r="S1952" s="3">
        <v>4669300</v>
      </c>
      <c r="T1952" s="3">
        <v>28.02</v>
      </c>
    </row>
    <row r="1953" spans="1:20" x14ac:dyDescent="0.3">
      <c r="A1953" s="1">
        <v>45638</v>
      </c>
      <c r="B1953" s="2" t="s">
        <v>48</v>
      </c>
      <c r="C1953" s="2" t="s">
        <v>98</v>
      </c>
      <c r="D1953" s="2" t="s">
        <v>94</v>
      </c>
      <c r="E1953" s="2" t="s">
        <v>140</v>
      </c>
      <c r="F1953" s="2" t="s">
        <v>24</v>
      </c>
      <c r="G1953">
        <v>35</v>
      </c>
      <c r="H1953">
        <v>32</v>
      </c>
      <c r="I1953">
        <v>90</v>
      </c>
      <c r="J1953" s="3">
        <v>2133900</v>
      </c>
      <c r="K1953" s="3">
        <v>192051000</v>
      </c>
      <c r="L1953" s="2" t="s">
        <v>33</v>
      </c>
      <c r="M1953" s="2" t="s">
        <v>34</v>
      </c>
      <c r="N1953">
        <v>2024</v>
      </c>
      <c r="O1953" s="2" t="s">
        <v>152</v>
      </c>
      <c r="P1953" s="2" t="s">
        <v>155</v>
      </c>
      <c r="Q1953">
        <v>12</v>
      </c>
      <c r="R1953" s="4">
        <v>45627</v>
      </c>
      <c r="S1953" s="3">
        <v>2133900</v>
      </c>
      <c r="T1953" s="3">
        <v>19.21</v>
      </c>
    </row>
    <row r="1954" spans="1:20" x14ac:dyDescent="0.3">
      <c r="A1954" s="1">
        <v>45639</v>
      </c>
      <c r="B1954" s="2" t="s">
        <v>29</v>
      </c>
      <c r="C1954" s="2" t="s">
        <v>104</v>
      </c>
      <c r="D1954" s="2" t="s">
        <v>22</v>
      </c>
      <c r="E1954" s="2" t="s">
        <v>23</v>
      </c>
      <c r="F1954" s="2" t="s">
        <v>39</v>
      </c>
      <c r="G1954">
        <v>82</v>
      </c>
      <c r="H1954">
        <v>520</v>
      </c>
      <c r="I1954">
        <v>9</v>
      </c>
      <c r="J1954" s="3">
        <v>6675600</v>
      </c>
      <c r="K1954" s="3">
        <v>60080400</v>
      </c>
      <c r="L1954" s="2" t="s">
        <v>33</v>
      </c>
      <c r="M1954" s="2" t="s">
        <v>77</v>
      </c>
      <c r="N1954">
        <v>2024</v>
      </c>
      <c r="O1954" s="2" t="s">
        <v>152</v>
      </c>
      <c r="P1954" s="2" t="s">
        <v>155</v>
      </c>
      <c r="Q1954">
        <v>12</v>
      </c>
      <c r="R1954" s="4">
        <v>45627</v>
      </c>
      <c r="S1954" s="3">
        <v>6675600</v>
      </c>
      <c r="T1954" s="3">
        <v>6.01</v>
      </c>
    </row>
    <row r="1955" spans="1:20" x14ac:dyDescent="0.3">
      <c r="A1955" s="1">
        <v>45639</v>
      </c>
      <c r="B1955" s="2" t="s">
        <v>46</v>
      </c>
      <c r="C1955" s="2" t="s">
        <v>137</v>
      </c>
      <c r="D1955" s="2" t="s">
        <v>54</v>
      </c>
      <c r="E1955" s="2" t="s">
        <v>55</v>
      </c>
      <c r="F1955" s="2" t="s">
        <v>39</v>
      </c>
      <c r="G1955">
        <v>30</v>
      </c>
      <c r="H1955">
        <v>320</v>
      </c>
      <c r="I1955">
        <v>7</v>
      </c>
      <c r="J1955" s="3">
        <v>1499800</v>
      </c>
      <c r="K1955" s="3">
        <v>10498600</v>
      </c>
      <c r="L1955" s="2" t="s">
        <v>33</v>
      </c>
      <c r="M1955" s="2" t="s">
        <v>77</v>
      </c>
      <c r="N1955">
        <v>2024</v>
      </c>
      <c r="O1955" s="2" t="s">
        <v>152</v>
      </c>
      <c r="P1955" s="2" t="s">
        <v>155</v>
      </c>
      <c r="Q1955">
        <v>12</v>
      </c>
      <c r="R1955" s="4">
        <v>45627</v>
      </c>
      <c r="S1955" s="3">
        <v>1499800</v>
      </c>
      <c r="T1955" s="3">
        <v>1.05</v>
      </c>
    </row>
    <row r="1956" spans="1:20" x14ac:dyDescent="0.3">
      <c r="A1956" s="1">
        <v>45639</v>
      </c>
      <c r="B1956" s="2" t="s">
        <v>90</v>
      </c>
      <c r="C1956" s="2" t="s">
        <v>99</v>
      </c>
      <c r="D1956" s="2" t="s">
        <v>42</v>
      </c>
      <c r="E1956" s="2" t="s">
        <v>43</v>
      </c>
      <c r="F1956" s="2" t="s">
        <v>24</v>
      </c>
      <c r="G1956">
        <v>3</v>
      </c>
      <c r="H1956">
        <v>135</v>
      </c>
      <c r="I1956">
        <v>110</v>
      </c>
      <c r="J1956" s="3">
        <v>122000</v>
      </c>
      <c r="K1956" s="3">
        <v>13420000</v>
      </c>
      <c r="L1956" s="2" t="s">
        <v>33</v>
      </c>
      <c r="M1956" s="2" t="s">
        <v>77</v>
      </c>
      <c r="N1956">
        <v>2024</v>
      </c>
      <c r="O1956" s="2" t="s">
        <v>152</v>
      </c>
      <c r="P1956" s="2" t="s">
        <v>155</v>
      </c>
      <c r="Q1956">
        <v>12</v>
      </c>
      <c r="R1956" s="4">
        <v>45627</v>
      </c>
      <c r="S1956" s="3">
        <v>122000</v>
      </c>
      <c r="T1956" s="3">
        <v>1.34</v>
      </c>
    </row>
    <row r="1957" spans="1:20" x14ac:dyDescent="0.3">
      <c r="A1957" s="1">
        <v>45640</v>
      </c>
      <c r="B1957" s="2" t="s">
        <v>46</v>
      </c>
      <c r="C1957" s="2" t="s">
        <v>56</v>
      </c>
      <c r="D1957" s="2" t="s">
        <v>100</v>
      </c>
      <c r="E1957" s="2" t="s">
        <v>101</v>
      </c>
      <c r="F1957" s="2" t="s">
        <v>24</v>
      </c>
      <c r="G1957">
        <v>3</v>
      </c>
      <c r="H1957">
        <v>150</v>
      </c>
      <c r="I1957">
        <v>169</v>
      </c>
      <c r="J1957" s="3">
        <v>149600</v>
      </c>
      <c r="K1957" s="3">
        <v>25282400</v>
      </c>
      <c r="L1957" s="2" t="s">
        <v>33</v>
      </c>
      <c r="M1957" s="2" t="s">
        <v>97</v>
      </c>
      <c r="N1957">
        <v>2024</v>
      </c>
      <c r="O1957" s="2" t="s">
        <v>152</v>
      </c>
      <c r="P1957" s="2" t="s">
        <v>155</v>
      </c>
      <c r="Q1957">
        <v>12</v>
      </c>
      <c r="R1957" s="4">
        <v>45627</v>
      </c>
      <c r="S1957" s="3">
        <v>149600</v>
      </c>
      <c r="T1957" s="3">
        <v>2.5299999999999998</v>
      </c>
    </row>
    <row r="1958" spans="1:20" x14ac:dyDescent="0.3">
      <c r="A1958" s="1">
        <v>45640</v>
      </c>
      <c r="B1958" s="2" t="s">
        <v>84</v>
      </c>
      <c r="C1958" s="2" t="s">
        <v>113</v>
      </c>
      <c r="D1958" s="2" t="s">
        <v>50</v>
      </c>
      <c r="E1958" s="2" t="s">
        <v>51</v>
      </c>
      <c r="F1958" s="2" t="s">
        <v>72</v>
      </c>
      <c r="G1958">
        <v>77</v>
      </c>
      <c r="H1958">
        <v>528</v>
      </c>
      <c r="I1958">
        <v>35</v>
      </c>
      <c r="J1958" s="3">
        <v>4419900</v>
      </c>
      <c r="K1958" s="3">
        <v>154696500</v>
      </c>
      <c r="L1958" s="2" t="s">
        <v>33</v>
      </c>
      <c r="M1958" s="2" t="s">
        <v>97</v>
      </c>
      <c r="N1958">
        <v>2024</v>
      </c>
      <c r="O1958" s="2" t="s">
        <v>152</v>
      </c>
      <c r="P1958" s="2" t="s">
        <v>155</v>
      </c>
      <c r="Q1958">
        <v>12</v>
      </c>
      <c r="R1958" s="4">
        <v>45627</v>
      </c>
      <c r="S1958" s="3">
        <v>4419900</v>
      </c>
      <c r="T1958" s="3">
        <v>15.47</v>
      </c>
    </row>
    <row r="1959" spans="1:20" x14ac:dyDescent="0.3">
      <c r="A1959" s="1">
        <v>45641</v>
      </c>
      <c r="B1959" s="2" t="s">
        <v>29</v>
      </c>
      <c r="C1959" s="2" t="s">
        <v>65</v>
      </c>
      <c r="D1959" s="2" t="s">
        <v>94</v>
      </c>
      <c r="E1959" s="2" t="s">
        <v>95</v>
      </c>
      <c r="F1959" s="2" t="s">
        <v>72</v>
      </c>
      <c r="G1959">
        <v>40</v>
      </c>
      <c r="H1959">
        <v>30</v>
      </c>
      <c r="I1959">
        <v>18</v>
      </c>
      <c r="J1959" s="3">
        <v>2277600</v>
      </c>
      <c r="K1959" s="3">
        <v>40996800</v>
      </c>
      <c r="L1959" s="2" t="s">
        <v>25</v>
      </c>
      <c r="M1959" s="2" t="s">
        <v>26</v>
      </c>
      <c r="N1959">
        <v>2024</v>
      </c>
      <c r="O1959" s="2" t="s">
        <v>152</v>
      </c>
      <c r="P1959" s="2" t="s">
        <v>155</v>
      </c>
      <c r="Q1959">
        <v>12</v>
      </c>
      <c r="R1959" s="4">
        <v>45627</v>
      </c>
      <c r="S1959" s="3">
        <v>2277600</v>
      </c>
      <c r="T1959" s="3">
        <v>4.0999999999999996</v>
      </c>
    </row>
    <row r="1960" spans="1:20" x14ac:dyDescent="0.3">
      <c r="A1960" s="1">
        <v>45641</v>
      </c>
      <c r="B1960" s="2" t="s">
        <v>108</v>
      </c>
      <c r="C1960" s="2" t="s">
        <v>133</v>
      </c>
      <c r="D1960" s="2" t="s">
        <v>31</v>
      </c>
      <c r="E1960" s="2" t="s">
        <v>124</v>
      </c>
      <c r="F1960" s="2" t="s">
        <v>24</v>
      </c>
      <c r="G1960">
        <v>3</v>
      </c>
      <c r="H1960">
        <v>151</v>
      </c>
      <c r="I1960">
        <v>93</v>
      </c>
      <c r="J1960" s="3">
        <v>98800</v>
      </c>
      <c r="K1960" s="3">
        <v>9188400</v>
      </c>
      <c r="L1960" s="2" t="s">
        <v>25</v>
      </c>
      <c r="M1960" s="2" t="s">
        <v>34</v>
      </c>
      <c r="N1960">
        <v>2024</v>
      </c>
      <c r="O1960" s="2" t="s">
        <v>152</v>
      </c>
      <c r="P1960" s="2" t="s">
        <v>155</v>
      </c>
      <c r="Q1960">
        <v>12</v>
      </c>
      <c r="R1960" s="4">
        <v>45627</v>
      </c>
      <c r="S1960" s="3">
        <v>98800</v>
      </c>
      <c r="T1960" s="3">
        <v>0.92</v>
      </c>
    </row>
    <row r="1961" spans="1:20" x14ac:dyDescent="0.3">
      <c r="A1961" s="1">
        <v>45641</v>
      </c>
      <c r="B1961" s="2" t="s">
        <v>108</v>
      </c>
      <c r="C1961" s="2" t="s">
        <v>133</v>
      </c>
      <c r="D1961" s="2" t="s">
        <v>88</v>
      </c>
      <c r="E1961" s="2" t="s">
        <v>89</v>
      </c>
      <c r="F1961" s="2" t="s">
        <v>39</v>
      </c>
      <c r="G1961">
        <v>82</v>
      </c>
      <c r="H1961">
        <v>580</v>
      </c>
      <c r="I1961">
        <v>24</v>
      </c>
      <c r="J1961" s="3">
        <v>6125700</v>
      </c>
      <c r="K1961" s="3">
        <v>147016800</v>
      </c>
      <c r="L1961" s="2" t="s">
        <v>25</v>
      </c>
      <c r="M1961" s="2" t="s">
        <v>26</v>
      </c>
      <c r="N1961">
        <v>2024</v>
      </c>
      <c r="O1961" s="2" t="s">
        <v>152</v>
      </c>
      <c r="P1961" s="2" t="s">
        <v>155</v>
      </c>
      <c r="Q1961">
        <v>12</v>
      </c>
      <c r="R1961" s="4">
        <v>45627</v>
      </c>
      <c r="S1961" s="3">
        <v>6125700</v>
      </c>
      <c r="T1961" s="3">
        <v>14.7</v>
      </c>
    </row>
    <row r="1962" spans="1:20" x14ac:dyDescent="0.3">
      <c r="A1962" s="1">
        <v>45641</v>
      </c>
      <c r="B1962" s="2" t="s">
        <v>75</v>
      </c>
      <c r="C1962" s="2" t="s">
        <v>134</v>
      </c>
      <c r="D1962" s="2" t="s">
        <v>67</v>
      </c>
      <c r="E1962" s="2" t="s">
        <v>68</v>
      </c>
      <c r="F1962" s="2" t="s">
        <v>24</v>
      </c>
      <c r="G1962">
        <v>66</v>
      </c>
      <c r="H1962">
        <v>440</v>
      </c>
      <c r="I1962">
        <v>16</v>
      </c>
      <c r="J1962" s="3">
        <v>6437100</v>
      </c>
      <c r="K1962" s="3">
        <v>102993600</v>
      </c>
      <c r="L1962" s="2" t="s">
        <v>25</v>
      </c>
      <c r="M1962" s="2" t="s">
        <v>26</v>
      </c>
      <c r="N1962">
        <v>2024</v>
      </c>
      <c r="O1962" s="2" t="s">
        <v>152</v>
      </c>
      <c r="P1962" s="2" t="s">
        <v>155</v>
      </c>
      <c r="Q1962">
        <v>12</v>
      </c>
      <c r="R1962" s="4">
        <v>45627</v>
      </c>
      <c r="S1962" s="3">
        <v>6437100</v>
      </c>
      <c r="T1962" s="3">
        <v>10.3</v>
      </c>
    </row>
    <row r="1963" spans="1:20" x14ac:dyDescent="0.3">
      <c r="A1963" s="1">
        <v>45641</v>
      </c>
      <c r="B1963" s="2" t="s">
        <v>108</v>
      </c>
      <c r="C1963" s="2" t="s">
        <v>133</v>
      </c>
      <c r="D1963" s="2" t="s">
        <v>57</v>
      </c>
      <c r="E1963" s="2" t="s">
        <v>86</v>
      </c>
      <c r="F1963" s="2" t="s">
        <v>24</v>
      </c>
      <c r="G1963">
        <v>48</v>
      </c>
      <c r="H1963">
        <v>39</v>
      </c>
      <c r="I1963">
        <v>111</v>
      </c>
      <c r="J1963" s="3">
        <v>2325000</v>
      </c>
      <c r="K1963" s="3">
        <v>258075000</v>
      </c>
      <c r="L1963" s="2" t="s">
        <v>33</v>
      </c>
      <c r="M1963" s="2" t="s">
        <v>34</v>
      </c>
      <c r="N1963">
        <v>2024</v>
      </c>
      <c r="O1963" s="2" t="s">
        <v>152</v>
      </c>
      <c r="P1963" s="2" t="s">
        <v>155</v>
      </c>
      <c r="Q1963">
        <v>12</v>
      </c>
      <c r="R1963" s="4">
        <v>45627</v>
      </c>
      <c r="S1963" s="3">
        <v>2325000</v>
      </c>
      <c r="T1963" s="3">
        <v>25.81</v>
      </c>
    </row>
    <row r="1964" spans="1:20" x14ac:dyDescent="0.3">
      <c r="A1964" s="1">
        <v>45641</v>
      </c>
      <c r="B1964" s="2" t="s">
        <v>40</v>
      </c>
      <c r="C1964" s="2" t="s">
        <v>136</v>
      </c>
      <c r="D1964" s="2" t="s">
        <v>88</v>
      </c>
      <c r="E1964" s="2" t="s">
        <v>89</v>
      </c>
      <c r="F1964" s="2" t="s">
        <v>24</v>
      </c>
      <c r="G1964">
        <v>82</v>
      </c>
      <c r="H1964">
        <v>580</v>
      </c>
      <c r="I1964">
        <v>40</v>
      </c>
      <c r="J1964" s="3">
        <v>4909400</v>
      </c>
      <c r="K1964" s="3">
        <v>196376000</v>
      </c>
      <c r="L1964" s="2" t="s">
        <v>33</v>
      </c>
      <c r="M1964" s="2" t="s">
        <v>77</v>
      </c>
      <c r="N1964">
        <v>2024</v>
      </c>
      <c r="O1964" s="2" t="s">
        <v>152</v>
      </c>
      <c r="P1964" s="2" t="s">
        <v>155</v>
      </c>
      <c r="Q1964">
        <v>12</v>
      </c>
      <c r="R1964" s="4">
        <v>45627</v>
      </c>
      <c r="S1964" s="3">
        <v>4909400</v>
      </c>
      <c r="T1964" s="3">
        <v>19.64</v>
      </c>
    </row>
    <row r="1965" spans="1:20" x14ac:dyDescent="0.3">
      <c r="A1965" s="1">
        <v>45642</v>
      </c>
      <c r="B1965" s="2" t="s">
        <v>108</v>
      </c>
      <c r="C1965" s="2" t="s">
        <v>123</v>
      </c>
      <c r="D1965" s="2" t="s">
        <v>82</v>
      </c>
      <c r="E1965" s="2" t="s">
        <v>141</v>
      </c>
      <c r="F1965" s="2" t="s">
        <v>24</v>
      </c>
      <c r="G1965">
        <v>59</v>
      </c>
      <c r="H1965">
        <v>55</v>
      </c>
      <c r="I1965">
        <v>16</v>
      </c>
      <c r="J1965" s="3">
        <v>2882400</v>
      </c>
      <c r="K1965" s="3">
        <v>46118400</v>
      </c>
      <c r="L1965" s="2" t="s">
        <v>33</v>
      </c>
      <c r="M1965" s="2" t="s">
        <v>34</v>
      </c>
      <c r="N1965">
        <v>2024</v>
      </c>
      <c r="O1965" s="2" t="s">
        <v>152</v>
      </c>
      <c r="P1965" s="2" t="s">
        <v>155</v>
      </c>
      <c r="Q1965">
        <v>12</v>
      </c>
      <c r="R1965" s="4">
        <v>45627</v>
      </c>
      <c r="S1965" s="3">
        <v>2882400</v>
      </c>
      <c r="T1965" s="3">
        <v>4.6100000000000003</v>
      </c>
    </row>
    <row r="1966" spans="1:20" x14ac:dyDescent="0.3">
      <c r="A1966" s="1">
        <v>45642</v>
      </c>
      <c r="B1966" s="2" t="s">
        <v>48</v>
      </c>
      <c r="C1966" s="2" t="s">
        <v>98</v>
      </c>
      <c r="D1966" s="2" t="s">
        <v>37</v>
      </c>
      <c r="E1966" s="2" t="s">
        <v>38</v>
      </c>
      <c r="F1966" s="2" t="s">
        <v>24</v>
      </c>
      <c r="G1966">
        <v>66</v>
      </c>
      <c r="H1966">
        <v>423</v>
      </c>
      <c r="I1966">
        <v>31</v>
      </c>
      <c r="J1966" s="3">
        <v>7376600</v>
      </c>
      <c r="K1966" s="3">
        <v>228674600</v>
      </c>
      <c r="L1966" s="2" t="s">
        <v>33</v>
      </c>
      <c r="M1966" s="2" t="s">
        <v>77</v>
      </c>
      <c r="N1966">
        <v>2024</v>
      </c>
      <c r="O1966" s="2" t="s">
        <v>152</v>
      </c>
      <c r="P1966" s="2" t="s">
        <v>155</v>
      </c>
      <c r="Q1966">
        <v>12</v>
      </c>
      <c r="R1966" s="4">
        <v>45627</v>
      </c>
      <c r="S1966" s="3">
        <v>7376600</v>
      </c>
      <c r="T1966" s="3">
        <v>22.87</v>
      </c>
    </row>
    <row r="1967" spans="1:20" x14ac:dyDescent="0.3">
      <c r="A1967" s="1">
        <v>45642</v>
      </c>
      <c r="B1967" s="2" t="s">
        <v>46</v>
      </c>
      <c r="C1967" s="2" t="s">
        <v>47</v>
      </c>
      <c r="D1967" s="2" t="s">
        <v>100</v>
      </c>
      <c r="E1967" s="2" t="s">
        <v>101</v>
      </c>
      <c r="F1967" s="2" t="s">
        <v>24</v>
      </c>
      <c r="G1967">
        <v>3</v>
      </c>
      <c r="H1967">
        <v>150</v>
      </c>
      <c r="I1967">
        <v>157</v>
      </c>
      <c r="J1967" s="3">
        <v>173300</v>
      </c>
      <c r="K1967" s="3">
        <v>27208100</v>
      </c>
      <c r="L1967" s="2" t="s">
        <v>33</v>
      </c>
      <c r="M1967" s="2" t="s">
        <v>77</v>
      </c>
      <c r="N1967">
        <v>2024</v>
      </c>
      <c r="O1967" s="2" t="s">
        <v>152</v>
      </c>
      <c r="P1967" s="2" t="s">
        <v>155</v>
      </c>
      <c r="Q1967">
        <v>12</v>
      </c>
      <c r="R1967" s="4">
        <v>45627</v>
      </c>
      <c r="S1967" s="3">
        <v>173300</v>
      </c>
      <c r="T1967" s="3">
        <v>2.72</v>
      </c>
    </row>
    <row r="1968" spans="1:20" x14ac:dyDescent="0.3">
      <c r="A1968" s="1">
        <v>45643</v>
      </c>
      <c r="B1968" s="2" t="s">
        <v>20</v>
      </c>
      <c r="C1968" s="2" t="s">
        <v>125</v>
      </c>
      <c r="D1968" s="2" t="s">
        <v>88</v>
      </c>
      <c r="E1968" s="2" t="s">
        <v>111</v>
      </c>
      <c r="F1968" s="2" t="s">
        <v>24</v>
      </c>
      <c r="G1968">
        <v>60</v>
      </c>
      <c r="H1968">
        <v>480</v>
      </c>
      <c r="I1968">
        <v>63</v>
      </c>
      <c r="J1968" s="3">
        <v>3556600</v>
      </c>
      <c r="K1968" s="3">
        <v>224065800</v>
      </c>
      <c r="L1968" s="2" t="s">
        <v>25</v>
      </c>
      <c r="M1968" s="2" t="s">
        <v>77</v>
      </c>
      <c r="N1968">
        <v>2024</v>
      </c>
      <c r="O1968" s="2" t="s">
        <v>152</v>
      </c>
      <c r="P1968" s="2" t="s">
        <v>155</v>
      </c>
      <c r="Q1968">
        <v>12</v>
      </c>
      <c r="R1968" s="4">
        <v>45627</v>
      </c>
      <c r="S1968" s="3">
        <v>3556600</v>
      </c>
      <c r="T1968" s="3">
        <v>22.41</v>
      </c>
    </row>
    <row r="1969" spans="1:20" x14ac:dyDescent="0.3">
      <c r="A1969" s="1">
        <v>45643</v>
      </c>
      <c r="B1969" s="2" t="s">
        <v>59</v>
      </c>
      <c r="C1969" s="2" t="s">
        <v>129</v>
      </c>
      <c r="D1969" s="2" t="s">
        <v>94</v>
      </c>
      <c r="E1969" s="2" t="s">
        <v>140</v>
      </c>
      <c r="F1969" s="2" t="s">
        <v>39</v>
      </c>
      <c r="G1969">
        <v>35</v>
      </c>
      <c r="H1969">
        <v>32</v>
      </c>
      <c r="I1969">
        <v>93</v>
      </c>
      <c r="J1969" s="3">
        <v>2003800</v>
      </c>
      <c r="K1969" s="3">
        <v>186353400</v>
      </c>
      <c r="L1969" s="2" t="s">
        <v>33</v>
      </c>
      <c r="M1969" s="2" t="s">
        <v>26</v>
      </c>
      <c r="N1969">
        <v>2024</v>
      </c>
      <c r="O1969" s="2" t="s">
        <v>152</v>
      </c>
      <c r="P1969" s="2" t="s">
        <v>155</v>
      </c>
      <c r="Q1969">
        <v>12</v>
      </c>
      <c r="R1969" s="4">
        <v>45627</v>
      </c>
      <c r="S1969" s="3">
        <v>2003800</v>
      </c>
      <c r="T1969" s="3">
        <v>18.64</v>
      </c>
    </row>
    <row r="1970" spans="1:20" x14ac:dyDescent="0.3">
      <c r="A1970" s="1">
        <v>45644</v>
      </c>
      <c r="B1970" s="2" t="s">
        <v>46</v>
      </c>
      <c r="C1970" s="2" t="s">
        <v>47</v>
      </c>
      <c r="D1970" s="2" t="s">
        <v>100</v>
      </c>
      <c r="E1970" s="2" t="s">
        <v>101</v>
      </c>
      <c r="F1970" s="2" t="s">
        <v>24</v>
      </c>
      <c r="G1970">
        <v>3</v>
      </c>
      <c r="H1970">
        <v>150</v>
      </c>
      <c r="I1970">
        <v>90</v>
      </c>
      <c r="J1970" s="3">
        <v>170600</v>
      </c>
      <c r="K1970" s="3">
        <v>15354000</v>
      </c>
      <c r="L1970" s="2" t="s">
        <v>25</v>
      </c>
      <c r="M1970" s="2" t="s">
        <v>77</v>
      </c>
      <c r="N1970">
        <v>2024</v>
      </c>
      <c r="O1970" s="2" t="s">
        <v>152</v>
      </c>
      <c r="P1970" s="2" t="s">
        <v>155</v>
      </c>
      <c r="Q1970">
        <v>12</v>
      </c>
      <c r="R1970" s="4">
        <v>45627</v>
      </c>
      <c r="S1970" s="3">
        <v>170600</v>
      </c>
      <c r="T1970" s="3">
        <v>1.54</v>
      </c>
    </row>
    <row r="1971" spans="1:20" x14ac:dyDescent="0.3">
      <c r="A1971" s="1">
        <v>45644</v>
      </c>
      <c r="B1971" s="2" t="s">
        <v>48</v>
      </c>
      <c r="C1971" s="2" t="s">
        <v>49</v>
      </c>
      <c r="D1971" s="2" t="s">
        <v>63</v>
      </c>
      <c r="E1971" s="2" t="s">
        <v>64</v>
      </c>
      <c r="F1971" s="2" t="s">
        <v>24</v>
      </c>
      <c r="G1971">
        <v>3</v>
      </c>
      <c r="H1971">
        <v>127</v>
      </c>
      <c r="I1971">
        <v>121</v>
      </c>
      <c r="J1971" s="3">
        <v>162400</v>
      </c>
      <c r="K1971" s="3">
        <v>19650400</v>
      </c>
      <c r="L1971" s="2" t="s">
        <v>33</v>
      </c>
      <c r="M1971" s="2" t="s">
        <v>26</v>
      </c>
      <c r="N1971">
        <v>2024</v>
      </c>
      <c r="O1971" s="2" t="s">
        <v>152</v>
      </c>
      <c r="P1971" s="2" t="s">
        <v>155</v>
      </c>
      <c r="Q1971">
        <v>12</v>
      </c>
      <c r="R1971" s="4">
        <v>45627</v>
      </c>
      <c r="S1971" s="3">
        <v>162400</v>
      </c>
      <c r="T1971" s="3">
        <v>1.97</v>
      </c>
    </row>
    <row r="1972" spans="1:20" x14ac:dyDescent="0.3">
      <c r="A1972" s="1">
        <v>45644</v>
      </c>
      <c r="B1972" s="2" t="s">
        <v>48</v>
      </c>
      <c r="C1972" s="2" t="s">
        <v>73</v>
      </c>
      <c r="D1972" s="2" t="s">
        <v>82</v>
      </c>
      <c r="E1972" s="2" t="s">
        <v>83</v>
      </c>
      <c r="F1972" s="2" t="s">
        <v>24</v>
      </c>
      <c r="G1972">
        <v>40</v>
      </c>
      <c r="H1972">
        <v>39</v>
      </c>
      <c r="I1972">
        <v>164</v>
      </c>
      <c r="J1972" s="3">
        <v>2531600</v>
      </c>
      <c r="K1972" s="3">
        <v>415182400</v>
      </c>
      <c r="L1972" s="2" t="s">
        <v>25</v>
      </c>
      <c r="M1972" s="2" t="s">
        <v>77</v>
      </c>
      <c r="N1972">
        <v>2024</v>
      </c>
      <c r="O1972" s="2" t="s">
        <v>152</v>
      </c>
      <c r="P1972" s="2" t="s">
        <v>155</v>
      </c>
      <c r="Q1972">
        <v>12</v>
      </c>
      <c r="R1972" s="4">
        <v>45627</v>
      </c>
      <c r="S1972" s="3">
        <v>2531600</v>
      </c>
      <c r="T1972" s="3">
        <v>41.52</v>
      </c>
    </row>
    <row r="1973" spans="1:20" x14ac:dyDescent="0.3">
      <c r="A1973" s="1">
        <v>45644</v>
      </c>
      <c r="B1973" s="2" t="s">
        <v>108</v>
      </c>
      <c r="C1973" s="2" t="s">
        <v>133</v>
      </c>
      <c r="D1973" s="2" t="s">
        <v>22</v>
      </c>
      <c r="E1973" s="2" t="s">
        <v>23</v>
      </c>
      <c r="F1973" s="2" t="s">
        <v>39</v>
      </c>
      <c r="G1973">
        <v>82</v>
      </c>
      <c r="H1973">
        <v>520</v>
      </c>
      <c r="I1973">
        <v>16</v>
      </c>
      <c r="J1973" s="3">
        <v>7605400</v>
      </c>
      <c r="K1973" s="3">
        <v>121686400</v>
      </c>
      <c r="L1973" s="2" t="s">
        <v>33</v>
      </c>
      <c r="M1973" s="2" t="s">
        <v>26</v>
      </c>
      <c r="N1973">
        <v>2024</v>
      </c>
      <c r="O1973" s="2" t="s">
        <v>152</v>
      </c>
      <c r="P1973" s="2" t="s">
        <v>155</v>
      </c>
      <c r="Q1973">
        <v>12</v>
      </c>
      <c r="R1973" s="4">
        <v>45627</v>
      </c>
      <c r="S1973" s="3">
        <v>7605400</v>
      </c>
      <c r="T1973" s="3">
        <v>12.17</v>
      </c>
    </row>
    <row r="1974" spans="1:20" x14ac:dyDescent="0.3">
      <c r="A1974" s="1">
        <v>45645</v>
      </c>
      <c r="B1974" s="2" t="s">
        <v>84</v>
      </c>
      <c r="C1974" s="2" t="s">
        <v>113</v>
      </c>
      <c r="D1974" s="2" t="s">
        <v>54</v>
      </c>
      <c r="E1974" s="2" t="s">
        <v>55</v>
      </c>
      <c r="F1974" s="2" t="s">
        <v>24</v>
      </c>
      <c r="G1974">
        <v>30</v>
      </c>
      <c r="H1974">
        <v>320</v>
      </c>
      <c r="I1974">
        <v>12</v>
      </c>
      <c r="J1974" s="3">
        <v>1395800</v>
      </c>
      <c r="K1974" s="3">
        <v>16749600</v>
      </c>
      <c r="L1974" s="2" t="s">
        <v>33</v>
      </c>
      <c r="M1974" s="2" t="s">
        <v>77</v>
      </c>
      <c r="N1974">
        <v>2024</v>
      </c>
      <c r="O1974" s="2" t="s">
        <v>152</v>
      </c>
      <c r="P1974" s="2" t="s">
        <v>155</v>
      </c>
      <c r="Q1974">
        <v>12</v>
      </c>
      <c r="R1974" s="4">
        <v>45627</v>
      </c>
      <c r="S1974" s="3">
        <v>1395800</v>
      </c>
      <c r="T1974" s="3">
        <v>1.67</v>
      </c>
    </row>
    <row r="1975" spans="1:20" x14ac:dyDescent="0.3">
      <c r="A1975" s="1">
        <v>45645</v>
      </c>
      <c r="B1975" s="2" t="s">
        <v>29</v>
      </c>
      <c r="C1975" s="2" t="s">
        <v>104</v>
      </c>
      <c r="D1975" s="2" t="s">
        <v>42</v>
      </c>
      <c r="E1975" s="2" t="s">
        <v>43</v>
      </c>
      <c r="F1975" s="2" t="s">
        <v>24</v>
      </c>
      <c r="G1975">
        <v>3</v>
      </c>
      <c r="H1975">
        <v>135</v>
      </c>
      <c r="I1975">
        <v>85</v>
      </c>
      <c r="J1975" s="3">
        <v>112600</v>
      </c>
      <c r="K1975" s="3">
        <v>9571000</v>
      </c>
      <c r="L1975" s="2" t="s">
        <v>33</v>
      </c>
      <c r="M1975" s="2" t="s">
        <v>26</v>
      </c>
      <c r="N1975">
        <v>2024</v>
      </c>
      <c r="O1975" s="2" t="s">
        <v>152</v>
      </c>
      <c r="P1975" s="2" t="s">
        <v>155</v>
      </c>
      <c r="Q1975">
        <v>12</v>
      </c>
      <c r="R1975" s="4">
        <v>45627</v>
      </c>
      <c r="S1975" s="3">
        <v>112600</v>
      </c>
      <c r="T1975" s="3">
        <v>0.96</v>
      </c>
    </row>
    <row r="1976" spans="1:20" x14ac:dyDescent="0.3">
      <c r="A1976" s="1">
        <v>45646</v>
      </c>
      <c r="B1976" s="2" t="s">
        <v>48</v>
      </c>
      <c r="C1976" s="2" t="s">
        <v>69</v>
      </c>
      <c r="D1976" s="2" t="s">
        <v>82</v>
      </c>
      <c r="E1976" s="2" t="s">
        <v>83</v>
      </c>
      <c r="F1976" s="2" t="s">
        <v>39</v>
      </c>
      <c r="G1976">
        <v>40</v>
      </c>
      <c r="H1976">
        <v>39</v>
      </c>
      <c r="I1976">
        <v>91</v>
      </c>
      <c r="J1976" s="3">
        <v>2181400</v>
      </c>
      <c r="K1976" s="3">
        <v>198507400</v>
      </c>
      <c r="L1976" s="2" t="s">
        <v>33</v>
      </c>
      <c r="M1976" s="2" t="s">
        <v>34</v>
      </c>
      <c r="N1976">
        <v>2024</v>
      </c>
      <c r="O1976" s="2" t="s">
        <v>152</v>
      </c>
      <c r="P1976" s="2" t="s">
        <v>155</v>
      </c>
      <c r="Q1976">
        <v>12</v>
      </c>
      <c r="R1976" s="4">
        <v>45627</v>
      </c>
      <c r="S1976" s="3">
        <v>2181400</v>
      </c>
      <c r="T1976" s="3">
        <v>19.850000000000001</v>
      </c>
    </row>
    <row r="1977" spans="1:20" x14ac:dyDescent="0.3">
      <c r="A1977" s="1">
        <v>45647</v>
      </c>
      <c r="B1977" s="2" t="s">
        <v>48</v>
      </c>
      <c r="C1977" s="2" t="s">
        <v>73</v>
      </c>
      <c r="D1977" s="2" t="s">
        <v>79</v>
      </c>
      <c r="E1977" s="2" t="s">
        <v>80</v>
      </c>
      <c r="F1977" s="2" t="s">
        <v>24</v>
      </c>
      <c r="G1977">
        <v>69</v>
      </c>
      <c r="H1977">
        <v>418</v>
      </c>
      <c r="I1977">
        <v>41</v>
      </c>
      <c r="J1977" s="3">
        <v>5005800</v>
      </c>
      <c r="K1977" s="3">
        <v>205237800</v>
      </c>
      <c r="L1977" s="2" t="s">
        <v>25</v>
      </c>
      <c r="M1977" s="2" t="s">
        <v>77</v>
      </c>
      <c r="N1977">
        <v>2024</v>
      </c>
      <c r="O1977" s="2" t="s">
        <v>152</v>
      </c>
      <c r="P1977" s="2" t="s">
        <v>155</v>
      </c>
      <c r="Q1977">
        <v>12</v>
      </c>
      <c r="R1977" s="4">
        <v>45627</v>
      </c>
      <c r="S1977" s="3">
        <v>5005800</v>
      </c>
      <c r="T1977" s="3">
        <v>20.52</v>
      </c>
    </row>
    <row r="1978" spans="1:20" x14ac:dyDescent="0.3">
      <c r="A1978" s="1">
        <v>45647</v>
      </c>
      <c r="B1978" s="2" t="s">
        <v>48</v>
      </c>
      <c r="C1978" s="2" t="s">
        <v>73</v>
      </c>
      <c r="D1978" s="2" t="s">
        <v>94</v>
      </c>
      <c r="E1978" s="2" t="s">
        <v>140</v>
      </c>
      <c r="F1978" s="2" t="s">
        <v>24</v>
      </c>
      <c r="G1978">
        <v>35</v>
      </c>
      <c r="H1978">
        <v>32</v>
      </c>
      <c r="I1978">
        <v>131</v>
      </c>
      <c r="J1978" s="3">
        <v>2073500</v>
      </c>
      <c r="K1978" s="3">
        <v>271628500</v>
      </c>
      <c r="L1978" s="2" t="s">
        <v>33</v>
      </c>
      <c r="M1978" s="2" t="s">
        <v>26</v>
      </c>
      <c r="N1978">
        <v>2024</v>
      </c>
      <c r="O1978" s="2" t="s">
        <v>152</v>
      </c>
      <c r="P1978" s="2" t="s">
        <v>155</v>
      </c>
      <c r="Q1978">
        <v>12</v>
      </c>
      <c r="R1978" s="4">
        <v>45627</v>
      </c>
      <c r="S1978" s="3">
        <v>2073500</v>
      </c>
      <c r="T1978" s="3">
        <v>27.16</v>
      </c>
    </row>
    <row r="1979" spans="1:20" x14ac:dyDescent="0.3">
      <c r="A1979" s="1">
        <v>45648</v>
      </c>
      <c r="B1979" s="2" t="s">
        <v>84</v>
      </c>
      <c r="C1979" s="2" t="s">
        <v>93</v>
      </c>
      <c r="D1979" s="2" t="s">
        <v>42</v>
      </c>
      <c r="E1979" s="2" t="s">
        <v>43</v>
      </c>
      <c r="F1979" s="2" t="s">
        <v>24</v>
      </c>
      <c r="G1979">
        <v>3</v>
      </c>
      <c r="H1979">
        <v>135</v>
      </c>
      <c r="I1979">
        <v>135</v>
      </c>
      <c r="J1979" s="3">
        <v>124600</v>
      </c>
      <c r="K1979" s="3">
        <v>16821000</v>
      </c>
      <c r="L1979" s="2" t="s">
        <v>33</v>
      </c>
      <c r="M1979" s="2" t="s">
        <v>26</v>
      </c>
      <c r="N1979">
        <v>2024</v>
      </c>
      <c r="O1979" s="2" t="s">
        <v>152</v>
      </c>
      <c r="P1979" s="2" t="s">
        <v>155</v>
      </c>
      <c r="Q1979">
        <v>12</v>
      </c>
      <c r="R1979" s="4">
        <v>45627</v>
      </c>
      <c r="S1979" s="3">
        <v>124600</v>
      </c>
      <c r="T1979" s="3">
        <v>1.68</v>
      </c>
    </row>
    <row r="1980" spans="1:20" x14ac:dyDescent="0.3">
      <c r="A1980" s="1">
        <v>45649</v>
      </c>
      <c r="B1980" s="2" t="s">
        <v>20</v>
      </c>
      <c r="C1980" s="2" t="s">
        <v>125</v>
      </c>
      <c r="D1980" s="2" t="s">
        <v>50</v>
      </c>
      <c r="E1980" s="2" t="s">
        <v>51</v>
      </c>
      <c r="F1980" s="2" t="s">
        <v>39</v>
      </c>
      <c r="G1980">
        <v>77</v>
      </c>
      <c r="H1980">
        <v>528</v>
      </c>
      <c r="I1980">
        <v>3</v>
      </c>
      <c r="J1980" s="3">
        <v>5875900</v>
      </c>
      <c r="K1980" s="3">
        <v>17627700</v>
      </c>
      <c r="L1980" s="2" t="s">
        <v>33</v>
      </c>
      <c r="M1980" s="2" t="s">
        <v>26</v>
      </c>
      <c r="N1980">
        <v>2024</v>
      </c>
      <c r="O1980" s="2" t="s">
        <v>152</v>
      </c>
      <c r="P1980" s="2" t="s">
        <v>155</v>
      </c>
      <c r="Q1980">
        <v>12</v>
      </c>
      <c r="R1980" s="4">
        <v>45627</v>
      </c>
      <c r="S1980" s="3">
        <v>5875900</v>
      </c>
      <c r="T1980" s="3">
        <v>1.76</v>
      </c>
    </row>
    <row r="1981" spans="1:20" x14ac:dyDescent="0.3">
      <c r="A1981" s="1">
        <v>45649</v>
      </c>
      <c r="B1981" s="2" t="s">
        <v>46</v>
      </c>
      <c r="C1981" s="2" t="s">
        <v>110</v>
      </c>
      <c r="D1981" s="2" t="s">
        <v>102</v>
      </c>
      <c r="E1981" s="2" t="s">
        <v>103</v>
      </c>
      <c r="F1981" s="2" t="s">
        <v>24</v>
      </c>
      <c r="G1981">
        <v>5</v>
      </c>
      <c r="H1981">
        <v>150</v>
      </c>
      <c r="I1981">
        <v>115</v>
      </c>
      <c r="J1981" s="3">
        <v>164700</v>
      </c>
      <c r="K1981" s="3">
        <v>18940500</v>
      </c>
      <c r="L1981" s="2" t="s">
        <v>33</v>
      </c>
      <c r="M1981" s="2" t="s">
        <v>26</v>
      </c>
      <c r="N1981">
        <v>2024</v>
      </c>
      <c r="O1981" s="2" t="s">
        <v>152</v>
      </c>
      <c r="P1981" s="2" t="s">
        <v>155</v>
      </c>
      <c r="Q1981">
        <v>12</v>
      </c>
      <c r="R1981" s="4">
        <v>45627</v>
      </c>
      <c r="S1981" s="3">
        <v>164700</v>
      </c>
      <c r="T1981" s="3">
        <v>1.89</v>
      </c>
    </row>
    <row r="1982" spans="1:20" x14ac:dyDescent="0.3">
      <c r="A1982" s="1">
        <v>45649</v>
      </c>
      <c r="B1982" s="2" t="s">
        <v>20</v>
      </c>
      <c r="C1982" s="2" t="s">
        <v>21</v>
      </c>
      <c r="D1982" s="2" t="s">
        <v>94</v>
      </c>
      <c r="E1982" s="2" t="s">
        <v>115</v>
      </c>
      <c r="F1982" s="2" t="s">
        <v>72</v>
      </c>
      <c r="G1982">
        <v>24</v>
      </c>
      <c r="H1982">
        <v>24</v>
      </c>
      <c r="I1982">
        <v>75</v>
      </c>
      <c r="J1982" s="3">
        <v>1442100</v>
      </c>
      <c r="K1982" s="3">
        <v>108157500</v>
      </c>
      <c r="L1982" s="2" t="s">
        <v>33</v>
      </c>
      <c r="M1982" s="2" t="s">
        <v>26</v>
      </c>
      <c r="N1982">
        <v>2024</v>
      </c>
      <c r="O1982" s="2" t="s">
        <v>152</v>
      </c>
      <c r="P1982" s="2" t="s">
        <v>155</v>
      </c>
      <c r="Q1982">
        <v>12</v>
      </c>
      <c r="R1982" s="4">
        <v>45627</v>
      </c>
      <c r="S1982" s="3">
        <v>1442100</v>
      </c>
      <c r="T1982" s="3">
        <v>10.82</v>
      </c>
    </row>
    <row r="1983" spans="1:20" x14ac:dyDescent="0.3">
      <c r="A1983" s="1">
        <v>45649</v>
      </c>
      <c r="B1983" s="2" t="s">
        <v>48</v>
      </c>
      <c r="C1983" s="2" t="s">
        <v>69</v>
      </c>
      <c r="D1983" s="2" t="s">
        <v>102</v>
      </c>
      <c r="E1983" s="2" t="s">
        <v>103</v>
      </c>
      <c r="F1983" s="2" t="s">
        <v>24</v>
      </c>
      <c r="G1983">
        <v>5</v>
      </c>
      <c r="H1983">
        <v>150</v>
      </c>
      <c r="I1983">
        <v>86</v>
      </c>
      <c r="J1983" s="3">
        <v>144300</v>
      </c>
      <c r="K1983" s="3">
        <v>12409800</v>
      </c>
      <c r="L1983" s="2" t="s">
        <v>92</v>
      </c>
      <c r="M1983" s="2" t="s">
        <v>77</v>
      </c>
      <c r="N1983">
        <v>2024</v>
      </c>
      <c r="O1983" s="2" t="s">
        <v>152</v>
      </c>
      <c r="P1983" s="2" t="s">
        <v>155</v>
      </c>
      <c r="Q1983">
        <v>12</v>
      </c>
      <c r="R1983" s="4">
        <v>45627</v>
      </c>
      <c r="S1983" s="3">
        <v>144300</v>
      </c>
      <c r="T1983" s="3">
        <v>1.24</v>
      </c>
    </row>
    <row r="1984" spans="1:20" x14ac:dyDescent="0.3">
      <c r="A1984" s="1">
        <v>45650</v>
      </c>
      <c r="B1984" s="2" t="s">
        <v>52</v>
      </c>
      <c r="C1984" s="2" t="s">
        <v>66</v>
      </c>
      <c r="D1984" s="2" t="s">
        <v>22</v>
      </c>
      <c r="E1984" s="2" t="s">
        <v>23</v>
      </c>
      <c r="F1984" s="2" t="s">
        <v>24</v>
      </c>
      <c r="G1984">
        <v>82</v>
      </c>
      <c r="H1984">
        <v>520</v>
      </c>
      <c r="I1984">
        <v>14</v>
      </c>
      <c r="J1984" s="3">
        <v>5831700</v>
      </c>
      <c r="K1984" s="3">
        <v>81643800</v>
      </c>
      <c r="L1984" s="2" t="s">
        <v>33</v>
      </c>
      <c r="M1984" s="2" t="s">
        <v>26</v>
      </c>
      <c r="N1984">
        <v>2024</v>
      </c>
      <c r="O1984" s="2" t="s">
        <v>152</v>
      </c>
      <c r="P1984" s="2" t="s">
        <v>155</v>
      </c>
      <c r="Q1984">
        <v>12</v>
      </c>
      <c r="R1984" s="4">
        <v>45627</v>
      </c>
      <c r="S1984" s="3">
        <v>5831700</v>
      </c>
      <c r="T1984" s="3">
        <v>8.16</v>
      </c>
    </row>
    <row r="1985" spans="1:20" x14ac:dyDescent="0.3">
      <c r="A1985" s="1">
        <v>45650</v>
      </c>
      <c r="B1985" s="2" t="s">
        <v>90</v>
      </c>
      <c r="C1985" s="2" t="s">
        <v>114</v>
      </c>
      <c r="D1985" s="2" t="s">
        <v>70</v>
      </c>
      <c r="E1985" s="2" t="s">
        <v>74</v>
      </c>
      <c r="F1985" s="2" t="s">
        <v>24</v>
      </c>
      <c r="G1985">
        <v>25</v>
      </c>
      <c r="H1985">
        <v>32</v>
      </c>
      <c r="I1985">
        <v>29</v>
      </c>
      <c r="J1985" s="3">
        <v>1186300</v>
      </c>
      <c r="K1985" s="3">
        <v>34402700</v>
      </c>
      <c r="L1985" s="2" t="s">
        <v>92</v>
      </c>
      <c r="M1985" s="2" t="s">
        <v>77</v>
      </c>
      <c r="N1985">
        <v>2024</v>
      </c>
      <c r="O1985" s="2" t="s">
        <v>152</v>
      </c>
      <c r="P1985" s="2" t="s">
        <v>155</v>
      </c>
      <c r="Q1985">
        <v>12</v>
      </c>
      <c r="R1985" s="4">
        <v>45627</v>
      </c>
      <c r="S1985" s="3">
        <v>1186300</v>
      </c>
      <c r="T1985" s="3">
        <v>3.44</v>
      </c>
    </row>
    <row r="1986" spans="1:20" x14ac:dyDescent="0.3">
      <c r="A1986" s="1">
        <v>45651</v>
      </c>
      <c r="B1986" s="2" t="s">
        <v>106</v>
      </c>
      <c r="C1986" s="2" t="s">
        <v>120</v>
      </c>
      <c r="D1986" s="2" t="s">
        <v>67</v>
      </c>
      <c r="E1986" s="2" t="s">
        <v>68</v>
      </c>
      <c r="F1986" s="2" t="s">
        <v>24</v>
      </c>
      <c r="G1986">
        <v>66</v>
      </c>
      <c r="H1986">
        <v>440</v>
      </c>
      <c r="I1986">
        <v>15</v>
      </c>
      <c r="J1986" s="3">
        <v>5673800</v>
      </c>
      <c r="K1986" s="3">
        <v>85107000</v>
      </c>
      <c r="L1986" s="2" t="s">
        <v>33</v>
      </c>
      <c r="M1986" s="2" t="s">
        <v>77</v>
      </c>
      <c r="N1986">
        <v>2024</v>
      </c>
      <c r="O1986" s="2" t="s">
        <v>152</v>
      </c>
      <c r="P1986" s="2" t="s">
        <v>155</v>
      </c>
      <c r="Q1986">
        <v>12</v>
      </c>
      <c r="R1986" s="4">
        <v>45627</v>
      </c>
      <c r="S1986" s="3">
        <v>5673800</v>
      </c>
      <c r="T1986" s="3">
        <v>8.51</v>
      </c>
    </row>
    <row r="1987" spans="1:20" x14ac:dyDescent="0.3">
      <c r="A1987" s="1">
        <v>45651</v>
      </c>
      <c r="B1987" s="2" t="s">
        <v>48</v>
      </c>
      <c r="C1987" s="2" t="s">
        <v>69</v>
      </c>
      <c r="D1987" s="2" t="s">
        <v>88</v>
      </c>
      <c r="E1987" s="2" t="s">
        <v>111</v>
      </c>
      <c r="F1987" s="2" t="s">
        <v>24</v>
      </c>
      <c r="G1987">
        <v>60</v>
      </c>
      <c r="H1987">
        <v>480</v>
      </c>
      <c r="I1987">
        <v>31</v>
      </c>
      <c r="J1987" s="3">
        <v>3508600</v>
      </c>
      <c r="K1987" s="3">
        <v>108766600</v>
      </c>
      <c r="L1987" s="2" t="s">
        <v>25</v>
      </c>
      <c r="M1987" s="2" t="s">
        <v>34</v>
      </c>
      <c r="N1987">
        <v>2024</v>
      </c>
      <c r="O1987" s="2" t="s">
        <v>152</v>
      </c>
      <c r="P1987" s="2" t="s">
        <v>155</v>
      </c>
      <c r="Q1987">
        <v>12</v>
      </c>
      <c r="R1987" s="4">
        <v>45627</v>
      </c>
      <c r="S1987" s="3">
        <v>3508600</v>
      </c>
      <c r="T1987" s="3">
        <v>10.88</v>
      </c>
    </row>
    <row r="1988" spans="1:20" x14ac:dyDescent="0.3">
      <c r="A1988" s="1">
        <v>45651</v>
      </c>
      <c r="B1988" s="2" t="s">
        <v>108</v>
      </c>
      <c r="C1988" s="2" t="s">
        <v>123</v>
      </c>
      <c r="D1988" s="2" t="s">
        <v>42</v>
      </c>
      <c r="E1988" s="2" t="s">
        <v>43</v>
      </c>
      <c r="F1988" s="2" t="s">
        <v>24</v>
      </c>
      <c r="G1988">
        <v>3</v>
      </c>
      <c r="H1988">
        <v>135</v>
      </c>
      <c r="I1988">
        <v>46</v>
      </c>
      <c r="J1988" s="3">
        <v>133800</v>
      </c>
      <c r="K1988" s="3">
        <v>6154800</v>
      </c>
      <c r="L1988" s="2" t="s">
        <v>33</v>
      </c>
      <c r="M1988" s="2" t="s">
        <v>26</v>
      </c>
      <c r="N1988">
        <v>2024</v>
      </c>
      <c r="O1988" s="2" t="s">
        <v>152</v>
      </c>
      <c r="P1988" s="2" t="s">
        <v>155</v>
      </c>
      <c r="Q1988">
        <v>12</v>
      </c>
      <c r="R1988" s="4">
        <v>45627</v>
      </c>
      <c r="S1988" s="3">
        <v>133800</v>
      </c>
      <c r="T1988" s="3">
        <v>0.62</v>
      </c>
    </row>
    <row r="1989" spans="1:20" x14ac:dyDescent="0.3">
      <c r="A1989" s="1">
        <v>45652</v>
      </c>
      <c r="B1989" s="2" t="s">
        <v>29</v>
      </c>
      <c r="C1989" s="2" t="s">
        <v>104</v>
      </c>
      <c r="D1989" s="2" t="s">
        <v>50</v>
      </c>
      <c r="E1989" s="2" t="s">
        <v>51</v>
      </c>
      <c r="F1989" s="2" t="s">
        <v>24</v>
      </c>
      <c r="G1989">
        <v>77</v>
      </c>
      <c r="H1989">
        <v>528</v>
      </c>
      <c r="I1989">
        <v>78</v>
      </c>
      <c r="J1989" s="3">
        <v>4611600</v>
      </c>
      <c r="K1989" s="3">
        <v>359704800</v>
      </c>
      <c r="L1989" s="2" t="s">
        <v>25</v>
      </c>
      <c r="M1989" s="2" t="s">
        <v>26</v>
      </c>
      <c r="N1989">
        <v>2024</v>
      </c>
      <c r="O1989" s="2" t="s">
        <v>152</v>
      </c>
      <c r="P1989" s="2" t="s">
        <v>155</v>
      </c>
      <c r="Q1989">
        <v>12</v>
      </c>
      <c r="R1989" s="4">
        <v>45627</v>
      </c>
      <c r="S1989" s="3">
        <v>4611600</v>
      </c>
      <c r="T1989" s="3">
        <v>35.97</v>
      </c>
    </row>
    <row r="1990" spans="1:20" x14ac:dyDescent="0.3">
      <c r="A1990" s="1">
        <v>45652</v>
      </c>
      <c r="B1990" s="2" t="s">
        <v>35</v>
      </c>
      <c r="C1990" s="2" t="s">
        <v>121</v>
      </c>
      <c r="D1990" s="2" t="s">
        <v>70</v>
      </c>
      <c r="E1990" s="2" t="s">
        <v>74</v>
      </c>
      <c r="F1990" s="2" t="s">
        <v>24</v>
      </c>
      <c r="G1990">
        <v>25</v>
      </c>
      <c r="H1990">
        <v>32</v>
      </c>
      <c r="I1990">
        <v>42</v>
      </c>
      <c r="J1990" s="3">
        <v>1112200</v>
      </c>
      <c r="K1990" s="3">
        <v>46712400</v>
      </c>
      <c r="L1990" s="2" t="s">
        <v>33</v>
      </c>
      <c r="M1990" s="2" t="s">
        <v>77</v>
      </c>
      <c r="N1990">
        <v>2024</v>
      </c>
      <c r="O1990" s="2" t="s">
        <v>152</v>
      </c>
      <c r="P1990" s="2" t="s">
        <v>155</v>
      </c>
      <c r="Q1990">
        <v>12</v>
      </c>
      <c r="R1990" s="4">
        <v>45627</v>
      </c>
      <c r="S1990" s="3">
        <v>1112200</v>
      </c>
      <c r="T1990" s="3">
        <v>4.67</v>
      </c>
    </row>
    <row r="1991" spans="1:20" x14ac:dyDescent="0.3">
      <c r="A1991" s="1">
        <v>45653</v>
      </c>
      <c r="B1991" s="2" t="s">
        <v>108</v>
      </c>
      <c r="C1991" s="2" t="s">
        <v>133</v>
      </c>
      <c r="D1991" s="2" t="s">
        <v>22</v>
      </c>
      <c r="E1991" s="2" t="s">
        <v>23</v>
      </c>
      <c r="F1991" s="2" t="s">
        <v>72</v>
      </c>
      <c r="G1991">
        <v>82</v>
      </c>
      <c r="H1991">
        <v>520</v>
      </c>
      <c r="I1991">
        <v>27</v>
      </c>
      <c r="J1991" s="3">
        <v>7498400</v>
      </c>
      <c r="K1991" s="3">
        <v>202456800</v>
      </c>
      <c r="L1991" s="2" t="s">
        <v>25</v>
      </c>
      <c r="M1991" s="2" t="s">
        <v>77</v>
      </c>
      <c r="N1991">
        <v>2024</v>
      </c>
      <c r="O1991" s="2" t="s">
        <v>152</v>
      </c>
      <c r="P1991" s="2" t="s">
        <v>155</v>
      </c>
      <c r="Q1991">
        <v>12</v>
      </c>
      <c r="R1991" s="4">
        <v>45627</v>
      </c>
      <c r="S1991" s="3">
        <v>7498400</v>
      </c>
      <c r="T1991" s="3">
        <v>20.25</v>
      </c>
    </row>
    <row r="1992" spans="1:20" x14ac:dyDescent="0.3">
      <c r="A1992" s="1">
        <v>45653</v>
      </c>
      <c r="B1992" s="2" t="s">
        <v>90</v>
      </c>
      <c r="C1992" s="2" t="s">
        <v>128</v>
      </c>
      <c r="D1992" s="2" t="s">
        <v>31</v>
      </c>
      <c r="E1992" s="2" t="s">
        <v>32</v>
      </c>
      <c r="F1992" s="2" t="s">
        <v>24</v>
      </c>
      <c r="G1992">
        <v>4</v>
      </c>
      <c r="H1992">
        <v>195</v>
      </c>
      <c r="I1992">
        <v>114</v>
      </c>
      <c r="J1992" s="3">
        <v>147600</v>
      </c>
      <c r="K1992" s="3">
        <v>16826400</v>
      </c>
      <c r="L1992" s="2" t="s">
        <v>33</v>
      </c>
      <c r="M1992" s="2" t="s">
        <v>26</v>
      </c>
      <c r="N1992">
        <v>2024</v>
      </c>
      <c r="O1992" s="2" t="s">
        <v>152</v>
      </c>
      <c r="P1992" s="2" t="s">
        <v>155</v>
      </c>
      <c r="Q1992">
        <v>12</v>
      </c>
      <c r="R1992" s="4">
        <v>45627</v>
      </c>
      <c r="S1992" s="3">
        <v>147600</v>
      </c>
      <c r="T1992" s="3">
        <v>1.68</v>
      </c>
    </row>
    <row r="1993" spans="1:20" x14ac:dyDescent="0.3">
      <c r="A1993" s="1">
        <v>45653</v>
      </c>
      <c r="B1993" s="2" t="s">
        <v>40</v>
      </c>
      <c r="C1993" s="2" t="s">
        <v>41</v>
      </c>
      <c r="D1993" s="2" t="s">
        <v>57</v>
      </c>
      <c r="E1993" s="2" t="s">
        <v>58</v>
      </c>
      <c r="F1993" s="2" t="s">
        <v>24</v>
      </c>
      <c r="G1993">
        <v>72</v>
      </c>
      <c r="H1993">
        <v>488</v>
      </c>
      <c r="I1993">
        <v>77</v>
      </c>
      <c r="J1993" s="3">
        <v>4610700</v>
      </c>
      <c r="K1993" s="3">
        <v>355023900</v>
      </c>
      <c r="L1993" s="2" t="s">
        <v>33</v>
      </c>
      <c r="M1993" s="2" t="s">
        <v>26</v>
      </c>
      <c r="N1993">
        <v>2024</v>
      </c>
      <c r="O1993" s="2" t="s">
        <v>152</v>
      </c>
      <c r="P1993" s="2" t="s">
        <v>155</v>
      </c>
      <c r="Q1993">
        <v>12</v>
      </c>
      <c r="R1993" s="4">
        <v>45627</v>
      </c>
      <c r="S1993" s="3">
        <v>4610700</v>
      </c>
      <c r="T1993" s="3">
        <v>35.5</v>
      </c>
    </row>
    <row r="1994" spans="1:20" x14ac:dyDescent="0.3">
      <c r="A1994" s="1">
        <v>45654</v>
      </c>
      <c r="B1994" s="2" t="s">
        <v>40</v>
      </c>
      <c r="C1994" s="2" t="s">
        <v>41</v>
      </c>
      <c r="D1994" s="2" t="s">
        <v>102</v>
      </c>
      <c r="E1994" s="2" t="s">
        <v>103</v>
      </c>
      <c r="F1994" s="2" t="s">
        <v>24</v>
      </c>
      <c r="G1994">
        <v>5</v>
      </c>
      <c r="H1994">
        <v>150</v>
      </c>
      <c r="I1994">
        <v>137</v>
      </c>
      <c r="J1994" s="3">
        <v>146400</v>
      </c>
      <c r="K1994" s="3">
        <v>20056800</v>
      </c>
      <c r="L1994" s="2" t="s">
        <v>33</v>
      </c>
      <c r="M1994" s="2" t="s">
        <v>97</v>
      </c>
      <c r="N1994">
        <v>2024</v>
      </c>
      <c r="O1994" s="2" t="s">
        <v>152</v>
      </c>
      <c r="P1994" s="2" t="s">
        <v>155</v>
      </c>
      <c r="Q1994">
        <v>12</v>
      </c>
      <c r="R1994" s="4">
        <v>45627</v>
      </c>
      <c r="S1994" s="3">
        <v>146400</v>
      </c>
      <c r="T1994" s="3">
        <v>2.0099999999999998</v>
      </c>
    </row>
    <row r="1995" spans="1:20" x14ac:dyDescent="0.3">
      <c r="A1995" s="1">
        <v>45654</v>
      </c>
      <c r="B1995" s="2" t="s">
        <v>52</v>
      </c>
      <c r="C1995" s="2" t="s">
        <v>116</v>
      </c>
      <c r="D1995" s="2" t="s">
        <v>67</v>
      </c>
      <c r="E1995" s="2" t="s">
        <v>118</v>
      </c>
      <c r="F1995" s="2" t="s">
        <v>24</v>
      </c>
      <c r="G1995">
        <v>84</v>
      </c>
      <c r="H1995">
        <v>590</v>
      </c>
      <c r="I1995">
        <v>62</v>
      </c>
      <c r="J1995" s="3">
        <v>7599300</v>
      </c>
      <c r="K1995" s="3">
        <v>471156600</v>
      </c>
      <c r="L1995" s="2" t="s">
        <v>33</v>
      </c>
      <c r="M1995" s="2" t="s">
        <v>26</v>
      </c>
      <c r="N1995">
        <v>2024</v>
      </c>
      <c r="O1995" s="2" t="s">
        <v>152</v>
      </c>
      <c r="P1995" s="2" t="s">
        <v>155</v>
      </c>
      <c r="Q1995">
        <v>12</v>
      </c>
      <c r="R1995" s="4">
        <v>45627</v>
      </c>
      <c r="S1995" s="3">
        <v>7599300</v>
      </c>
      <c r="T1995" s="3">
        <v>47.12</v>
      </c>
    </row>
    <row r="1996" spans="1:20" x14ac:dyDescent="0.3">
      <c r="A1996" s="1">
        <v>45655</v>
      </c>
      <c r="B1996" s="2" t="s">
        <v>108</v>
      </c>
      <c r="C1996" s="2" t="s">
        <v>131</v>
      </c>
      <c r="D1996" s="2" t="s">
        <v>31</v>
      </c>
      <c r="E1996" s="2" t="s">
        <v>32</v>
      </c>
      <c r="F1996" s="2" t="s">
        <v>24</v>
      </c>
      <c r="G1996">
        <v>4</v>
      </c>
      <c r="H1996">
        <v>195</v>
      </c>
      <c r="I1996">
        <v>158</v>
      </c>
      <c r="J1996" s="3">
        <v>126700</v>
      </c>
      <c r="K1996" s="3">
        <v>20018600</v>
      </c>
      <c r="L1996" s="2" t="s">
        <v>25</v>
      </c>
      <c r="M1996" s="2" t="s">
        <v>26</v>
      </c>
      <c r="N1996">
        <v>2024</v>
      </c>
      <c r="O1996" s="2" t="s">
        <v>152</v>
      </c>
      <c r="P1996" s="2" t="s">
        <v>155</v>
      </c>
      <c r="Q1996">
        <v>12</v>
      </c>
      <c r="R1996" s="4">
        <v>45627</v>
      </c>
      <c r="S1996" s="3">
        <v>126700</v>
      </c>
      <c r="T1996" s="3">
        <v>2</v>
      </c>
    </row>
    <row r="1997" spans="1:20" x14ac:dyDescent="0.3">
      <c r="A1997" s="1">
        <v>45656</v>
      </c>
      <c r="B1997" s="2" t="s">
        <v>40</v>
      </c>
      <c r="C1997" s="2" t="s">
        <v>78</v>
      </c>
      <c r="D1997" s="2" t="s">
        <v>100</v>
      </c>
      <c r="E1997" s="2" t="s">
        <v>101</v>
      </c>
      <c r="F1997" s="2" t="s">
        <v>24</v>
      </c>
      <c r="G1997">
        <v>3</v>
      </c>
      <c r="H1997">
        <v>150</v>
      </c>
      <c r="I1997">
        <v>172</v>
      </c>
      <c r="J1997" s="3">
        <v>132900</v>
      </c>
      <c r="K1997" s="3">
        <v>22858800</v>
      </c>
      <c r="L1997" s="2" t="s">
        <v>33</v>
      </c>
      <c r="M1997" s="2" t="s">
        <v>77</v>
      </c>
      <c r="N1997">
        <v>2024</v>
      </c>
      <c r="O1997" s="2" t="s">
        <v>152</v>
      </c>
      <c r="P1997" s="2" t="s">
        <v>155</v>
      </c>
      <c r="Q1997">
        <v>12</v>
      </c>
      <c r="R1997" s="4">
        <v>45627</v>
      </c>
      <c r="S1997" s="3">
        <v>132900</v>
      </c>
      <c r="T1997" s="3">
        <v>2.29</v>
      </c>
    </row>
    <row r="1998" spans="1:20" x14ac:dyDescent="0.3">
      <c r="A1998" s="1">
        <v>45656</v>
      </c>
      <c r="B1998" s="2" t="s">
        <v>59</v>
      </c>
      <c r="C1998" s="2" t="s">
        <v>135</v>
      </c>
      <c r="D1998" s="2" t="s">
        <v>79</v>
      </c>
      <c r="E1998" s="2" t="s">
        <v>80</v>
      </c>
      <c r="F1998" s="2" t="s">
        <v>24</v>
      </c>
      <c r="G1998">
        <v>69</v>
      </c>
      <c r="H1998">
        <v>418</v>
      </c>
      <c r="I1998">
        <v>22</v>
      </c>
      <c r="J1998" s="3">
        <v>5253600</v>
      </c>
      <c r="K1998" s="3">
        <v>115579200</v>
      </c>
      <c r="L1998" s="2" t="s">
        <v>33</v>
      </c>
      <c r="M1998" s="2" t="s">
        <v>77</v>
      </c>
      <c r="N1998">
        <v>2024</v>
      </c>
      <c r="O1998" s="2" t="s">
        <v>152</v>
      </c>
      <c r="P1998" s="2" t="s">
        <v>155</v>
      </c>
      <c r="Q1998">
        <v>12</v>
      </c>
      <c r="R1998" s="4">
        <v>45627</v>
      </c>
      <c r="S1998" s="3">
        <v>5253600</v>
      </c>
      <c r="T1998" s="3">
        <v>11.56</v>
      </c>
    </row>
    <row r="1999" spans="1:20" x14ac:dyDescent="0.3">
      <c r="A1999" s="1">
        <v>45656</v>
      </c>
      <c r="B1999" s="2" t="s">
        <v>48</v>
      </c>
      <c r="C1999" s="2" t="s">
        <v>69</v>
      </c>
      <c r="D1999" s="2" t="s">
        <v>42</v>
      </c>
      <c r="E1999" s="2" t="s">
        <v>43</v>
      </c>
      <c r="F1999" s="2" t="s">
        <v>24</v>
      </c>
      <c r="G1999">
        <v>3</v>
      </c>
      <c r="H1999">
        <v>135</v>
      </c>
      <c r="I1999">
        <v>54</v>
      </c>
      <c r="J1999" s="3">
        <v>103300</v>
      </c>
      <c r="K1999" s="3">
        <v>5578200</v>
      </c>
      <c r="L1999" s="2" t="s">
        <v>33</v>
      </c>
      <c r="M1999" s="2" t="s">
        <v>26</v>
      </c>
      <c r="N1999">
        <v>2024</v>
      </c>
      <c r="O1999" s="2" t="s">
        <v>152</v>
      </c>
      <c r="P1999" s="2" t="s">
        <v>155</v>
      </c>
      <c r="Q1999">
        <v>12</v>
      </c>
      <c r="R1999" s="4">
        <v>45627</v>
      </c>
      <c r="S1999" s="3">
        <v>103300</v>
      </c>
      <c r="T1999" s="3">
        <v>0.56000000000000005</v>
      </c>
    </row>
    <row r="2000" spans="1:20" x14ac:dyDescent="0.3">
      <c r="A2000" s="1">
        <v>45657</v>
      </c>
      <c r="B2000" s="2" t="s">
        <v>84</v>
      </c>
      <c r="C2000" s="2" t="s">
        <v>113</v>
      </c>
      <c r="D2000" s="2" t="s">
        <v>88</v>
      </c>
      <c r="E2000" s="2" t="s">
        <v>89</v>
      </c>
      <c r="F2000" s="2" t="s">
        <v>24</v>
      </c>
      <c r="G2000">
        <v>82</v>
      </c>
      <c r="H2000">
        <v>580</v>
      </c>
      <c r="I2000">
        <v>26</v>
      </c>
      <c r="J2000" s="3">
        <v>5972600</v>
      </c>
      <c r="K2000" s="3">
        <v>155287600</v>
      </c>
      <c r="L2000" s="2" t="s">
        <v>92</v>
      </c>
      <c r="M2000" s="2" t="s">
        <v>34</v>
      </c>
      <c r="N2000">
        <v>2024</v>
      </c>
      <c r="O2000" s="2" t="s">
        <v>152</v>
      </c>
      <c r="P2000" s="2" t="s">
        <v>155</v>
      </c>
      <c r="Q2000">
        <v>12</v>
      </c>
      <c r="R2000" s="4">
        <v>45627</v>
      </c>
      <c r="S2000" s="3">
        <v>5972600</v>
      </c>
      <c r="T2000" s="3">
        <v>15.53</v>
      </c>
    </row>
    <row r="2001" spans="1:20" x14ac:dyDescent="0.3">
      <c r="A2001" s="1">
        <v>45657</v>
      </c>
      <c r="B2001" s="2" t="s">
        <v>48</v>
      </c>
      <c r="C2001" s="2" t="s">
        <v>69</v>
      </c>
      <c r="D2001" s="2" t="s">
        <v>82</v>
      </c>
      <c r="E2001" s="2" t="s">
        <v>83</v>
      </c>
      <c r="F2001" s="2" t="s">
        <v>138</v>
      </c>
      <c r="G2001">
        <v>40</v>
      </c>
      <c r="H2001">
        <v>39</v>
      </c>
      <c r="I2001">
        <v>13</v>
      </c>
      <c r="J2001" s="3">
        <v>2411600</v>
      </c>
      <c r="K2001" s="3">
        <v>31350800</v>
      </c>
      <c r="L2001" s="2" t="s">
        <v>25</v>
      </c>
      <c r="M2001" s="2" t="s">
        <v>26</v>
      </c>
      <c r="N2001">
        <v>2024</v>
      </c>
      <c r="O2001" s="2" t="s">
        <v>152</v>
      </c>
      <c r="P2001" s="2" t="s">
        <v>155</v>
      </c>
      <c r="Q2001">
        <v>12</v>
      </c>
      <c r="R2001" s="4">
        <v>45627</v>
      </c>
      <c r="S2001" s="3">
        <v>2411600</v>
      </c>
      <c r="T2001" s="3">
        <v>3.14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F46AC-E603-4F84-AB9C-BCE28A45231D}">
  <dimension ref="A1:AI26"/>
  <sheetViews>
    <sheetView workbookViewId="0">
      <selection activeCell="H13" sqref="H13"/>
    </sheetView>
  </sheetViews>
  <sheetFormatPr defaultRowHeight="14.4" x14ac:dyDescent="0.3"/>
  <cols>
    <col min="1" max="1" width="13.33203125" bestFit="1" customWidth="1"/>
    <col min="2" max="2" width="14.21875" bestFit="1" customWidth="1"/>
    <col min="4" max="4" width="14.88671875" bestFit="1" customWidth="1"/>
    <col min="5" max="5" width="14.21875" bestFit="1" customWidth="1"/>
    <col min="7" max="7" width="10.77734375" bestFit="1" customWidth="1"/>
    <col min="8" max="9" width="18.5546875" bestFit="1" customWidth="1"/>
    <col min="10" max="10" width="14.5546875" bestFit="1" customWidth="1"/>
    <col min="11" max="11" width="14.21875" bestFit="1" customWidth="1"/>
    <col min="13" max="13" width="13.21875" bestFit="1" customWidth="1"/>
    <col min="14" max="14" width="14.21875" bestFit="1" customWidth="1"/>
    <col min="16" max="16" width="10.77734375" bestFit="1" customWidth="1"/>
    <col min="17" max="17" width="16.6640625" bestFit="1" customWidth="1"/>
    <col min="18" max="18" width="9.44140625" customWidth="1"/>
    <col min="19" max="20" width="16" bestFit="1" customWidth="1"/>
    <col min="21" max="21" width="8.77734375" customWidth="1"/>
    <col min="22" max="22" width="18.109375" bestFit="1" customWidth="1"/>
    <col min="23" max="23" width="14.21875" bestFit="1" customWidth="1"/>
    <col min="24" max="24" width="8" customWidth="1"/>
    <col min="25" max="25" width="20.109375" bestFit="1" customWidth="1"/>
    <col min="26" max="26" width="16.6640625" bestFit="1" customWidth="1"/>
    <col min="27" max="27" width="10.88671875" customWidth="1"/>
    <col min="28" max="28" width="14.88671875" bestFit="1" customWidth="1"/>
    <col min="29" max="29" width="16.6640625" bestFit="1" customWidth="1"/>
    <col min="31" max="31" width="10.77734375" bestFit="1" customWidth="1"/>
    <col min="32" max="32" width="13.5546875" bestFit="1" customWidth="1"/>
    <col min="33" max="33" width="9.109375" customWidth="1"/>
    <col min="34" max="34" width="10.77734375" bestFit="1" customWidth="1"/>
    <col min="35" max="35" width="13.5546875" bestFit="1" customWidth="1"/>
    <col min="36" max="36" width="11.109375" bestFit="1" customWidth="1"/>
  </cols>
  <sheetData>
    <row r="1" spans="1:35" x14ac:dyDescent="0.3">
      <c r="A1" s="5" t="s">
        <v>17</v>
      </c>
      <c r="B1" t="s">
        <v>160</v>
      </c>
      <c r="D1" s="5" t="s">
        <v>3</v>
      </c>
      <c r="E1" t="s">
        <v>160</v>
      </c>
      <c r="G1" s="5" t="s">
        <v>5</v>
      </c>
      <c r="H1" t="s">
        <v>160</v>
      </c>
      <c r="J1" s="5" t="s">
        <v>1</v>
      </c>
      <c r="K1" t="s">
        <v>160</v>
      </c>
      <c r="M1" s="5" t="s">
        <v>4</v>
      </c>
      <c r="N1" t="s">
        <v>160</v>
      </c>
      <c r="P1" s="5" t="s">
        <v>14</v>
      </c>
      <c r="Q1" t="s">
        <v>169</v>
      </c>
      <c r="S1" s="5" t="s">
        <v>11</v>
      </c>
      <c r="T1" t="s">
        <v>159</v>
      </c>
      <c r="V1" s="5" t="s">
        <v>12</v>
      </c>
      <c r="W1" t="s">
        <v>160</v>
      </c>
      <c r="Y1" s="5" t="s">
        <v>5</v>
      </c>
      <c r="Z1" t="s">
        <v>169</v>
      </c>
      <c r="AB1" s="5" t="s">
        <v>3</v>
      </c>
      <c r="AC1" t="s">
        <v>169</v>
      </c>
      <c r="AE1" s="5" t="s">
        <v>14</v>
      </c>
      <c r="AF1" t="s">
        <v>170</v>
      </c>
      <c r="AH1" s="5" t="s">
        <v>13</v>
      </c>
      <c r="AI1" t="s">
        <v>170</v>
      </c>
    </row>
    <row r="2" spans="1:35" x14ac:dyDescent="0.3">
      <c r="A2" s="7">
        <v>44927</v>
      </c>
      <c r="B2" s="2">
        <v>5516</v>
      </c>
      <c r="D2" s="6" t="s">
        <v>42</v>
      </c>
      <c r="E2" s="2">
        <v>11955</v>
      </c>
      <c r="G2" s="6" t="s">
        <v>24</v>
      </c>
      <c r="H2" s="2">
        <v>111834</v>
      </c>
      <c r="J2" s="6" t="s">
        <v>40</v>
      </c>
      <c r="K2" s="2">
        <v>17141</v>
      </c>
      <c r="M2" s="6" t="s">
        <v>43</v>
      </c>
      <c r="N2" s="2">
        <v>11955</v>
      </c>
      <c r="P2" s="6" t="s">
        <v>27</v>
      </c>
      <c r="Q2" s="3">
        <v>7605.6100000000033</v>
      </c>
      <c r="S2" s="6" t="s">
        <v>25</v>
      </c>
      <c r="T2" s="2">
        <v>32146</v>
      </c>
      <c r="V2" s="6" t="s">
        <v>77</v>
      </c>
      <c r="W2" s="2">
        <v>35905</v>
      </c>
      <c r="Y2" s="6" t="s">
        <v>24</v>
      </c>
      <c r="Z2" s="3">
        <v>21884.599999999951</v>
      </c>
      <c r="AB2" s="6" t="s">
        <v>100</v>
      </c>
      <c r="AC2" s="3">
        <v>163.04999999999998</v>
      </c>
      <c r="AE2" s="6" t="s">
        <v>27</v>
      </c>
      <c r="AF2" s="2">
        <v>33532</v>
      </c>
      <c r="AH2" s="6">
        <v>2023</v>
      </c>
      <c r="AI2" s="2">
        <v>67793</v>
      </c>
    </row>
    <row r="3" spans="1:35" x14ac:dyDescent="0.3">
      <c r="A3" s="7">
        <v>44958</v>
      </c>
      <c r="B3" s="2">
        <v>4547</v>
      </c>
      <c r="D3" s="6" t="s">
        <v>94</v>
      </c>
      <c r="E3" s="2">
        <v>11950</v>
      </c>
      <c r="G3" s="6" t="s">
        <v>138</v>
      </c>
      <c r="H3" s="2">
        <v>3299</v>
      </c>
      <c r="J3" s="6" t="s">
        <v>46</v>
      </c>
      <c r="K3" s="2">
        <v>15036</v>
      </c>
      <c r="M3" s="6" t="s">
        <v>64</v>
      </c>
      <c r="N3" s="2">
        <v>11578</v>
      </c>
      <c r="P3" s="6" t="s">
        <v>143</v>
      </c>
      <c r="Q3" s="3">
        <v>8174.860000000006</v>
      </c>
      <c r="S3" s="6" t="s">
        <v>92</v>
      </c>
      <c r="T3" s="2">
        <v>9485</v>
      </c>
      <c r="V3" s="6" t="s">
        <v>34</v>
      </c>
      <c r="W3" s="2">
        <v>19688</v>
      </c>
      <c r="Y3" s="6" t="s">
        <v>138</v>
      </c>
      <c r="Z3" s="3">
        <v>1308.5200000000004</v>
      </c>
      <c r="AB3" s="6" t="s">
        <v>22</v>
      </c>
      <c r="AC3" s="3">
        <v>4457.8300000000008</v>
      </c>
      <c r="AE3" s="6" t="s">
        <v>143</v>
      </c>
      <c r="AF3" s="2">
        <v>35754</v>
      </c>
      <c r="AH3" s="6">
        <v>2024</v>
      </c>
      <c r="AI3" s="2">
        <v>71579</v>
      </c>
    </row>
    <row r="4" spans="1:35" x14ac:dyDescent="0.3">
      <c r="A4" s="7">
        <v>44986</v>
      </c>
      <c r="B4" s="2">
        <v>6462</v>
      </c>
      <c r="D4" s="6" t="s">
        <v>57</v>
      </c>
      <c r="E4" s="2">
        <v>11903</v>
      </c>
      <c r="G4" s="6" t="s">
        <v>39</v>
      </c>
      <c r="H4" s="2">
        <v>13666</v>
      </c>
      <c r="J4" s="6" t="s">
        <v>84</v>
      </c>
      <c r="K4" s="2">
        <v>12502</v>
      </c>
      <c r="M4" s="6" t="s">
        <v>103</v>
      </c>
      <c r="N4" s="2">
        <v>10587</v>
      </c>
      <c r="P4" s="6" t="s">
        <v>148</v>
      </c>
      <c r="Q4" s="3">
        <v>8976.9599999999919</v>
      </c>
      <c r="S4" s="6" t="s">
        <v>33</v>
      </c>
      <c r="T4" s="2">
        <v>97741</v>
      </c>
      <c r="V4" s="6" t="s">
        <v>26</v>
      </c>
      <c r="W4" s="2">
        <v>76736</v>
      </c>
      <c r="Y4" s="6" t="s">
        <v>39</v>
      </c>
      <c r="Z4" s="3">
        <v>5395.15</v>
      </c>
      <c r="AB4" s="6" t="s">
        <v>63</v>
      </c>
      <c r="AC4" s="3">
        <v>188.49999999999997</v>
      </c>
      <c r="AE4" s="6" t="s">
        <v>148</v>
      </c>
      <c r="AF4" s="2">
        <v>36062</v>
      </c>
      <c r="AH4" s="6" t="s">
        <v>158</v>
      </c>
      <c r="AI4" s="2">
        <v>139372</v>
      </c>
    </row>
    <row r="5" spans="1:35" x14ac:dyDescent="0.3">
      <c r="A5" s="7">
        <v>45017</v>
      </c>
      <c r="B5" s="2">
        <v>6299</v>
      </c>
      <c r="D5" s="6" t="s">
        <v>70</v>
      </c>
      <c r="E5" s="2">
        <v>11702</v>
      </c>
      <c r="G5" s="6" t="s">
        <v>72</v>
      </c>
      <c r="H5" s="2">
        <v>10573</v>
      </c>
      <c r="J5" s="6" t="s">
        <v>35</v>
      </c>
      <c r="K5" s="2">
        <v>12219</v>
      </c>
      <c r="M5" s="6" t="s">
        <v>101</v>
      </c>
      <c r="N5" s="2">
        <v>10440</v>
      </c>
      <c r="P5" s="6" t="s">
        <v>152</v>
      </c>
      <c r="Q5" s="3">
        <v>7896.4900000000025</v>
      </c>
      <c r="S5" s="6" t="s">
        <v>158</v>
      </c>
      <c r="T5" s="2">
        <v>139372</v>
      </c>
      <c r="V5" s="6" t="s">
        <v>97</v>
      </c>
      <c r="W5" s="2">
        <v>7043</v>
      </c>
      <c r="Y5" s="6" t="s">
        <v>72</v>
      </c>
      <c r="Z5" s="3">
        <v>4065.6500000000019</v>
      </c>
      <c r="AB5" s="6" t="s">
        <v>67</v>
      </c>
      <c r="AC5" s="3">
        <v>3945.93</v>
      </c>
      <c r="AE5" s="6" t="s">
        <v>152</v>
      </c>
      <c r="AF5" s="2">
        <v>34024</v>
      </c>
    </row>
    <row r="6" spans="1:35" x14ac:dyDescent="0.3">
      <c r="A6" s="7">
        <v>45047</v>
      </c>
      <c r="B6" s="2">
        <v>4768</v>
      </c>
      <c r="D6" s="6" t="s">
        <v>63</v>
      </c>
      <c r="E6" s="2">
        <v>11578</v>
      </c>
      <c r="G6" s="6" t="s">
        <v>158</v>
      </c>
      <c r="H6" s="2">
        <v>139372</v>
      </c>
      <c r="J6" s="6" t="s">
        <v>48</v>
      </c>
      <c r="K6" s="2">
        <v>11906</v>
      </c>
      <c r="M6" s="6" t="s">
        <v>23</v>
      </c>
      <c r="N6" s="2">
        <v>6518</v>
      </c>
      <c r="P6" s="6" t="s">
        <v>158</v>
      </c>
      <c r="Q6" s="3">
        <v>32653.920000000002</v>
      </c>
      <c r="V6" s="6" t="s">
        <v>158</v>
      </c>
      <c r="W6" s="2">
        <v>139372</v>
      </c>
      <c r="Y6" s="6" t="s">
        <v>158</v>
      </c>
      <c r="Z6" s="3">
        <v>32653.919999999955</v>
      </c>
      <c r="AB6" s="6" t="s">
        <v>88</v>
      </c>
      <c r="AC6" s="3">
        <v>2221.27</v>
      </c>
      <c r="AE6" s="6" t="s">
        <v>158</v>
      </c>
      <c r="AF6" s="2">
        <v>139372</v>
      </c>
    </row>
    <row r="7" spans="1:35" x14ac:dyDescent="0.3">
      <c r="A7" s="7">
        <v>45078</v>
      </c>
      <c r="B7" s="2">
        <v>6075</v>
      </c>
      <c r="D7" s="6" t="s">
        <v>82</v>
      </c>
      <c r="E7" s="2">
        <v>11460</v>
      </c>
      <c r="J7" s="6" t="s">
        <v>29</v>
      </c>
      <c r="K7" s="2">
        <v>10594</v>
      </c>
      <c r="M7" s="6" t="s">
        <v>74</v>
      </c>
      <c r="N7" s="2">
        <v>6249</v>
      </c>
      <c r="AB7" s="6" t="s">
        <v>54</v>
      </c>
      <c r="AC7" s="3">
        <v>753.15</v>
      </c>
    </row>
    <row r="8" spans="1:35" x14ac:dyDescent="0.3">
      <c r="A8" s="7">
        <v>45108</v>
      </c>
      <c r="B8" s="2">
        <v>6384</v>
      </c>
      <c r="D8" s="6" t="s">
        <v>31</v>
      </c>
      <c r="E8" s="2">
        <v>10680</v>
      </c>
      <c r="G8" s="5" t="s">
        <v>5</v>
      </c>
      <c r="H8" t="s">
        <v>168</v>
      </c>
      <c r="J8" s="6" t="s">
        <v>20</v>
      </c>
      <c r="K8" s="2">
        <v>9261</v>
      </c>
      <c r="M8" s="6" t="s">
        <v>141</v>
      </c>
      <c r="N8" s="2">
        <v>6245</v>
      </c>
      <c r="AB8" s="6" t="s">
        <v>42</v>
      </c>
      <c r="AC8" s="3">
        <v>142.56000000000003</v>
      </c>
    </row>
    <row r="9" spans="1:35" x14ac:dyDescent="0.3">
      <c r="A9" s="7">
        <v>45139</v>
      </c>
      <c r="B9" s="2">
        <v>6222</v>
      </c>
      <c r="D9" s="6" t="s">
        <v>102</v>
      </c>
      <c r="E9" s="2">
        <v>10587</v>
      </c>
      <c r="G9" s="6">
        <v>2023</v>
      </c>
      <c r="H9" s="3">
        <v>16131.890000000001</v>
      </c>
      <c r="J9" s="6" t="s">
        <v>90</v>
      </c>
      <c r="K9" s="2">
        <v>9121</v>
      </c>
      <c r="M9" s="6" t="s">
        <v>86</v>
      </c>
      <c r="N9" s="2">
        <v>6241</v>
      </c>
      <c r="AB9" s="6" t="s">
        <v>57</v>
      </c>
      <c r="AC9" s="3">
        <v>4260.55</v>
      </c>
    </row>
    <row r="10" spans="1:35" x14ac:dyDescent="0.3">
      <c r="A10" s="7">
        <v>45170</v>
      </c>
      <c r="B10" s="2">
        <v>5407</v>
      </c>
      <c r="D10" s="6" t="s">
        <v>100</v>
      </c>
      <c r="E10" s="2">
        <v>10440</v>
      </c>
      <c r="G10" s="6">
        <v>2024</v>
      </c>
      <c r="H10" s="3">
        <v>16522.03</v>
      </c>
      <c r="J10" s="6" t="s">
        <v>108</v>
      </c>
      <c r="K10" s="2">
        <v>8254</v>
      </c>
      <c r="M10" s="6" t="s">
        <v>58</v>
      </c>
      <c r="N10" s="2">
        <v>5662</v>
      </c>
      <c r="AB10" s="6" t="s">
        <v>50</v>
      </c>
      <c r="AC10" s="3">
        <v>2623.1099999999992</v>
      </c>
    </row>
    <row r="11" spans="1:35" x14ac:dyDescent="0.3">
      <c r="A11" s="7">
        <v>45200</v>
      </c>
      <c r="B11" s="2">
        <v>6406</v>
      </c>
      <c r="D11" s="6" t="s">
        <v>22</v>
      </c>
      <c r="E11" s="2">
        <v>6518</v>
      </c>
      <c r="G11" s="6" t="s">
        <v>158</v>
      </c>
      <c r="H11" s="3">
        <v>32653.919999999998</v>
      </c>
      <c r="J11" s="6" t="s">
        <v>75</v>
      </c>
      <c r="K11" s="2">
        <v>8011</v>
      </c>
      <c r="M11" s="6" t="s">
        <v>124</v>
      </c>
      <c r="N11" s="2">
        <v>5527</v>
      </c>
      <c r="AB11" s="6" t="s">
        <v>82</v>
      </c>
      <c r="AC11" s="3">
        <v>2855.2000000000003</v>
      </c>
    </row>
    <row r="12" spans="1:35" x14ac:dyDescent="0.3">
      <c r="A12" s="7">
        <v>45231</v>
      </c>
      <c r="B12" s="2">
        <v>5763</v>
      </c>
      <c r="D12" s="6" t="s">
        <v>67</v>
      </c>
      <c r="E12" s="2">
        <v>5822</v>
      </c>
      <c r="J12" s="6" t="s">
        <v>106</v>
      </c>
      <c r="K12" s="2">
        <v>7068</v>
      </c>
      <c r="M12" s="6" t="s">
        <v>71</v>
      </c>
      <c r="N12" s="2">
        <v>5453</v>
      </c>
      <c r="AB12" s="6" t="s">
        <v>37</v>
      </c>
      <c r="AC12" s="3">
        <v>3775.3199999999993</v>
      </c>
    </row>
    <row r="13" spans="1:35" x14ac:dyDescent="0.3">
      <c r="A13" s="7">
        <v>45261</v>
      </c>
      <c r="B13" s="2">
        <v>3944</v>
      </c>
      <c r="D13" s="6" t="s">
        <v>54</v>
      </c>
      <c r="E13" s="2">
        <v>5217</v>
      </c>
      <c r="J13" s="6" t="s">
        <v>59</v>
      </c>
      <c r="K13" s="2">
        <v>6779</v>
      </c>
      <c r="M13" s="6" t="s">
        <v>55</v>
      </c>
      <c r="N13" s="2">
        <v>5217</v>
      </c>
      <c r="AB13" s="6" t="s">
        <v>70</v>
      </c>
      <c r="AC13" s="3">
        <v>2003.1600000000003</v>
      </c>
    </row>
    <row r="14" spans="1:35" x14ac:dyDescent="0.3">
      <c r="A14" s="7">
        <v>45292</v>
      </c>
      <c r="B14" s="2">
        <v>5798</v>
      </c>
      <c r="D14" s="6" t="s">
        <v>50</v>
      </c>
      <c r="E14" s="2">
        <v>5189</v>
      </c>
      <c r="J14" s="6" t="s">
        <v>44</v>
      </c>
      <c r="K14" s="2">
        <v>5130</v>
      </c>
      <c r="M14" s="6" t="s">
        <v>83</v>
      </c>
      <c r="N14" s="2">
        <v>5215</v>
      </c>
      <c r="AB14" s="6" t="s">
        <v>31</v>
      </c>
      <c r="AC14" s="3">
        <v>134.78999999999996</v>
      </c>
    </row>
    <row r="15" spans="1:35" x14ac:dyDescent="0.3">
      <c r="A15" s="7">
        <v>45323</v>
      </c>
      <c r="B15" s="2">
        <v>5528</v>
      </c>
      <c r="D15" s="6" t="s">
        <v>88</v>
      </c>
      <c r="E15" s="2">
        <v>5170</v>
      </c>
      <c r="J15" s="6" t="s">
        <v>52</v>
      </c>
      <c r="K15" s="2">
        <v>4048</v>
      </c>
      <c r="M15" s="6" t="s">
        <v>51</v>
      </c>
      <c r="N15" s="2">
        <v>5189</v>
      </c>
      <c r="AB15" s="6" t="s">
        <v>94</v>
      </c>
      <c r="AC15" s="3">
        <v>2364.5199999999995</v>
      </c>
    </row>
    <row r="16" spans="1:35" x14ac:dyDescent="0.3">
      <c r="A16" s="7">
        <v>45352</v>
      </c>
      <c r="B16" s="2">
        <v>5681</v>
      </c>
      <c r="D16" s="6" t="s">
        <v>37</v>
      </c>
      <c r="E16" s="2">
        <v>4637</v>
      </c>
      <c r="J16" s="6" t="s">
        <v>61</v>
      </c>
      <c r="K16" s="2">
        <v>2302</v>
      </c>
      <c r="M16" s="6" t="s">
        <v>32</v>
      </c>
      <c r="N16" s="2">
        <v>5153</v>
      </c>
      <c r="AB16" s="6" t="s">
        <v>102</v>
      </c>
      <c r="AC16" s="3">
        <v>175.41000000000005</v>
      </c>
    </row>
    <row r="17" spans="1:29" x14ac:dyDescent="0.3">
      <c r="A17" s="7">
        <v>45383</v>
      </c>
      <c r="B17" s="2">
        <v>6795</v>
      </c>
      <c r="D17" s="6" t="s">
        <v>79</v>
      </c>
      <c r="E17" s="2">
        <v>4564</v>
      </c>
      <c r="J17" s="6" t="s">
        <v>158</v>
      </c>
      <c r="K17" s="2">
        <v>139372</v>
      </c>
      <c r="M17" s="6" t="s">
        <v>95</v>
      </c>
      <c r="N17" s="2">
        <v>4665</v>
      </c>
      <c r="AB17" s="6" t="s">
        <v>79</v>
      </c>
      <c r="AC17" s="3">
        <v>2589.5700000000006</v>
      </c>
    </row>
    <row r="18" spans="1:29" x14ac:dyDescent="0.3">
      <c r="A18" s="7">
        <v>45413</v>
      </c>
      <c r="B18" s="2">
        <v>5591</v>
      </c>
      <c r="D18" s="6" t="s">
        <v>158</v>
      </c>
      <c r="E18" s="2">
        <v>139372</v>
      </c>
      <c r="M18" s="6" t="s">
        <v>38</v>
      </c>
      <c r="N18" s="2">
        <v>4637</v>
      </c>
      <c r="AB18" s="6" t="s">
        <v>158</v>
      </c>
      <c r="AC18" s="3">
        <v>32653.920000000002</v>
      </c>
    </row>
    <row r="19" spans="1:29" x14ac:dyDescent="0.3">
      <c r="A19" s="7">
        <v>45444</v>
      </c>
      <c r="B19" s="2">
        <v>6226</v>
      </c>
      <c r="M19" s="6" t="s">
        <v>80</v>
      </c>
      <c r="N19" s="2">
        <v>4564</v>
      </c>
    </row>
    <row r="20" spans="1:29" x14ac:dyDescent="0.3">
      <c r="A20" s="7">
        <v>45474</v>
      </c>
      <c r="B20" s="2">
        <v>5061</v>
      </c>
      <c r="M20" s="6" t="s">
        <v>140</v>
      </c>
      <c r="N20" s="2">
        <v>3713</v>
      </c>
    </row>
    <row r="21" spans="1:29" x14ac:dyDescent="0.3">
      <c r="A21" s="7">
        <v>45505</v>
      </c>
      <c r="B21" s="2">
        <v>6473</v>
      </c>
      <c r="M21" s="6" t="s">
        <v>115</v>
      </c>
      <c r="N21" s="2">
        <v>3572</v>
      </c>
    </row>
    <row r="22" spans="1:29" x14ac:dyDescent="0.3">
      <c r="A22" s="7">
        <v>45536</v>
      </c>
      <c r="B22" s="2">
        <v>6515</v>
      </c>
      <c r="M22" s="6" t="s">
        <v>68</v>
      </c>
      <c r="N22" s="2">
        <v>3235</v>
      </c>
    </row>
    <row r="23" spans="1:29" x14ac:dyDescent="0.3">
      <c r="A23" s="7">
        <v>45566</v>
      </c>
      <c r="B23" s="2">
        <v>6441</v>
      </c>
      <c r="M23" s="6" t="s">
        <v>111</v>
      </c>
      <c r="N23" s="2">
        <v>2603</v>
      </c>
    </row>
    <row r="24" spans="1:29" x14ac:dyDescent="0.3">
      <c r="A24" s="7">
        <v>45597</v>
      </c>
      <c r="B24" s="2">
        <v>6084</v>
      </c>
      <c r="M24" s="6" t="s">
        <v>118</v>
      </c>
      <c r="N24" s="2">
        <v>2587</v>
      </c>
    </row>
    <row r="25" spans="1:29" x14ac:dyDescent="0.3">
      <c r="A25" s="7">
        <v>45627</v>
      </c>
      <c r="B25" s="2">
        <v>5386</v>
      </c>
      <c r="M25" s="6" t="s">
        <v>89</v>
      </c>
      <c r="N25" s="2">
        <v>2567</v>
      </c>
    </row>
    <row r="26" spans="1:29" x14ac:dyDescent="0.3">
      <c r="A26" s="7" t="s">
        <v>158</v>
      </c>
      <c r="B26" s="2">
        <v>139372</v>
      </c>
      <c r="M26" s="6" t="s">
        <v>158</v>
      </c>
      <c r="N26" s="2">
        <v>139372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6A241-F282-4C54-A237-30C4AB1F70F7}">
  <sheetPr>
    <pageSetUpPr autoPageBreaks="0"/>
  </sheetPr>
  <dimension ref="A1:T7"/>
  <sheetViews>
    <sheetView showGridLines="0" tabSelected="1" zoomScale="55" zoomScaleNormal="60" workbookViewId="0">
      <selection activeCell="H34" sqref="H34"/>
    </sheetView>
  </sheetViews>
  <sheetFormatPr defaultColWidth="22.77734375" defaultRowHeight="14.4" x14ac:dyDescent="0.3"/>
  <cols>
    <col min="1" max="1" width="20.77734375" customWidth="1"/>
    <col min="2" max="2" width="34.77734375" customWidth="1"/>
    <col min="3" max="3" width="20.77734375" customWidth="1"/>
    <col min="4" max="4" width="34.77734375" customWidth="1"/>
    <col min="5" max="5" width="20.77734375" customWidth="1"/>
    <col min="6" max="6" width="34.77734375" customWidth="1"/>
    <col min="7" max="7" width="20.77734375" customWidth="1"/>
    <col min="8" max="8" width="34.77734375" customWidth="1"/>
    <col min="9" max="9" width="20.77734375" customWidth="1"/>
    <col min="10" max="10" width="34.77734375" customWidth="1"/>
    <col min="11" max="11" width="20.77734375" customWidth="1"/>
    <col min="12" max="12" width="34.77734375" customWidth="1"/>
    <col min="13" max="13" width="20.77734375" customWidth="1"/>
  </cols>
  <sheetData>
    <row r="1" spans="1:13" ht="14.4" customHeight="1" x14ac:dyDescent="0.3">
      <c r="A1" s="10" t="s">
        <v>161</v>
      </c>
      <c r="B1" s="9"/>
      <c r="C1" s="9"/>
      <c r="D1" s="9"/>
      <c r="E1" s="9"/>
      <c r="F1" s="9"/>
      <c r="G1" s="9"/>
      <c r="H1" s="9"/>
      <c r="I1" s="9"/>
      <c r="J1" s="9"/>
      <c r="K1" s="9"/>
      <c r="L1" s="9"/>
      <c r="M1" s="9"/>
    </row>
    <row r="2" spans="1:13" x14ac:dyDescent="0.3">
      <c r="A2" s="9"/>
      <c r="B2" s="9"/>
      <c r="C2" s="9"/>
      <c r="D2" s="9"/>
      <c r="E2" s="9"/>
      <c r="F2" s="9"/>
      <c r="G2" s="9"/>
      <c r="H2" s="9"/>
      <c r="I2" s="9"/>
      <c r="J2" s="9"/>
      <c r="K2" s="9"/>
      <c r="L2" s="9"/>
      <c r="M2" s="9"/>
    </row>
    <row r="3" spans="1:13" x14ac:dyDescent="0.3">
      <c r="A3" s="9"/>
      <c r="B3" s="9"/>
      <c r="C3" s="9"/>
      <c r="D3" s="9"/>
      <c r="E3" s="9"/>
      <c r="F3" s="9"/>
      <c r="G3" s="9"/>
      <c r="H3" s="9"/>
      <c r="I3" s="9"/>
      <c r="J3" s="9"/>
      <c r="K3" s="9"/>
      <c r="L3" s="9"/>
      <c r="M3" s="9"/>
    </row>
    <row r="4" spans="1:13" x14ac:dyDescent="0.3">
      <c r="A4" s="9"/>
      <c r="B4" s="9"/>
      <c r="C4" s="9"/>
      <c r="D4" s="9"/>
      <c r="E4" s="9"/>
      <c r="F4" s="9"/>
      <c r="G4" s="9"/>
      <c r="H4" s="9"/>
      <c r="I4" s="9"/>
      <c r="J4" s="9"/>
      <c r="K4" s="9"/>
      <c r="L4" s="9"/>
      <c r="M4" s="9"/>
    </row>
    <row r="5" spans="1:13" s="8" customFormat="1" ht="20.399999999999999" x14ac:dyDescent="0.3">
      <c r="B5" s="13" t="s">
        <v>162</v>
      </c>
      <c r="D5" s="13" t="s">
        <v>163</v>
      </c>
      <c r="F5" s="13" t="s">
        <v>164</v>
      </c>
      <c r="H5" s="13" t="s">
        <v>165</v>
      </c>
      <c r="J5" s="13" t="s">
        <v>166</v>
      </c>
      <c r="L5" s="13" t="s">
        <v>167</v>
      </c>
    </row>
    <row r="6" spans="1:13" s="8" customFormat="1" ht="17.399999999999999" x14ac:dyDescent="0.3">
      <c r="B6" s="14">
        <v>139372</v>
      </c>
      <c r="D6" s="16">
        <f>SUM('EV Sales Data'!$T$1:$T$2001)</f>
        <v>32653.919999999969</v>
      </c>
      <c r="F6" s="14">
        <f>COUNTA(_xlfn.UNIQUE(EV_Sales_Data[Manufacturer]))</f>
        <v>16</v>
      </c>
      <c r="H6" s="14">
        <f>COUNTA(_xlfn.UNIQUE(EV_Sales_Data[Model]))</f>
        <v>24</v>
      </c>
      <c r="J6" s="15">
        <f>(GETPIVOTDATA("Revenue (Cr)",'PIVOT DATA'!$G$8,"Year",2024)-GETPIVOTDATA("Revenue (Cr)",'PIVOT DATA'!$G$8,"Year",2023))/16522.03</f>
        <v>2.3613321123372711E-2</v>
      </c>
      <c r="K6" s="11"/>
      <c r="L6" s="16">
        <f>AVERAGE(EV_Sales_Data[Unit Price (INR)])</f>
        <v>3163840.85</v>
      </c>
    </row>
    <row r="7" spans="1:13" x14ac:dyDescent="0.3">
      <c r="B7" s="12"/>
    </row>
  </sheetData>
  <mergeCells count="1">
    <mergeCell ref="A1:M4"/>
  </mergeCells>
  <dataValidations count="1">
    <dataValidation type="list" allowBlank="1" showInputMessage="1" showErrorMessage="1" sqref="A5" xr:uid="{2ADFD900-E5B8-4DAC-94A7-DA7EC7DB9C42}">
      <formula1>"ALL,2023,2024"</formula1>
    </dataValidation>
  </dataValidations>
  <pageMargins left="0.7" right="0.7" top="0.75" bottom="0.75" header="0.3" footer="0.3"/>
  <pageSetup paperSize="256" orientation="portrait" horizontalDpi="203" verticalDpi="203"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A3B4D6-280E-4C53-9628-330DBBFC76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 Lookup</vt:lpstr>
      <vt:lpstr>EV Sales Data</vt:lpstr>
      <vt:lpstr>PIVOT DATA</vt:lpstr>
      <vt:lpstr>EV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arora</dc:creator>
  <cp:lastModifiedBy>anmol arora</cp:lastModifiedBy>
  <dcterms:created xsi:type="dcterms:W3CDTF">2026-09-21T09:11:34Z</dcterms:created>
  <dcterms:modified xsi:type="dcterms:W3CDTF">2026-09-21T18:43:42Z</dcterms:modified>
</cp:coreProperties>
</file>